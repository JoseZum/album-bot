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SHBOARD" sheetId="2" r:id="rId6"/>
    <sheet state="visible" name="MASTER" sheetId="3" r:id="rId7"/>
    <sheet state="visible" name="01_PANINI" sheetId="4" r:id="rId8"/>
    <sheet state="visible" name="02_GRUPO_A" sheetId="5" r:id="rId9"/>
    <sheet state="visible" name="03_GRUPO_B" sheetId="6" r:id="rId10"/>
    <sheet state="visible" name="04_GRUPO_C" sheetId="7" r:id="rId11"/>
    <sheet state="visible" name="05_GRUPO_D" sheetId="8" r:id="rId12"/>
    <sheet state="visible" name="06_GRUPO_E" sheetId="9" r:id="rId13"/>
    <sheet state="visible" name="07_GRUPO_F" sheetId="10" r:id="rId14"/>
    <sheet state="visible" name="08_STICKERS_COCA_COLA" sheetId="11" r:id="rId15"/>
    <sheet state="visible" name="09_GRUPO_G" sheetId="12" r:id="rId16"/>
    <sheet state="visible" name="10_GRUPO_H" sheetId="13" r:id="rId17"/>
    <sheet state="visible" name="11_GRUPO_I" sheetId="14" r:id="rId18"/>
    <sheet state="visible" name="12_GRUPO_J" sheetId="15" r:id="rId19"/>
    <sheet state="visible" name="13_GRUPO_K" sheetId="16" r:id="rId20"/>
    <sheet state="visible" name="14_GRUPO_L" sheetId="17" r:id="rId21"/>
    <sheet state="visible" name="15_FIFA_WORLD_CUP_CHAMPIONS" sheetId="18" r:id="rId22"/>
    <sheet state="visible" name="MISSING" sheetId="19" r:id="rId23"/>
    <sheet state="visible" name="TRADING" sheetId="20" r:id="rId24"/>
  </sheets>
  <definedNames/>
  <calcPr/>
</workbook>
</file>

<file path=xl/sharedStrings.xml><?xml version="1.0" encoding="utf-8"?>
<sst xmlns="http://schemas.openxmlformats.org/spreadsheetml/2006/main" count="4089" uniqueCount="1998">
  <si>
    <t>🏆 PANINI FIFA WORLD CUP 2026 — TRACKER
Welcome to the Panini FIFA World Cup 2026 album tracking system.
📋 How to use this file
1. Make a copy of the file
This file is a public template.
To use it properly:
File → Make a copy
━━━━━━━━━━━━━━━━━━━━━━
✏️ What should I edit?
Only modify the:
QUANTITY
column in the album tabs:
• 01_PANINI
• 02_GROUP_A
• 03_GROUP_B
• 04_GROUP_C
• 05_GROUP_D
• 06_GROUP_E
• 07_GROUP_F
• 08_COCA_COLA_STICKERS
• 09_GROUP_G
• 10_GROUP_H
• 11_GROUP_I
• 12_GROUP_J
• 13_GROUP_K
• 14_GROUP_L
• 15_FIFA_WORLD_CUP_CHAMPIONS
━━━━━━━━━━━━━━━━━━━━━━
🔢 How does QUANTITY work?
0 = You do not own it
1 = You own it
2 or more = Duplicates
━━━━━━━━━━━━━━━━━━━━━━
📊 What does the system calculate automatically?
The file automatically calculates:
✅ Total stickers
✅ Album completion progress
✅ Missing stickers
✅ Duplicate stickers
✅ Total duplicates
━━━━━━━━━━━━━━━━━━━━━━
🔒 Protected sheets
The following sheets work automatically and should not be edited:
• MASTER
• DASHBOARD
• MISSING
• TRADING
━━━━━━━━━━━━━━━━━━━━━━
🤝 Project goal
This file was designed to help Panini FIFA World Cup 2026 collectors keep accurate, fast, and scalable control of their collection.
━━━━━━━━━━━━━━━━━━━━━━
⚽ Enjoy the album!</t>
  </si>
  <si>
    <t>TOTAL DE ESTAMPAS</t>
  </si>
  <si>
    <t>ESTAMPAS QUE TENGO</t>
  </si>
  <si>
    <t>ESTAMPAS FALTANTES</t>
  </si>
  <si>
    <t>ESTAMPAS REPETIDAS</t>
  </si>
  <si>
    <t>TOTAL DE REPETIDAS</t>
  </si>
  <si>
    <t>PORCENTAJE DE AVANCE</t>
  </si>
  <si>
    <t>ID</t>
  </si>
  <si>
    <t>CONTEXT</t>
  </si>
  <si>
    <t>TYPE</t>
  </si>
  <si>
    <t>DESCRIPTION</t>
  </si>
  <si>
    <t>QUANTITY</t>
  </si>
  <si>
    <t>OWNED</t>
  </si>
  <si>
    <t>SECTION</t>
  </si>
  <si>
    <t>00</t>
  </si>
  <si>
    <t>SECTION 1</t>
  </si>
  <si>
    <t>SPECIAL</t>
  </si>
  <si>
    <t>WE ARE PANINI</t>
  </si>
  <si>
    <t>FWC1</t>
  </si>
  <si>
    <t>FWC 1</t>
  </si>
  <si>
    <t>FWC2</t>
  </si>
  <si>
    <t>FWC 2</t>
  </si>
  <si>
    <t>FWC3</t>
  </si>
  <si>
    <t>FWC 3</t>
  </si>
  <si>
    <t>FWC4</t>
  </si>
  <si>
    <t>FWC 4</t>
  </si>
  <si>
    <t>FWC5</t>
  </si>
  <si>
    <t>FWC 5</t>
  </si>
  <si>
    <t>FWC6</t>
  </si>
  <si>
    <t>FWC 6</t>
  </si>
  <si>
    <t>FWC7</t>
  </si>
  <si>
    <t>FWC 7</t>
  </si>
  <si>
    <t>FWC8</t>
  </si>
  <si>
    <t>FWC 8</t>
  </si>
  <si>
    <t>TEAM</t>
  </si>
  <si>
    <t>PLAYER</t>
  </si>
  <si>
    <t>MEX01</t>
  </si>
  <si>
    <t>MEXICO</t>
  </si>
  <si>
    <t>BADGE</t>
  </si>
  <si>
    <t>MEXICO NATIONAL TEAM</t>
  </si>
  <si>
    <t>MEX02</t>
  </si>
  <si>
    <t>NORMAL</t>
  </si>
  <si>
    <t>LUIS MALAGÓN</t>
  </si>
  <si>
    <t>MEX03</t>
  </si>
  <si>
    <t>JOHAN VÁSQUEZ</t>
  </si>
  <si>
    <t>MEX04</t>
  </si>
  <si>
    <t>JORGE SÁNCHEZ</t>
  </si>
  <si>
    <t>MEX05</t>
  </si>
  <si>
    <t>CÉSAR MONTES</t>
  </si>
  <si>
    <t>MEX06</t>
  </si>
  <si>
    <t>JESÚS GALLARDO</t>
  </si>
  <si>
    <t>MEX07</t>
  </si>
  <si>
    <t>ISRAEL REYES</t>
  </si>
  <si>
    <t>MEX08</t>
  </si>
  <si>
    <t>DIEGO LAINEZ</t>
  </si>
  <si>
    <t>MEX09</t>
  </si>
  <si>
    <t>CARLOS RODRÍGUEZ</t>
  </si>
  <si>
    <t>MEX10</t>
  </si>
  <si>
    <t>EDSON ÁLVAREZ</t>
  </si>
  <si>
    <t>MEX11</t>
  </si>
  <si>
    <t>ORBELÍN PINEDA</t>
  </si>
  <si>
    <t>MEX12</t>
  </si>
  <si>
    <t>MARCEL RUÍZ</t>
  </si>
  <si>
    <t>MEX13</t>
  </si>
  <si>
    <t>MEX14</t>
  </si>
  <si>
    <t>ERICK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</si>
  <si>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</si>
  <si>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</si>
  <si>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</si>
  <si>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</si>
  <si>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</si>
  <si>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</si>
  <si>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</si>
  <si>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</si>
  <si>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</si>
  <si>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</si>
  <si>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</si>
  <si>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CÉSAR HUERTA</t>
  </si>
  <si>
    <t>RSA01</t>
  </si>
  <si>
    <t>SOUTHAFRICA</t>
  </si>
  <si>
    <t>SOUTHAFRICA NATIONAL TEAM</t>
  </si>
  <si>
    <t>RSA02</t>
  </si>
  <si>
    <t>RONWEN WILLIAMS</t>
  </si>
  <si>
    <t>RSA03</t>
  </si>
  <si>
    <t>SIPHO CHAINE</t>
  </si>
  <si>
    <t>RSA04</t>
  </si>
  <si>
    <t>AUBREY MODIBA</t>
  </si>
  <si>
    <t>RSA05</t>
  </si>
  <si>
    <t>SAMUKELE KABINI</t>
  </si>
  <si>
    <t>RSA06</t>
  </si>
  <si>
    <t>MBEKEZLI MBOKAZI</t>
  </si>
  <si>
    <t>RSA07</t>
  </si>
  <si>
    <t>KHULUMANI NDAMANE</t>
  </si>
  <si>
    <t>RSA08</t>
  </si>
  <si>
    <t>SIVABONGA NGEZANA</t>
  </si>
  <si>
    <t>RSA09</t>
  </si>
  <si>
    <t>KHULISO MUDAU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</si>
  <si>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</si>
  <si>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</si>
  <si>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</si>
  <si>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</si>
  <si>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</si>
  <si>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</si>
  <si>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</si>
  <si>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</si>
  <si>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</si>
  <si>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</si>
  <si>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VAYA SITHOLE</t>
  </si>
  <si>
    <t>RSA16</t>
  </si>
  <si>
    <t>SIPHO MBULE</t>
  </si>
  <si>
    <t>RSA17</t>
  </si>
  <si>
    <t>LYLE FOSTER</t>
  </si>
  <si>
    <t>RSA18</t>
  </si>
  <si>
    <t>IORAAM RAVNERS</t>
  </si>
  <si>
    <t>RSA19</t>
  </si>
  <si>
    <t>MOHAU NKOTA</t>
  </si>
  <si>
    <t>RSA20</t>
  </si>
  <si>
    <t>OSWIN APOLLIS</t>
  </si>
  <si>
    <t>KOR01</t>
  </si>
  <si>
    <t>SOUTH KOREA</t>
  </si>
  <si>
    <t>SOUTH KOREA NATIONAL TEAM</t>
  </si>
  <si>
    <t>KOR02</t>
  </si>
  <si>
    <t>HYEONWOO JO</t>
  </si>
  <si>
    <t>KOR03</t>
  </si>
  <si>
    <t>SEUNGGYU KIM</t>
  </si>
  <si>
    <t>KOR04</t>
  </si>
  <si>
    <t>MIJNAE KIM</t>
  </si>
  <si>
    <t>KOR05</t>
  </si>
  <si>
    <t>YUMIN CHO</t>
  </si>
  <si>
    <t>KOR06</t>
  </si>
  <si>
    <t>YOUNGWOO SEOL</t>
  </si>
  <si>
    <t>KOR07</t>
  </si>
  <si>
    <t>HANBEOM LEE</t>
  </si>
  <si>
    <t>KOR08</t>
  </si>
  <si>
    <t>TAESEOK LEE</t>
  </si>
  <si>
    <t>KOR09</t>
  </si>
  <si>
    <t>MUYNGJAE LEE</t>
  </si>
  <si>
    <t>KOR10</t>
  </si>
  <si>
    <t>JAESUNG LEE</t>
  </si>
  <si>
    <t>KOR11</t>
  </si>
  <si>
    <t>INBEOM HWANG</t>
  </si>
  <si>
    <t>KOR12</t>
  </si>
  <si>
    <t>KANGIN LEE</t>
  </si>
  <si>
    <t>KOR13</t>
  </si>
  <si>
    <t>KOR14</t>
  </si>
  <si>
    <t>SEUNGHO PAIK</t>
  </si>
  <si>
    <t>KOR15</t>
  </si>
  <si>
    <t>JENS CASTROP</t>
  </si>
  <si>
    <t>KOR16</t>
  </si>
  <si>
    <t>DONGGYEONG LEE</t>
  </si>
  <si>
    <t>KOR17</t>
  </si>
  <si>
    <t>GUESUNG CHO</t>
  </si>
  <si>
    <t>KOR18</t>
  </si>
  <si>
    <t>HEUNGMIN SON</t>
  </si>
  <si>
    <t>KOR19</t>
  </si>
  <si>
    <t>HEECHAN HWANG</t>
  </si>
  <si>
    <t>KOR20</t>
  </si>
  <si>
    <t>HYEONGYU OH</t>
  </si>
  <si>
    <t>CZE01</t>
  </si>
  <si>
    <t>CZCECHIA</t>
  </si>
  <si>
    <t>CZECHIA NATIONAL TEAM</t>
  </si>
  <si>
    <t>CZE02</t>
  </si>
  <si>
    <t>MATEJ KOVAR</t>
  </si>
  <si>
    <t>CZE03</t>
  </si>
  <si>
    <t>JINDRICH STANEK</t>
  </si>
  <si>
    <t>CZE04</t>
  </si>
  <si>
    <t>LADISLAV KREJCI</t>
  </si>
  <si>
    <t>CZE05</t>
  </si>
  <si>
    <t>VLADIMIR COUFAL</t>
  </si>
  <si>
    <t>CZE06</t>
  </si>
  <si>
    <t>JAROSLAV ZELENY</t>
  </si>
  <si>
    <t>CZE07</t>
  </si>
  <si>
    <t>TOMAS HOLES</t>
  </si>
  <si>
    <t>CZE08</t>
  </si>
  <si>
    <t>DAVID ZIMA</t>
  </si>
  <si>
    <t>CZE09</t>
  </si>
  <si>
    <t>MICHAL SADILEK</t>
  </si>
  <si>
    <t>CZE10</t>
  </si>
  <si>
    <t>LUKAS PROVOD</t>
  </si>
  <si>
    <t>CZE11</t>
  </si>
  <si>
    <t>LUKAS CERV</t>
  </si>
  <si>
    <t>CZE12</t>
  </si>
  <si>
    <t>TOMAS SOUCEK</t>
  </si>
  <si>
    <t>CZE13</t>
  </si>
  <si>
    <t>CZE14</t>
  </si>
  <si>
    <t>PAVEL SULC</t>
  </si>
  <si>
    <t>CZE15</t>
  </si>
  <si>
    <t>MATEJ VYDRA</t>
  </si>
  <si>
    <t>CZE16</t>
  </si>
  <si>
    <t>VASIL KUSEJ</t>
  </si>
  <si>
    <t>CZE17</t>
  </si>
  <si>
    <t>TOMAS CHORY</t>
  </si>
  <si>
    <t>CZE18</t>
  </si>
  <si>
    <t>VACLAV CHERNY</t>
  </si>
  <si>
    <t>CZE19</t>
  </si>
  <si>
    <t>ADAM HLOZEK</t>
  </si>
  <si>
    <t>CZE20</t>
  </si>
  <si>
    <t>PATRICK SHICK</t>
  </si>
  <si>
    <t>CAN01</t>
  </si>
  <si>
    <t>CANADA</t>
  </si>
  <si>
    <t>CANADA NATIONAL TEAM</t>
  </si>
  <si>
    <t>CAN02</t>
  </si>
  <si>
    <t>DAYNE ST. CLAIR</t>
  </si>
  <si>
    <t>CAN03</t>
  </si>
  <si>
    <t>ALPHONSO DAVIES</t>
  </si>
  <si>
    <t>CAN04</t>
  </si>
  <si>
    <t>ALISTAIR JOHNSTON</t>
  </si>
  <si>
    <t>CAN05</t>
  </si>
  <si>
    <t>SAMUEL ADEKUGBE</t>
  </si>
  <si>
    <t>CAN06</t>
  </si>
  <si>
    <t>RICHIE LARVEA</t>
  </si>
  <si>
    <t>CAN07</t>
  </si>
  <si>
    <t>DEREK CORNELIUS</t>
  </si>
  <si>
    <t>CAN08</t>
  </si>
  <si>
    <t>MOISE BOMBITO</t>
  </si>
  <si>
    <t>CAN09</t>
  </si>
  <si>
    <t>KAMAL MILLER</t>
  </si>
  <si>
    <t>CAN10</t>
  </si>
  <si>
    <t>STEPHEN EUSTAQUIO</t>
  </si>
  <si>
    <t>CAN11</t>
  </si>
  <si>
    <t>ISMAEL KONE</t>
  </si>
  <si>
    <t>CAN12</t>
  </si>
  <si>
    <t>JONATHAN OSORIO</t>
  </si>
  <si>
    <t>CAN13</t>
  </si>
  <si>
    <t>CAN14</t>
  </si>
  <si>
    <t>JACOB SHAFFELBURG</t>
  </si>
  <si>
    <t>CAN15</t>
  </si>
  <si>
    <t>MATHIEU CHOINIERE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</si>
  <si>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</si>
  <si>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</si>
  <si>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</si>
  <si>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</si>
  <si>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</si>
  <si>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</si>
  <si>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</si>
  <si>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</si>
  <si>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</si>
  <si>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</si>
  <si>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BIH01</t>
  </si>
  <si>
    <t>BOSNIA HERZEGOVINA</t>
  </si>
  <si>
    <t>BOSNIA HERZEGOVINA NATIONAL TEAM</t>
  </si>
  <si>
    <t>BIH02</t>
  </si>
  <si>
    <t>NIKOLA VASILJ</t>
  </si>
  <si>
    <t>BIH03</t>
  </si>
  <si>
    <t>AMAR DEDIC</t>
  </si>
  <si>
    <t>BIH04</t>
  </si>
  <si>
    <t>SEAD KOLASINAC</t>
  </si>
  <si>
    <t>BIH05</t>
  </si>
  <si>
    <t>TARIK MUHAREMOVIC</t>
  </si>
  <si>
    <t>BIH06</t>
  </si>
  <si>
    <t>NIIHAD MUJAKIC</t>
  </si>
  <si>
    <t>BIH07</t>
  </si>
  <si>
    <t>NICOLA KATIC</t>
  </si>
  <si>
    <t>BIH08</t>
  </si>
  <si>
    <t>AMIR HADZIAHMETOVIC</t>
  </si>
  <si>
    <t>BIH09</t>
  </si>
  <si>
    <t>BENJAMIN TAHIROVIC</t>
  </si>
  <si>
    <t>BIH10</t>
  </si>
  <si>
    <t>ARMIN GIGOVIC</t>
  </si>
  <si>
    <t>BIH11</t>
  </si>
  <si>
    <t>IVAN SUNJIC</t>
  </si>
  <si>
    <t>BIH12</t>
  </si>
  <si>
    <t>IVAN BASIC</t>
  </si>
  <si>
    <t>BIH13</t>
  </si>
  <si>
    <t>BIH14</t>
  </si>
  <si>
    <t>DZENIS BURNIC</t>
  </si>
  <si>
    <t>BIH15</t>
  </si>
  <si>
    <t>ESMIR BAJRAKTAREVIC</t>
  </si>
  <si>
    <t>BIH16</t>
  </si>
  <si>
    <t>AMAR MEMIC</t>
  </si>
  <si>
    <t>BIH17</t>
  </si>
  <si>
    <t>ERMEDIN DEMIROVIC</t>
  </si>
  <si>
    <t>BIH18</t>
  </si>
  <si>
    <t>EDIN DZEKO</t>
  </si>
  <si>
    <t>BIH19</t>
  </si>
  <si>
    <t>SAMED BAZDAR</t>
  </si>
  <si>
    <t>BIH20</t>
  </si>
  <si>
    <t>HARIS TABAKOVIC</t>
  </si>
  <si>
    <t>QAT01</t>
  </si>
  <si>
    <t>QATAR</t>
  </si>
  <si>
    <t>QATAR NATIONAL TEAM</t>
  </si>
  <si>
    <t>QAT02</t>
  </si>
  <si>
    <t>MESHAAL BARSHAM</t>
  </si>
  <si>
    <t>QAT03</t>
  </si>
  <si>
    <t>SULTAN ALBRAKE</t>
  </si>
  <si>
    <t>QAT04</t>
  </si>
  <si>
    <t>LUCAS MENDES</t>
  </si>
  <si>
    <t>QAT05</t>
  </si>
  <si>
    <t>HOMAM AHMED</t>
  </si>
  <si>
    <t>QAT06</t>
  </si>
  <si>
    <t>BOUALEM KHOUKHI</t>
  </si>
  <si>
    <t>QAT07</t>
  </si>
  <si>
    <t>PEDRO MIGUEL</t>
  </si>
  <si>
    <t>QAT08</t>
  </si>
  <si>
    <t>TAREK SALMAN</t>
  </si>
  <si>
    <t>QAT09</t>
  </si>
  <si>
    <t>MOHAMMED MANNAI</t>
  </si>
  <si>
    <t>QAT10</t>
  </si>
  <si>
    <t>KARIM BOUDIAF</t>
  </si>
  <si>
    <t>QAT11</t>
  </si>
  <si>
    <t>ASSIM MADIBO</t>
  </si>
  <si>
    <t>QAT12</t>
  </si>
  <si>
    <t>HAMED FATEHI</t>
  </si>
  <si>
    <t>QAT13</t>
  </si>
  <si>
    <t>QAT14</t>
  </si>
  <si>
    <t>MOHAMMED WAAD</t>
  </si>
  <si>
    <t>QAT15</t>
  </si>
  <si>
    <t>ABDULAZIZ HATEM</t>
  </si>
  <si>
    <t>QAT16</t>
  </si>
  <si>
    <t>HASSAN AL-HAVDOS</t>
  </si>
  <si>
    <t>QAT17</t>
  </si>
  <si>
    <t>EDMILSON JUNIOR</t>
  </si>
  <si>
    <t>QAT18</t>
  </si>
  <si>
    <t>AKRAM HASSAN AFIF</t>
  </si>
  <si>
    <t>QAT19</t>
  </si>
  <si>
    <t>AHMED AL-GANEHI</t>
  </si>
  <si>
    <t>QAT20</t>
  </si>
  <si>
    <t>ALMOEZ ALI</t>
  </si>
  <si>
    <t>SUI01</t>
  </si>
  <si>
    <t>SWITZERLAND</t>
  </si>
  <si>
    <t>SWITZERLAND NATIONAL TEAM</t>
  </si>
  <si>
    <t>SUI02</t>
  </si>
  <si>
    <t>GREGOR KOBEL</t>
  </si>
  <si>
    <t>SUI03</t>
  </si>
  <si>
    <t>YVON MVOGO</t>
  </si>
  <si>
    <t>SUI04</t>
  </si>
  <si>
    <t>MANUEL AKANJI</t>
  </si>
  <si>
    <t>SUI05</t>
  </si>
  <si>
    <t>RICARDO RODRIGUEZ</t>
  </si>
  <si>
    <t>SUI06</t>
  </si>
  <si>
    <t>NICO ELVEDI</t>
  </si>
  <si>
    <t>SUI07</t>
  </si>
  <si>
    <t>AURELE AMENDA</t>
  </si>
  <si>
    <t>SUI08</t>
  </si>
  <si>
    <t>SILVAN WIDMER</t>
  </si>
  <si>
    <t>SUI09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</si>
  <si>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</si>
  <si>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</si>
  <si>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</si>
  <si>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</si>
  <si>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</si>
  <si>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</si>
  <si>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</si>
  <si>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</si>
  <si>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</si>
  <si>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AARON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</si>
  <si>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</si>
  <si>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</si>
  <si>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</si>
  <si>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</si>
  <si>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</si>
  <si>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</si>
  <si>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</si>
  <si>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RUBEN VARGAS</t>
  </si>
  <si>
    <t>SUI19</t>
  </si>
  <si>
    <t>DAN NDOVE</t>
  </si>
  <si>
    <t>SUI20</t>
  </si>
  <si>
    <t>ZEKI AMDOUNI</t>
  </si>
  <si>
    <t>BRA01</t>
  </si>
  <si>
    <t>BRAZIL</t>
  </si>
  <si>
    <t>BRAZIL NATIONAL TEAM</t>
  </si>
  <si>
    <t>BRA02</t>
  </si>
  <si>
    <t>ALISSON</t>
  </si>
  <si>
    <t>BRA03</t>
  </si>
  <si>
    <t>BENTO</t>
  </si>
  <si>
    <t>BRA04</t>
  </si>
  <si>
    <t>MARQUINOS</t>
  </si>
  <si>
    <t>BRA05</t>
  </si>
  <si>
    <t>EDER MILITAO</t>
  </si>
  <si>
    <t>BRA06</t>
  </si>
  <si>
    <t>GABRIEL MAGALHAES</t>
  </si>
  <si>
    <t>BRA07</t>
  </si>
  <si>
    <t>DANILO</t>
  </si>
  <si>
    <t>BRA08</t>
  </si>
  <si>
    <t>WESLEY</t>
  </si>
  <si>
    <t>BRA09</t>
  </si>
  <si>
    <t>LUCAS PAQUETÁ</t>
  </si>
  <si>
    <t>BRA10</t>
  </si>
  <si>
    <t>CASEMIRO</t>
  </si>
  <si>
    <t>BRA11</t>
  </si>
  <si>
    <t>BRUNO GUIMARAES</t>
  </si>
  <si>
    <t>BRA12</t>
  </si>
  <si>
    <t>LUIZ HENRIQUE</t>
  </si>
  <si>
    <t>BRA13</t>
  </si>
  <si>
    <t>BRA14</t>
  </si>
  <si>
    <t>VINICIUS JUNIOR</t>
  </si>
  <si>
    <t>BRA15</t>
  </si>
  <si>
    <t>RODRYGO</t>
  </si>
  <si>
    <t>BRA16</t>
  </si>
  <si>
    <t>JOAO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</si>
  <si>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</si>
  <si>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</si>
  <si>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</si>
  <si>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</si>
  <si>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</si>
  <si>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</si>
  <si>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</si>
  <si>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ESTEVAO</t>
  </si>
  <si>
    <t>MAR01</t>
  </si>
  <si>
    <t>MOROCCO</t>
  </si>
  <si>
    <t>MOROCCO NATIONAL TEAM</t>
  </si>
  <si>
    <t>MAR02</t>
  </si>
  <si>
    <t>YASSINE BOUNOU</t>
  </si>
  <si>
    <t>MAR03</t>
  </si>
  <si>
    <t>MUNIR EL KAJOUR</t>
  </si>
  <si>
    <t>MAR04</t>
  </si>
  <si>
    <t>ACHRAF HAKIMI</t>
  </si>
  <si>
    <t>MAR05</t>
  </si>
  <si>
    <t>NOUSSAIR MAZRAOUI</t>
  </si>
  <si>
    <t>MAR06</t>
  </si>
  <si>
    <t>NAYEF AGUERD</t>
  </si>
  <si>
    <t>MAR07</t>
  </si>
  <si>
    <t>ROMAIN SAISS</t>
  </si>
  <si>
    <t>MAR08</t>
  </si>
  <si>
    <t>JAWAD EL YAMIQ</t>
  </si>
  <si>
    <t>MAR09</t>
  </si>
  <si>
    <t>ADAM MASINA</t>
  </si>
  <si>
    <t>MAR10</t>
  </si>
  <si>
    <t>SOFYAN AMRABAT</t>
  </si>
  <si>
    <t>MAR11</t>
  </si>
  <si>
    <t>AZZEDINE OUNAHI</t>
  </si>
  <si>
    <t>MAR12</t>
  </si>
  <si>
    <t>ELIESSE BEN SEGHIR</t>
  </si>
  <si>
    <t>MAR13</t>
  </si>
  <si>
    <t>MAR14</t>
  </si>
  <si>
    <t>BILAL EL KHANNOUSS</t>
  </si>
  <si>
    <t>MAR15</t>
  </si>
  <si>
    <t>ISMAEL SAIBARI</t>
  </si>
  <si>
    <t>MAR16</t>
  </si>
  <si>
    <t>YOUSSEF EN-NESYRI</t>
  </si>
  <si>
    <t>MAR17</t>
  </si>
  <si>
    <t>ABDE EZZALZOULI</t>
  </si>
  <si>
    <t>MAR18</t>
  </si>
  <si>
    <t>SOUFIANE RAHIMI</t>
  </si>
  <si>
    <t>MAR19</t>
  </si>
  <si>
    <t>BRAHIM DIAZ</t>
  </si>
  <si>
    <t>MAR20</t>
  </si>
  <si>
    <t>AYOUB EL KAABI</t>
  </si>
  <si>
    <t>HAI 01</t>
  </si>
  <si>
    <t>HAITI</t>
  </si>
  <si>
    <t>HAITI NATIONAL TEAM</t>
  </si>
  <si>
    <t>HAI 02</t>
  </si>
  <si>
    <t>JOHNY PLACIDE</t>
  </si>
  <si>
    <t>HAI 03</t>
  </si>
  <si>
    <t>CARLENS ARCUS</t>
  </si>
  <si>
    <t>HAI 04</t>
  </si>
  <si>
    <t>MARTIN EXPERIENCE</t>
  </si>
  <si>
    <t>HAI 05</t>
  </si>
  <si>
    <t>JEAN KEVIN DUVERNE</t>
  </si>
  <si>
    <t>HAI 06</t>
  </si>
  <si>
    <t>RICARDO ADÉ</t>
  </si>
  <si>
    <t>HAI 07</t>
  </si>
  <si>
    <t>DUKE LACROIX</t>
  </si>
  <si>
    <t>HAI 08</t>
  </si>
  <si>
    <t>GARVEN METUSALA</t>
  </si>
  <si>
    <t>HAI 09</t>
  </si>
  <si>
    <t>HANNES DEL CROIX</t>
  </si>
  <si>
    <t>HAI 10</t>
  </si>
  <si>
    <t>LEVERTON PIERRE</t>
  </si>
  <si>
    <t>HAI 11</t>
  </si>
  <si>
    <t>DANLEY JEAN JACQUES</t>
  </si>
  <si>
    <t>HAI 12</t>
  </si>
  <si>
    <t>JEAN RICNER BELLEGARDE</t>
  </si>
  <si>
    <t>HAI 13</t>
  </si>
  <si>
    <t>HAI 14</t>
  </si>
  <si>
    <t>CHRISTOPHER ATTYS</t>
  </si>
  <si>
    <t>HAI 15</t>
  </si>
  <si>
    <t>DERRICK ETIENNER JR.</t>
  </si>
  <si>
    <t>HAI 16</t>
  </si>
  <si>
    <t>JOSUÉ CASIMIR</t>
  </si>
  <si>
    <t>HAI 17</t>
  </si>
  <si>
    <t>RUBEN PROVIDENCE</t>
  </si>
  <si>
    <t>HAI 18</t>
  </si>
  <si>
    <t>DUCKENS NAZON</t>
  </si>
  <si>
    <t>HAI 19</t>
  </si>
  <si>
    <t>LOUICIUS DEEDSON</t>
  </si>
  <si>
    <t>HAI 20</t>
  </si>
  <si>
    <t>FRANTZDY PIERROT</t>
  </si>
  <si>
    <t>SCO01</t>
  </si>
  <si>
    <t>SCOTLAND</t>
  </si>
  <si>
    <t>SCOTLAND NATIONAL TEAM</t>
  </si>
  <si>
    <t>SCO02</t>
  </si>
  <si>
    <t>ANGUS GUNN</t>
  </si>
  <si>
    <t>SCO03</t>
  </si>
  <si>
    <t>JACK HENDRY</t>
  </si>
  <si>
    <t>SCO04</t>
  </si>
  <si>
    <t>KIERAN TIERNEY</t>
  </si>
  <si>
    <t>SCO05</t>
  </si>
  <si>
    <t>AARON HICKEY</t>
  </si>
  <si>
    <t>SCO06</t>
  </si>
  <si>
    <t>ANDREW ROBERTSON</t>
  </si>
  <si>
    <t>SCO07</t>
  </si>
  <si>
    <t>SCOTT MCKENNA</t>
  </si>
  <si>
    <t>SCO08</t>
  </si>
  <si>
    <t>JOHN SOUTTAR</t>
  </si>
  <si>
    <t>SCO09</t>
  </si>
  <si>
    <t>ANTHONY RALSTON</t>
  </si>
  <si>
    <t>SCO10</t>
  </si>
  <si>
    <t>GRANT HANLEY</t>
  </si>
  <si>
    <t>SCO11</t>
  </si>
  <si>
    <t>SCOTT MCTOMMINAY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</si>
  <si>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</si>
  <si>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</si>
  <si>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</si>
  <si>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</si>
  <si>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</si>
  <si>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</si>
  <si>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</si>
  <si>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</si>
  <si>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</si>
  <si>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</si>
  <si>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</si>
  <si>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</si>
  <si>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</si>
  <si>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</si>
  <si>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CHE ADAMS</t>
  </si>
  <si>
    <t>SCO20</t>
  </si>
  <si>
    <t>BEN GANNON-DOAK</t>
  </si>
  <si>
    <t>USA01</t>
  </si>
  <si>
    <t>UNITED STATES</t>
  </si>
  <si>
    <t>UNITED STATES NATIONAL TEAM</t>
  </si>
  <si>
    <t>USA02</t>
  </si>
  <si>
    <t>MATT FREESE</t>
  </si>
  <si>
    <t>USA03</t>
  </si>
  <si>
    <t>CHRIS RICHARDS</t>
  </si>
  <si>
    <t>USA04</t>
  </si>
  <si>
    <t>TIM REAM</t>
  </si>
  <si>
    <t>USA05</t>
  </si>
  <si>
    <t>MARK MCKENZIE</t>
  </si>
  <si>
    <t>USA06</t>
  </si>
  <si>
    <t>ALEX FREEMAN</t>
  </si>
  <si>
    <t>USA07</t>
  </si>
  <si>
    <t>ANTONEE ROBINSON</t>
  </si>
  <si>
    <t>USA08</t>
  </si>
  <si>
    <t>TYLER ADAMS</t>
  </si>
  <si>
    <t>USA09</t>
  </si>
  <si>
    <t>TANNER TESSMANN</t>
  </si>
  <si>
    <t>USA10</t>
  </si>
  <si>
    <t>WESTON MCKENNIE</t>
  </si>
  <si>
    <t>USA11</t>
  </si>
  <si>
    <t>CRISTIAN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</si>
  <si>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</si>
  <si>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</si>
  <si>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</si>
  <si>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</si>
  <si>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</si>
  <si>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</si>
  <si>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</si>
  <si>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</si>
  <si>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</si>
  <si>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</si>
  <si>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</si>
  <si>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</si>
  <si>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</si>
  <si>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</si>
  <si>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</si>
  <si>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</si>
  <si>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</si>
  <si>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PAR01</t>
  </si>
  <si>
    <t>PARAGUAY</t>
  </si>
  <si>
    <t>PARAGUAY NATIONAL TEAM</t>
  </si>
  <si>
    <t>PAR02</t>
  </si>
  <si>
    <t>ROBERTO FERNANDEZ</t>
  </si>
  <si>
    <t>PAR03</t>
  </si>
  <si>
    <t>ORLANDO GILL</t>
  </si>
  <si>
    <t>PAR04</t>
  </si>
  <si>
    <t>GUSTAVO GOMEZ</t>
  </si>
  <si>
    <t>PAR05</t>
  </si>
  <si>
    <t>FABIAN BALBUENA</t>
  </si>
  <si>
    <t>PAR06</t>
  </si>
  <si>
    <t>JUAN JOSE CACERES</t>
  </si>
  <si>
    <t>PAR07</t>
  </si>
  <si>
    <t>OMAR ALDRETE</t>
  </si>
  <si>
    <t>PAR08</t>
  </si>
  <si>
    <t>JUNIOR ALONSO</t>
  </si>
  <si>
    <t>PAR09</t>
  </si>
  <si>
    <t>MATHIAS VILLASANTI</t>
  </si>
  <si>
    <t>PAR10</t>
  </si>
  <si>
    <t>DIEGO GOMEZ</t>
  </si>
  <si>
    <t>PAR11</t>
  </si>
  <si>
    <t>DAMIAN BOBADILLA</t>
  </si>
  <si>
    <t>PAR12</t>
  </si>
  <si>
    <t>ANDRÉS CUBAS</t>
  </si>
  <si>
    <t>PAR13</t>
  </si>
  <si>
    <t>PAR14</t>
  </si>
  <si>
    <t>MATIAS GALARZA FONDA</t>
  </si>
  <si>
    <t>PAR15</t>
  </si>
  <si>
    <t>JULIO ENCISO</t>
  </si>
  <si>
    <t>PAR16</t>
  </si>
  <si>
    <t>ALEJANDRO ROMERO GAMARRA</t>
  </si>
  <si>
    <t>PAR17</t>
  </si>
  <si>
    <t>MIGUEL ALMIRON</t>
  </si>
  <si>
    <t>PAR18</t>
  </si>
  <si>
    <t>RAMON SOSA</t>
  </si>
  <si>
    <t>PAR19</t>
  </si>
  <si>
    <t>ANGEL ROMERO</t>
  </si>
  <si>
    <t>PAR20</t>
  </si>
  <si>
    <t>ANTONIO SANABRIA</t>
  </si>
  <si>
    <t>AUS01</t>
  </si>
  <si>
    <t>AUSTRALIA</t>
  </si>
  <si>
    <t>AUSTRALIA NATIONAL TEAM</t>
  </si>
  <si>
    <t>AUS02</t>
  </si>
  <si>
    <t>MATTHEW RYAN</t>
  </si>
  <si>
    <t>AUS03</t>
  </si>
  <si>
    <t>JOE GAUCI</t>
  </si>
  <si>
    <t>AUS04</t>
  </si>
  <si>
    <t>HARRY SOUTTAR</t>
  </si>
  <si>
    <t>AUS05</t>
  </si>
  <si>
    <t>ALESSANDRO CIRCATI</t>
  </si>
  <si>
    <t>AUS06</t>
  </si>
  <si>
    <t>JORDAN BOS</t>
  </si>
  <si>
    <t>AUS07</t>
  </si>
  <si>
    <t>AZIZ BEHICH</t>
  </si>
  <si>
    <t>AUS08</t>
  </si>
  <si>
    <t>CAMERON BURGESS</t>
  </si>
  <si>
    <t>AUS09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</si>
  <si>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</si>
  <si>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</si>
  <si>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</si>
  <si>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</si>
  <si>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</si>
  <si>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</si>
  <si>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</si>
  <si>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</si>
  <si>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</si>
  <si>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O´NEILL</t>
  </si>
  <si>
    <t>AUS15</t>
  </si>
  <si>
    <t>CONNOR METCALFE</t>
  </si>
  <si>
    <t>AUS16</t>
  </si>
  <si>
    <t>PATRICK YAZBECK</t>
  </si>
  <si>
    <t>AUS17</t>
  </si>
  <si>
    <t>CRAIG GOODWIN</t>
  </si>
  <si>
    <t>AUS18</t>
  </si>
  <si>
    <t>KUSINI VENGI</t>
  </si>
  <si>
    <t>AUS19</t>
  </si>
  <si>
    <t>NESTORY IRANKUNDA</t>
  </si>
  <si>
    <t>AUS20</t>
  </si>
  <si>
    <t>MOHAMED TOURE</t>
  </si>
  <si>
    <t>TUR01</t>
  </si>
  <si>
    <t>TURKEY</t>
  </si>
  <si>
    <t>TURKEY NATIONAL TEAM</t>
  </si>
  <si>
    <t>TUR02</t>
  </si>
  <si>
    <t>UGURCAN CAKIR</t>
  </si>
  <si>
    <t>TUR03</t>
  </si>
  <si>
    <t>MERT MULDUR</t>
  </si>
  <si>
    <t>TUR04</t>
  </si>
  <si>
    <t>ZEKI CELIK</t>
  </si>
  <si>
    <t>TUR05</t>
  </si>
  <si>
    <t>ABDULKERIM BARDAKCI</t>
  </si>
  <si>
    <t>TUR06</t>
  </si>
  <si>
    <t>CAGLAR SOYUNCU</t>
  </si>
  <si>
    <t>TUR07</t>
  </si>
  <si>
    <t>MERIH DEMIRAL</t>
  </si>
  <si>
    <t>TUR08</t>
  </si>
  <si>
    <t>FERDI KADIOGLU</t>
  </si>
  <si>
    <t>TUR09</t>
  </si>
  <si>
    <t>KAAN AYHAN</t>
  </si>
  <si>
    <t>TUR10</t>
  </si>
  <si>
    <t>ISMAIL YUKSEK</t>
  </si>
  <si>
    <t>TUR11</t>
  </si>
  <si>
    <t>HAKAN CALHANOGLU</t>
  </si>
  <si>
    <t>TUR12</t>
  </si>
  <si>
    <t>ORKUN KOKCU</t>
  </si>
  <si>
    <t>TUR13</t>
  </si>
  <si>
    <t>TUR14</t>
  </si>
  <si>
    <t>ARDA GULER</t>
  </si>
  <si>
    <t>TUR15</t>
  </si>
  <si>
    <t>IRFAN CAN KAHVECI</t>
  </si>
  <si>
    <t>TUR16</t>
  </si>
  <si>
    <t>YUNUS AKGUN</t>
  </si>
  <si>
    <t>TUR17</t>
  </si>
  <si>
    <t>CAN UZUN</t>
  </si>
  <si>
    <t>TUR18</t>
  </si>
  <si>
    <t>BARIS ALPER YILMAZ</t>
  </si>
  <si>
    <t>TUR19</t>
  </si>
  <si>
    <t>KEREM AKTURKOGLU</t>
  </si>
  <si>
    <t>TUR20</t>
  </si>
  <si>
    <t>KENAN YILDIZ</t>
  </si>
  <si>
    <t>GER01</t>
  </si>
  <si>
    <t>GERMANY</t>
  </si>
  <si>
    <t>GERMANY NATIONAL TEAM</t>
  </si>
  <si>
    <t>GER02</t>
  </si>
  <si>
    <t>MARC-ANDRE TER STEGEN</t>
  </si>
  <si>
    <t>GER03</t>
  </si>
  <si>
    <t>JONATHAN TAH</t>
  </si>
  <si>
    <t>GER04</t>
  </si>
  <si>
    <t>DAIVD RAUM</t>
  </si>
  <si>
    <t>GER05</t>
  </si>
  <si>
    <t>NICO SCHLOTTERBECK</t>
  </si>
  <si>
    <t>GER06</t>
  </si>
  <si>
    <t>ANTONIO RUDIGER</t>
  </si>
  <si>
    <t>GER07</t>
  </si>
  <si>
    <t>WALDEMAR ANTON</t>
  </si>
  <si>
    <t>GER08</t>
  </si>
  <si>
    <t>RIDLE BAKU</t>
  </si>
  <si>
    <t>GER09</t>
  </si>
  <si>
    <t>MAXIMILIAN MITTELSTADT</t>
  </si>
  <si>
    <t>GER10</t>
  </si>
  <si>
    <t>JOSHUA KIMMICH</t>
  </si>
  <si>
    <t>GER11</t>
  </si>
  <si>
    <t>FLORIAN WIRTZ</t>
  </si>
  <si>
    <t>GER12</t>
  </si>
  <si>
    <t>FELIZ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</si>
  <si>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</si>
  <si>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</si>
  <si>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</si>
  <si>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</si>
  <si>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</si>
  <si>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</si>
  <si>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</si>
  <si>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</si>
  <si>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</si>
  <si>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</si>
  <si>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SANE</t>
  </si>
  <si>
    <t>GER19</t>
  </si>
  <si>
    <t>KARIM ADEYEMI</t>
  </si>
  <si>
    <t>GER20</t>
  </si>
  <si>
    <t>NICK WOLTEMADE</t>
  </si>
  <si>
    <t>CUW01</t>
  </si>
  <si>
    <t>CURAZAO</t>
  </si>
  <si>
    <t>CURAZAO NATIONAL TEAM</t>
  </si>
  <si>
    <t>CUW02</t>
  </si>
  <si>
    <t>ELOY ROOM</t>
  </si>
  <si>
    <t>CUW03</t>
  </si>
  <si>
    <t>ARMANDO OBISPO</t>
  </si>
  <si>
    <t>CUW04</t>
  </si>
  <si>
    <t>SHEREL FLORANUS</t>
  </si>
  <si>
    <t>CUW05</t>
  </si>
  <si>
    <t>JURIEN GAARI</t>
  </si>
  <si>
    <t>CUW06</t>
  </si>
  <si>
    <t>JOSHUA BRENET</t>
  </si>
  <si>
    <t>CUW07</t>
  </si>
  <si>
    <t>ROSHON VAN EIJMA</t>
  </si>
  <si>
    <t>CUW08</t>
  </si>
  <si>
    <t>SHURANDY SAMBO</t>
  </si>
  <si>
    <t>CUW09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</si>
  <si>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</si>
  <si>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</si>
  <si>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</si>
  <si>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</si>
  <si>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</si>
  <si>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</si>
  <si>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</si>
  <si>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</si>
  <si>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</si>
  <si>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</si>
  <si>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</si>
  <si>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GORRE</t>
  </si>
  <si>
    <t>CUW16</t>
  </si>
  <si>
    <t>JEARL MARGARITHA</t>
  </si>
  <si>
    <t>CUW17</t>
  </si>
  <si>
    <t>JURGEN LOCADIA</t>
  </si>
  <si>
    <t>CUW18</t>
  </si>
  <si>
    <t>JEREMY ANTONISSE</t>
  </si>
  <si>
    <t>CUW19</t>
  </si>
  <si>
    <t>GERVANE KASTANEER</t>
  </si>
  <si>
    <t>CUW20</t>
  </si>
  <si>
    <t>SONTJE HANSEN</t>
  </si>
  <si>
    <t>CIV01</t>
  </si>
  <si>
    <t>COTE D'IVIORE</t>
  </si>
  <si>
    <t>COTE D'IVIORE NATIONAL TEAM</t>
  </si>
  <si>
    <t>CIV02</t>
  </si>
  <si>
    <t>YAHIA FOFANA</t>
  </si>
  <si>
    <t>CIV03</t>
  </si>
  <si>
    <t>GHISLAIN KONAN</t>
  </si>
  <si>
    <t>CIV04</t>
  </si>
  <si>
    <t>WILFRIED SINGO</t>
  </si>
  <si>
    <t>CIV05</t>
  </si>
  <si>
    <t>ODILON KOSSOUNOU</t>
  </si>
  <si>
    <t>CIV06</t>
  </si>
  <si>
    <t>EVAN NDICKA</t>
  </si>
  <si>
    <t>CIV07</t>
  </si>
  <si>
    <t>WILLY BOLY</t>
  </si>
  <si>
    <t>CIV08</t>
  </si>
  <si>
    <t>EMMANUEL AGBADOU</t>
  </si>
  <si>
    <t>CIV09</t>
  </si>
  <si>
    <t>OUSMANE DOIMANDE</t>
  </si>
  <si>
    <t>CIV10</t>
  </si>
  <si>
    <t>FRACNK KESSIE</t>
  </si>
  <si>
    <t>CIV11</t>
  </si>
  <si>
    <t>SEKO FOFANA</t>
  </si>
  <si>
    <t>CIV12</t>
  </si>
  <si>
    <t>IBAHIM SANGARE</t>
  </si>
  <si>
    <t>CIV13</t>
  </si>
  <si>
    <t>CIV14</t>
  </si>
  <si>
    <t>JEAN PHILIPPE GBAMIN</t>
  </si>
  <si>
    <t>CIV15</t>
  </si>
  <si>
    <t>AMAD DIALLO</t>
  </si>
  <si>
    <t>CIV16</t>
  </si>
  <si>
    <t>SEBASTIEN HALLER</t>
  </si>
  <si>
    <t>CIV17</t>
  </si>
  <si>
    <t>SIMON ADINGRA</t>
  </si>
  <si>
    <t>CIV18</t>
  </si>
  <si>
    <t>YAN DIOMANDE</t>
  </si>
  <si>
    <t>CIV19</t>
  </si>
  <si>
    <t>EVANN GUESSAND</t>
  </si>
  <si>
    <t>CIV20</t>
  </si>
  <si>
    <t>OUMAR DIAKITE</t>
  </si>
  <si>
    <t>ECU01</t>
  </si>
  <si>
    <t>ECUADOR</t>
  </si>
  <si>
    <t>ECUADOR NATIONAL TEAM</t>
  </si>
  <si>
    <t>ECU02</t>
  </si>
  <si>
    <t>HERNAN GALINDEZ</t>
  </si>
  <si>
    <t>ECU03</t>
  </si>
  <si>
    <t>GONZALO VALLE</t>
  </si>
  <si>
    <t>ECU04</t>
  </si>
  <si>
    <t>PIERO HINCAPIE</t>
  </si>
  <si>
    <t>ECU05</t>
  </si>
  <si>
    <t>PERVIS ESTUPIÑAN</t>
  </si>
  <si>
    <t>ECU06</t>
  </si>
  <si>
    <t>WILLIAN PACHO</t>
  </si>
  <si>
    <t>ECU07</t>
  </si>
  <si>
    <t>ANGELO PRECIADO</t>
  </si>
  <si>
    <t>ECU08</t>
  </si>
  <si>
    <t>JOEL ORDOÑEZ</t>
  </si>
  <si>
    <t>ECU09</t>
  </si>
  <si>
    <t>MOISES CAICEDO</t>
  </si>
  <si>
    <t>ECU10</t>
  </si>
  <si>
    <t>ALAN FRANCO</t>
  </si>
  <si>
    <t>ECU11</t>
  </si>
  <si>
    <t>KENDRY PAEZ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</si>
  <si>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</si>
  <si>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</si>
  <si>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</si>
  <si>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</si>
  <si>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</si>
  <si>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</si>
  <si>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</si>
  <si>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</si>
  <si>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</si>
  <si>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</si>
  <si>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</si>
  <si>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</si>
  <si>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</si>
  <si>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</si>
  <si>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RODRIGUEZ</t>
  </si>
  <si>
    <t>ECU20</t>
  </si>
  <si>
    <t>ENNER VALENCIA</t>
  </si>
  <si>
    <t>NED01</t>
  </si>
  <si>
    <t>NETHERLANDS</t>
  </si>
  <si>
    <t>NETHERLANDS NATIONAL TEAM</t>
  </si>
  <si>
    <t>NED02</t>
  </si>
  <si>
    <t>BART VERBRUGGEN</t>
  </si>
  <si>
    <t>NED03</t>
  </si>
  <si>
    <t>VIRGIL VAN DIJK</t>
  </si>
  <si>
    <t>NED04</t>
  </si>
  <si>
    <t>MICKY VAN DE VEN</t>
  </si>
  <si>
    <t>NED05</t>
  </si>
  <si>
    <t>JURRIEN TIMBER</t>
  </si>
  <si>
    <t>NED06</t>
  </si>
  <si>
    <t>DENZEL DUMFRIES</t>
  </si>
  <si>
    <t>NED07</t>
  </si>
  <si>
    <t>NATHAN AKE</t>
  </si>
  <si>
    <t>NED08</t>
  </si>
  <si>
    <t>JAREMIE FRIMPONG</t>
  </si>
  <si>
    <t>NED09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</si>
  <si>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</si>
  <si>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</si>
  <si>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</si>
  <si>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</si>
  <si>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</si>
  <si>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</si>
  <si>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</si>
  <si>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</si>
  <si>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</si>
  <si>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</si>
  <si>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</si>
  <si>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</si>
  <si>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</si>
  <si>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</si>
  <si>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</si>
  <si>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</si>
  <si>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</si>
  <si>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</si>
  <si>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</si>
  <si>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</si>
  <si>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</si>
  <si>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</si>
  <si>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JAP01</t>
  </si>
  <si>
    <t>JAPAN</t>
  </si>
  <si>
    <t>JAPAN NATIONAL TEAM</t>
  </si>
  <si>
    <t>JAP02</t>
  </si>
  <si>
    <t>ZION SUZUKI</t>
  </si>
  <si>
    <t>JAP03</t>
  </si>
  <si>
    <t>HENRY HEROKI MOCHIZUKI</t>
  </si>
  <si>
    <t>JAP04</t>
  </si>
  <si>
    <t>AYUMU SEKO</t>
  </si>
  <si>
    <t>JAP05</t>
  </si>
  <si>
    <t>JUNNOSUKE SUZUKI</t>
  </si>
  <si>
    <t>JAP06</t>
  </si>
  <si>
    <t>SHOGO TANIGUCHI</t>
  </si>
  <si>
    <t>JAP07</t>
  </si>
  <si>
    <t>TSUYOSHI WATANABE</t>
  </si>
  <si>
    <t>JAP08</t>
  </si>
  <si>
    <t>KAISHU SANO</t>
  </si>
  <si>
    <t>JAP09</t>
  </si>
  <si>
    <t>YUKI SOMA</t>
  </si>
  <si>
    <t>JAP10</t>
  </si>
  <si>
    <t>AO TANAKA</t>
  </si>
  <si>
    <t>JAP11</t>
  </si>
  <si>
    <t>DAICHI KAMADA</t>
  </si>
  <si>
    <t>JAP12</t>
  </si>
  <si>
    <t>TAKEFUSA KUBO</t>
  </si>
  <si>
    <t>JAP13</t>
  </si>
  <si>
    <t>JAP14</t>
  </si>
  <si>
    <t>RITSU DOAN</t>
  </si>
  <si>
    <t>JAP15</t>
  </si>
  <si>
    <t>KEITO NAKAMURA</t>
  </si>
  <si>
    <t>JAP16</t>
  </si>
  <si>
    <t>TAKUMI MINAMINO</t>
  </si>
  <si>
    <t>JAP17</t>
  </si>
  <si>
    <t>SHUTO MACHINO</t>
  </si>
  <si>
    <t>JAP18</t>
  </si>
  <si>
    <t>JUNYA ITO</t>
  </si>
  <si>
    <t>JAP19</t>
  </si>
  <si>
    <t>KOKI OGAWA</t>
  </si>
  <si>
    <t>JAP20</t>
  </si>
  <si>
    <t>AYASE UEDA</t>
  </si>
  <si>
    <t>SWE01</t>
  </si>
  <si>
    <t>SWEDEN</t>
  </si>
  <si>
    <t>SWEDEN NATIONAL TEAM</t>
  </si>
  <si>
    <t>SWE02</t>
  </si>
  <si>
    <t>VIKTOR JOHANSSON</t>
  </si>
  <si>
    <t>SWE03</t>
  </si>
  <si>
    <t>ISAK HEIN</t>
  </si>
  <si>
    <t>SWE04</t>
  </si>
  <si>
    <t>GABRIEL GUDMUNDSSON</t>
  </si>
  <si>
    <t>SWE05</t>
  </si>
  <si>
    <t>EMIL HOLM</t>
  </si>
  <si>
    <t>SWE06</t>
  </si>
  <si>
    <t>VICTOR NILSSON LINDELOF</t>
  </si>
  <si>
    <t>SWE07</t>
  </si>
  <si>
    <t>GUSTAF LAGERBIELKE</t>
  </si>
  <si>
    <t>SWE08</t>
  </si>
  <si>
    <t>LUCAS BERGVALL</t>
  </si>
  <si>
    <t>SWE09</t>
  </si>
  <si>
    <t>HUGO LARSSON</t>
  </si>
  <si>
    <t>SWE10</t>
  </si>
  <si>
    <t>JESPER KARLSTROM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</si>
  <si>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</si>
  <si>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</si>
  <si>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</si>
  <si>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</si>
  <si>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</si>
  <si>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</si>
  <si>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</si>
  <si>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</si>
  <si>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</si>
  <si>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</si>
  <si>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</si>
  <si>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</si>
  <si>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</si>
  <si>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</si>
  <si>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</si>
  <si>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</si>
  <si>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</si>
  <si>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</si>
  <si>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GYOKERES</t>
  </si>
  <si>
    <t>TUN01</t>
  </si>
  <si>
    <t>TUNISIA</t>
  </si>
  <si>
    <t>TUNISIA NATIONAL TEAM</t>
  </si>
  <si>
    <t>TUN02</t>
  </si>
  <si>
    <t>BECHIR BEN SAID</t>
  </si>
  <si>
    <t>TUN03</t>
  </si>
  <si>
    <t>AYMEHN DAHMEN</t>
  </si>
  <si>
    <t>TUN04</t>
  </si>
  <si>
    <t>VAN VALERY</t>
  </si>
  <si>
    <t>TUN05</t>
  </si>
  <si>
    <t>MONTASSAR TALBI</t>
  </si>
  <si>
    <t>TUN06</t>
  </si>
  <si>
    <t>YASSINE MERIAH</t>
  </si>
  <si>
    <t>TUN07</t>
  </si>
  <si>
    <t>ALI ABDI</t>
  </si>
  <si>
    <t>TUN08</t>
  </si>
  <si>
    <t>DYLAN BRONN</t>
  </si>
  <si>
    <t>TUN09</t>
  </si>
  <si>
    <t>ELLYES SKHIRI</t>
  </si>
  <si>
    <t>TUN10</t>
  </si>
  <si>
    <t>AISSA LAIDOUNI</t>
  </si>
  <si>
    <t>TUN11</t>
  </si>
  <si>
    <t>FERJANI SASSI</t>
  </si>
  <si>
    <t>TUN12</t>
  </si>
  <si>
    <t>MIOHAMED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</si>
  <si>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</si>
  <si>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</si>
  <si>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</si>
  <si>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</si>
  <si>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</si>
  <si>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</si>
  <si>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</si>
  <si>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</si>
  <si>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</si>
  <si>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</si>
  <si>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ISMAEL GHARBI</t>
  </si>
  <si>
    <t>TUN19</t>
  </si>
  <si>
    <t>SAYFALLAH LTAIEF</t>
  </si>
  <si>
    <t>TUN20</t>
  </si>
  <si>
    <t>NAIM SLITTI</t>
  </si>
  <si>
    <t>CC1</t>
  </si>
  <si>
    <t>SECTION 3</t>
  </si>
  <si>
    <t>LAMINE YAMAL</t>
  </si>
  <si>
    <t>CC2</t>
  </si>
  <si>
    <t>JOSHUE KIMMICH</t>
  </si>
  <si>
    <t>CC3</t>
  </si>
  <si>
    <t>HARRY KANE</t>
  </si>
  <si>
    <t>CC4</t>
  </si>
  <si>
    <t>SANTIAGO GIMENEZ</t>
  </si>
  <si>
    <t>CC5</t>
  </si>
  <si>
    <t>JOSKO GVARDIOL</t>
  </si>
  <si>
    <t>CC6</t>
  </si>
  <si>
    <t>FEDERICO VALVERDE</t>
  </si>
  <si>
    <t>CC7</t>
  </si>
  <si>
    <t>JEFFERSON LERMA</t>
  </si>
  <si>
    <t>CC8</t>
  </si>
  <si>
    <t>CC9</t>
  </si>
  <si>
    <t>CC10</t>
  </si>
  <si>
    <t>CC11</t>
  </si>
  <si>
    <t>CC12</t>
  </si>
  <si>
    <t>EMILIANO MARTINEZ</t>
  </si>
  <si>
    <t>CC13</t>
  </si>
  <si>
    <t>RAUL JIMENEZ</t>
  </si>
  <si>
    <t>CC14</t>
  </si>
  <si>
    <t>LAUTARO MARTINEZ</t>
  </si>
  <si>
    <t>BEL01</t>
  </si>
  <si>
    <t>BELGIUM</t>
  </si>
  <si>
    <t>BELGIUM NATIONAL TEAM</t>
  </si>
  <si>
    <t>BEL02</t>
  </si>
  <si>
    <t>THIBAUT COURTOIS</t>
  </si>
  <si>
    <t>BEL03</t>
  </si>
  <si>
    <t>ARTHUR THEATE</t>
  </si>
  <si>
    <t>BEL04</t>
  </si>
  <si>
    <t>TIMOTHY CASTAGNE</t>
  </si>
  <si>
    <t>BEL05</t>
  </si>
  <si>
    <t>ZENO DEBASR</t>
  </si>
  <si>
    <t>BEL06</t>
  </si>
  <si>
    <t>BRANDON MECHELE</t>
  </si>
  <si>
    <t>BEL07</t>
  </si>
  <si>
    <t>MAXIM DE CUYPER</t>
  </si>
  <si>
    <t>BEL08</t>
  </si>
  <si>
    <t>THOMAS MEUNIER</t>
  </si>
  <si>
    <t>BEL09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</si>
  <si>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</si>
  <si>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</si>
  <si>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</si>
  <si>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</si>
  <si>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</si>
  <si>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</si>
  <si>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</si>
  <si>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</si>
  <si>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</si>
  <si>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</si>
  <si>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</si>
  <si>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DEBRUYNE</t>
  </si>
  <si>
    <t>BEL16</t>
  </si>
  <si>
    <t>JEREMY DOKU</t>
  </si>
  <si>
    <t>BEL17</t>
  </si>
  <si>
    <t>CHARLES DE KETELAERE</t>
  </si>
  <si>
    <t>BEL18</t>
  </si>
  <si>
    <t>LEANDRO TROSSARD</t>
  </si>
  <si>
    <t>BEL19</t>
  </si>
  <si>
    <t>LIOS OPENDA</t>
  </si>
  <si>
    <t>BEL20</t>
  </si>
  <si>
    <t>ROMELU LUKAKU</t>
  </si>
  <si>
    <t>EGY01</t>
  </si>
  <si>
    <t>EGYPT</t>
  </si>
  <si>
    <t>EGYPT NATIONAL TEAM</t>
  </si>
  <si>
    <t>EGY02</t>
  </si>
  <si>
    <t>MOHAMED ELSHENAWY</t>
  </si>
  <si>
    <t>EGY03</t>
  </si>
  <si>
    <t>MOHAMED HANY</t>
  </si>
  <si>
    <t>EGY04</t>
  </si>
  <si>
    <t>MOHAMED HAMBY</t>
  </si>
  <si>
    <t>EGY05</t>
  </si>
  <si>
    <t>YASSER IBRAHIM</t>
  </si>
  <si>
    <t>EGY06</t>
  </si>
  <si>
    <t>KHALED SOBHI</t>
  </si>
  <si>
    <t>EGY07</t>
  </si>
  <si>
    <t>RAMY RABIA</t>
  </si>
  <si>
    <t>EGY08</t>
  </si>
  <si>
    <t>HOSSAM ABDELMAGUID</t>
  </si>
  <si>
    <t>EGY09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</si>
  <si>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</si>
  <si>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</si>
  <si>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</si>
  <si>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</si>
  <si>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</si>
  <si>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</si>
  <si>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</si>
  <si>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</si>
  <si>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</si>
  <si>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MOHANAD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</si>
  <si>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</si>
  <si>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</si>
  <si>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</si>
  <si>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</si>
  <si>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</si>
  <si>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</si>
  <si>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</si>
  <si>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</si>
  <si>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</si>
  <si>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</si>
  <si>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</si>
  <si>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MARMOUSH</t>
  </si>
  <si>
    <t>IRN01</t>
  </si>
  <si>
    <t>IRAN</t>
  </si>
  <si>
    <t>IRAN NATIONAL TEAM</t>
  </si>
  <si>
    <t>IRN02</t>
  </si>
  <si>
    <t>ALIREZA BEIRANVAND</t>
  </si>
  <si>
    <t>IRN03</t>
  </si>
  <si>
    <t>MORTEZA POURALIGANJI</t>
  </si>
  <si>
    <t>IRN04</t>
  </si>
  <si>
    <t>EHSAN HAJSAFI</t>
  </si>
  <si>
    <t>IRN05</t>
  </si>
  <si>
    <t>MILAD MOHAMMADI</t>
  </si>
  <si>
    <t>IRN06</t>
  </si>
  <si>
    <t>SHOJAE KHALILZAEDH</t>
  </si>
  <si>
    <t>IRN07</t>
  </si>
  <si>
    <t>RAMIN REZAEIAN</t>
  </si>
  <si>
    <t>IRN08</t>
  </si>
  <si>
    <t>HOSSEIN KANAANI</t>
  </si>
  <si>
    <t>IRN09</t>
  </si>
  <si>
    <t>SADEGH MOHARRAMI</t>
  </si>
  <si>
    <t>IRN10</t>
  </si>
  <si>
    <t>SALEH HARDANI</t>
  </si>
  <si>
    <t>IRN11</t>
  </si>
  <si>
    <t>SAEED EZTOLAHI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</si>
  <si>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</si>
  <si>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</si>
  <si>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</si>
  <si>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</si>
  <si>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</si>
  <si>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</si>
  <si>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</si>
  <si>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</si>
  <si>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</si>
  <si>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</si>
  <si>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</si>
  <si>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</si>
  <si>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</si>
  <si>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</si>
  <si>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</si>
  <si>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</si>
  <si>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</si>
  <si>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NZL01</t>
  </si>
  <si>
    <t>NEW ZEALAND</t>
  </si>
  <si>
    <t>NEW ZEALAND NATIONAL TEAM</t>
  </si>
  <si>
    <t>NZL02</t>
  </si>
  <si>
    <t>MAX CROCOMBE</t>
  </si>
  <si>
    <t>NZL03</t>
  </si>
  <si>
    <t>ALEX PAULSEN</t>
  </si>
  <si>
    <t>NZL04</t>
  </si>
  <si>
    <t>MICHAEL BOXALL</t>
  </si>
  <si>
    <t>NZL05</t>
  </si>
  <si>
    <t>LIBERATO CACACE</t>
  </si>
  <si>
    <t>NZL06</t>
  </si>
  <si>
    <t>TIM PAYNE</t>
  </si>
  <si>
    <t>NZL07</t>
  </si>
  <si>
    <t>TYLER BINDON</t>
  </si>
  <si>
    <t>NZL08</t>
  </si>
  <si>
    <t>FRANCIS DE VRIES</t>
  </si>
  <si>
    <t>NZL09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</si>
  <si>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</si>
  <si>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</si>
  <si>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</si>
  <si>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</si>
  <si>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</si>
  <si>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</si>
  <si>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</si>
  <si>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</si>
  <si>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</si>
  <si>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</si>
  <si>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</si>
  <si>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STAMENIC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</si>
  <si>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</si>
  <si>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</si>
  <si>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</si>
  <si>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</si>
  <si>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</si>
  <si>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</si>
  <si>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</si>
  <si>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</si>
  <si>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</si>
  <si>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</si>
  <si>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ESP01</t>
  </si>
  <si>
    <t>SPAIN</t>
  </si>
  <si>
    <t>SPAIN NATIONAL TEAM</t>
  </si>
  <si>
    <t>ESP02</t>
  </si>
  <si>
    <t>UNAI SIMON</t>
  </si>
  <si>
    <t>ESP03</t>
  </si>
  <si>
    <t>ROBIN LE NORMAND</t>
  </si>
  <si>
    <t>ESP04</t>
  </si>
  <si>
    <t>AYMERIC LAPORTE</t>
  </si>
  <si>
    <t>ESP05</t>
  </si>
  <si>
    <t>DEAN HUIJSEN</t>
  </si>
  <si>
    <t>ESP06</t>
  </si>
  <si>
    <t>PEDRO PORRO</t>
  </si>
  <si>
    <t>ESP07</t>
  </si>
  <si>
    <t>DANI CARVAJAL</t>
  </si>
  <si>
    <t>ESP08</t>
  </si>
  <si>
    <t>MARC CUCURELLA</t>
  </si>
  <si>
    <t>ESP09</t>
  </si>
  <si>
    <t>MARTIN ZUBIMENDI</t>
  </si>
  <si>
    <t>ESP10</t>
  </si>
  <si>
    <t>RODRI</t>
  </si>
  <si>
    <t>ESP11</t>
  </si>
  <si>
    <t>PEDRI</t>
  </si>
  <si>
    <t>ESP12</t>
  </si>
  <si>
    <t>FABIAN RUIZ</t>
  </si>
  <si>
    <t>ESP13</t>
  </si>
  <si>
    <t>ESP14</t>
  </si>
  <si>
    <t>MIKEL MERINO</t>
  </si>
  <si>
    <t>ESP15</t>
  </si>
  <si>
    <t>ESP16</t>
  </si>
  <si>
    <t>DANI OLMO</t>
  </si>
  <si>
    <t>ESP17</t>
  </si>
  <si>
    <t>NICO WILLIAMS</t>
  </si>
  <si>
    <t>ESP18</t>
  </si>
  <si>
    <t>FERRAN TORRES</t>
  </si>
  <si>
    <t>ESP19</t>
  </si>
  <si>
    <t>ALVARO MORATA</t>
  </si>
  <si>
    <t>ESP20</t>
  </si>
  <si>
    <t>MIKEL OYARZABAL</t>
  </si>
  <si>
    <t>CPV01</t>
  </si>
  <si>
    <t>CAPE GREEN</t>
  </si>
  <si>
    <t>CAPE GREEN NATIONAL TEAM</t>
  </si>
  <si>
    <t>CPV02</t>
  </si>
  <si>
    <t>VOZINHA</t>
  </si>
  <si>
    <t>CPV03</t>
  </si>
  <si>
    <t>LOGAN COSTA</t>
  </si>
  <si>
    <t>CPV04</t>
  </si>
  <si>
    <t>PICO</t>
  </si>
  <si>
    <t>CPV05</t>
  </si>
  <si>
    <t>DINEY</t>
  </si>
  <si>
    <t>CPV06</t>
  </si>
  <si>
    <t>STEVEN MOREIRA</t>
  </si>
  <si>
    <t>CPV07</t>
  </si>
  <si>
    <t>WAGNER PINA</t>
  </si>
  <si>
    <t>CPV08</t>
  </si>
  <si>
    <t>JOAO PAULO</t>
  </si>
  <si>
    <t>CPV09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</si>
  <si>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</si>
  <si>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</si>
  <si>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</si>
  <si>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</si>
  <si>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</si>
  <si>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</si>
  <si>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</si>
  <si>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</si>
  <si>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</si>
  <si>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</si>
  <si>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</si>
  <si>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RODRÍGUES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</si>
  <si>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</si>
  <si>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</si>
  <si>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</si>
  <si>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</si>
  <si>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</si>
  <si>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</si>
  <si>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</si>
  <si>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</si>
  <si>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</si>
  <si>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BEBE</t>
  </si>
  <si>
    <t>KSA01</t>
  </si>
  <si>
    <t>KINGDOM OF SAUDI ARABIA</t>
  </si>
  <si>
    <t>KINGDOM OF SAUDI ARABIA NATIONAL TEAM</t>
  </si>
  <si>
    <t>KSA02</t>
  </si>
  <si>
    <t>NAWAF ALAQIDI</t>
  </si>
  <si>
    <t>KSA03</t>
  </si>
  <si>
    <t>ABDULRAHMAN ALSANBI</t>
  </si>
  <si>
    <t>KSA04</t>
  </si>
  <si>
    <t>SAUD ABDULHAMID</t>
  </si>
  <si>
    <t>KSA05</t>
  </si>
  <si>
    <t>NAWAF BUWASHL</t>
  </si>
  <si>
    <t>KSA06</t>
  </si>
  <si>
    <t>JEHAD THIKRI</t>
  </si>
  <si>
    <t>KSA07</t>
  </si>
  <si>
    <t>MOTEB ALHARBI</t>
  </si>
  <si>
    <t>KSA08</t>
  </si>
  <si>
    <t>HASSAN ALTAMBAKTI</t>
  </si>
  <si>
    <t>KSA09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</si>
  <si>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</si>
  <si>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</si>
  <si>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</si>
  <si>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</si>
  <si>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</si>
  <si>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</si>
  <si>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</si>
  <si>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</si>
  <si>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</si>
  <si>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</si>
  <si>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</si>
  <si>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</si>
  <si>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</si>
  <si>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</si>
  <si>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</si>
  <si>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ALOBUD</t>
  </si>
  <si>
    <t>KSA18</t>
  </si>
  <si>
    <t>FERAS ALBRIKAN</t>
  </si>
  <si>
    <t>KSA19</t>
  </si>
  <si>
    <t>SALEH ALSHEHRI</t>
  </si>
  <si>
    <t>KSA20</t>
  </si>
  <si>
    <t>ABDULLAH ALHAMDAN</t>
  </si>
  <si>
    <t>URU01</t>
  </si>
  <si>
    <t>URUGUAY</t>
  </si>
  <si>
    <t>URUGUAY NATIONAL TEAM</t>
  </si>
  <si>
    <t>URU02</t>
  </si>
  <si>
    <t>SERGIO ROCHET</t>
  </si>
  <si>
    <t>URU03</t>
  </si>
  <si>
    <t>SANTIAGO MELE</t>
  </si>
  <si>
    <t>URU04</t>
  </si>
  <si>
    <t>RONALD ARAUJO</t>
  </si>
  <si>
    <t>URU05</t>
  </si>
  <si>
    <t>JOSE MARIA GIMENEZ</t>
  </si>
  <si>
    <t>URU06</t>
  </si>
  <si>
    <t>SEBASTIAN CACERES</t>
  </si>
  <si>
    <t>URU07</t>
  </si>
  <si>
    <t>MATHIAS OLIVERA</t>
  </si>
  <si>
    <t>URU08</t>
  </si>
  <si>
    <t>GUILLERMO VARELA</t>
  </si>
  <si>
    <t>URU09</t>
  </si>
  <si>
    <t>NAHITAN NANDEZ</t>
  </si>
  <si>
    <t>URU10</t>
  </si>
  <si>
    <t>URU11</t>
  </si>
  <si>
    <t>GIORGIAN DE ARRASCAETA</t>
  </si>
  <si>
    <t>URU12</t>
  </si>
  <si>
    <t>RODRIGO BETANCOUR</t>
  </si>
  <si>
    <t>URU13</t>
  </si>
  <si>
    <t>URU14</t>
  </si>
  <si>
    <t>MANUEL UGARTE</t>
  </si>
  <si>
    <t>URU15</t>
  </si>
  <si>
    <t>NICOLAS DE LA CRUZ</t>
  </si>
  <si>
    <t>URU16</t>
  </si>
  <si>
    <t>MAXI ARAUJO</t>
  </si>
  <si>
    <t>URU17</t>
  </si>
  <si>
    <t>DARWIN NUÑEZ</t>
  </si>
  <si>
    <t>URU18</t>
  </si>
  <si>
    <t>FEDERICO VIÑAS</t>
  </si>
  <si>
    <t>URU19</t>
  </si>
  <si>
    <t>RODRIGO AGUIRRE</t>
  </si>
  <si>
    <t>URU20</t>
  </si>
  <si>
    <t>FACUNDO PELLISTRI</t>
  </si>
  <si>
    <t>FRA01</t>
  </si>
  <si>
    <t>FRANCE</t>
  </si>
  <si>
    <t>FRANCE NATIONAL TEAM</t>
  </si>
  <si>
    <t>FRA02</t>
  </si>
  <si>
    <t>MIKE MAIGNAN</t>
  </si>
  <si>
    <t>FRA03</t>
  </si>
  <si>
    <t>THEO HERNANDEZ</t>
  </si>
  <si>
    <t>FRA04</t>
  </si>
  <si>
    <t>WILLIAM SALIBA</t>
  </si>
  <si>
    <t>FRA05</t>
  </si>
  <si>
    <t>JULES KOUNDE</t>
  </si>
  <si>
    <t>FRA06</t>
  </si>
  <si>
    <t>IBRAHIMA KONATE</t>
  </si>
  <si>
    <t>FRA07</t>
  </si>
  <si>
    <t>DAYOT UPAMECANO</t>
  </si>
  <si>
    <t>FRA08</t>
  </si>
  <si>
    <t>LUCAS DIGNE</t>
  </si>
  <si>
    <t>FRA09</t>
  </si>
  <si>
    <t>AURELIEN TCHOUAMENI</t>
  </si>
  <si>
    <t>FRA10</t>
  </si>
  <si>
    <t>EDUARDO CAMAVINGA</t>
  </si>
  <si>
    <t>FRA11</t>
  </si>
  <si>
    <t>MANU KONE</t>
  </si>
  <si>
    <t>FRA12</t>
  </si>
  <si>
    <t>ADRIEN RABIOT</t>
  </si>
  <si>
    <t>FRA13</t>
  </si>
  <si>
    <t>FRA14</t>
  </si>
  <si>
    <t>MICHAEL OLISE</t>
  </si>
  <si>
    <t>FRA15</t>
  </si>
  <si>
    <t>OUSMANE DEMBELE</t>
  </si>
  <si>
    <t>FRA16</t>
  </si>
  <si>
    <t>BRADLEY BARCOLA</t>
  </si>
  <si>
    <t>FRA17</t>
  </si>
  <si>
    <t>DESIRE DOUE</t>
  </si>
  <si>
    <t>FRA18</t>
  </si>
  <si>
    <t>KINGSLEY COMAN</t>
  </si>
  <si>
    <t>FRA19</t>
  </si>
  <si>
    <t>HUGO EKITIKE</t>
  </si>
  <si>
    <t>FRA20</t>
  </si>
  <si>
    <t>KYLIAN MBAPPE</t>
  </si>
  <si>
    <t>SEN01</t>
  </si>
  <si>
    <t>SENEGAL</t>
  </si>
  <si>
    <t>SENEGAL NATIONAL TEAM</t>
  </si>
  <si>
    <t>SEN02</t>
  </si>
  <si>
    <t>EDOUARD MENDY</t>
  </si>
  <si>
    <t>SEN03</t>
  </si>
  <si>
    <t>YEHVANN DIOUF</t>
  </si>
  <si>
    <t>SEN04</t>
  </si>
  <si>
    <t>MOUSSA NIAKHATE</t>
  </si>
  <si>
    <t>SEN05</t>
  </si>
  <si>
    <t>ABDOULAYE SECK</t>
  </si>
  <si>
    <t>SEN06</t>
  </si>
  <si>
    <t>ISMAIL JAKOBS</t>
  </si>
  <si>
    <t>SEN07</t>
  </si>
  <si>
    <t>EL HADJI MALICK DIOUF</t>
  </si>
  <si>
    <t>SEN08</t>
  </si>
  <si>
    <t>KALIDOU KOULIBALY</t>
  </si>
  <si>
    <t>SEN09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</si>
  <si>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</si>
  <si>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</si>
  <si>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</si>
  <si>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</si>
  <si>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</si>
  <si>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</si>
  <si>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</si>
  <si>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</si>
  <si>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</si>
  <si>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</si>
  <si>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</si>
  <si>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MANE</t>
  </si>
  <si>
    <t>SEN16</t>
  </si>
  <si>
    <t>ISMAILA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</si>
  <si>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</si>
  <si>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</si>
  <si>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</si>
  <si>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</si>
  <si>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</si>
  <si>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</si>
  <si>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</si>
  <si>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KREPIN DIATTA</t>
  </si>
  <si>
    <t>IRQ01</t>
  </si>
  <si>
    <t>IRAQ</t>
  </si>
  <si>
    <t>IRAQ NATIONAL TEAM</t>
  </si>
  <si>
    <t>IRQ02</t>
  </si>
  <si>
    <t>JALAL HASSAN</t>
  </si>
  <si>
    <t>IRQ03</t>
  </si>
  <si>
    <t>REBIN SULAKA</t>
  </si>
  <si>
    <t>IRQ04</t>
  </si>
  <si>
    <t>HUSSEIN ALI</t>
  </si>
  <si>
    <t>IRQ05</t>
  </si>
  <si>
    <t>AKAM HASHEM</t>
  </si>
  <si>
    <t>IRQ06</t>
  </si>
  <si>
    <t>MERCHAS DOSKI</t>
  </si>
  <si>
    <t>IRQ07</t>
  </si>
  <si>
    <t>ZAID TAHSEEN</t>
  </si>
  <si>
    <t>IRQ08</t>
  </si>
  <si>
    <t>MANAF YOUNIS</t>
  </si>
  <si>
    <t>IRQ09</t>
  </si>
  <si>
    <t>ZIDANE IQBAL</t>
  </si>
  <si>
    <t>IRQ10</t>
  </si>
  <si>
    <t>AMIR AL-AMMARI</t>
  </si>
  <si>
    <t>IRQ11</t>
  </si>
  <si>
    <t>IBRAHIM BAYESH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</si>
  <si>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</si>
  <si>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</si>
  <si>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</si>
  <si>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</si>
  <si>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</si>
  <si>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</si>
  <si>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</si>
  <si>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</si>
  <si>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</si>
  <si>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</si>
  <si>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</si>
  <si>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</si>
  <si>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</si>
  <si>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</si>
  <si>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</si>
  <si>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</si>
  <si>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</si>
  <si>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NOR01</t>
  </si>
  <si>
    <t>NORWAY</t>
  </si>
  <si>
    <t>NORWAY NATIONAL TEAM</t>
  </si>
  <si>
    <t>NOR02</t>
  </si>
  <si>
    <t>ORJAN NYLAND</t>
  </si>
  <si>
    <t>NOR03</t>
  </si>
  <si>
    <t>JULIAN RYERSON</t>
  </si>
  <si>
    <t>NOR04</t>
  </si>
  <si>
    <t>LEO OSTIGARD</t>
  </si>
  <si>
    <t>NOR05</t>
  </si>
  <si>
    <t>KRISTOFFER VASSBAKK AJER</t>
  </si>
  <si>
    <t>NOR06</t>
  </si>
  <si>
    <t>MARCUS HOLMGREN PEDERSEN</t>
  </si>
  <si>
    <t>NOR07</t>
  </si>
  <si>
    <t>DAVID MOLLER WOLFE</t>
  </si>
  <si>
    <t>NOR08</t>
  </si>
  <si>
    <t>TORBJORN HEGGEM</t>
  </si>
  <si>
    <t>NOR09</t>
  </si>
  <si>
    <t>MORTEN THORSBY</t>
  </si>
  <si>
    <t>NOR10</t>
  </si>
  <si>
    <t>MARTIN ODEGAARD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</si>
  <si>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</si>
  <si>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</si>
  <si>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</si>
  <si>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</si>
  <si>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</si>
  <si>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</si>
  <si>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</si>
  <si>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</si>
  <si>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</si>
  <si>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</si>
  <si>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SORLOTH</t>
  </si>
  <si>
    <t>NOR17</t>
  </si>
  <si>
    <t>ARON DONNUM</t>
  </si>
  <si>
    <t>NOR18</t>
  </si>
  <si>
    <t>JORGEN STRAND LARSEN</t>
  </si>
  <si>
    <t>NOR19</t>
  </si>
  <si>
    <t>ANTONIO NUSA</t>
  </si>
  <si>
    <t>NOR20</t>
  </si>
  <si>
    <t>OSCAR BOBB</t>
  </si>
  <si>
    <t>ARG01</t>
  </si>
  <si>
    <t>ARGENTINA</t>
  </si>
  <si>
    <t>ARGENTINA NATIONAL TEAM</t>
  </si>
  <si>
    <t>ARG02</t>
  </si>
  <si>
    <t>ARG03</t>
  </si>
  <si>
    <t>NAHUEL MOLINA</t>
  </si>
  <si>
    <t>ARG04</t>
  </si>
  <si>
    <t>CRISTIAN ROMERO</t>
  </si>
  <si>
    <t>ARG05</t>
  </si>
  <si>
    <t>NICOLAS OTAMENDI</t>
  </si>
  <si>
    <t>ARG06</t>
  </si>
  <si>
    <t>NICOLAS TAGLIAFICO</t>
  </si>
  <si>
    <t>ARG07</t>
  </si>
  <si>
    <t>LEONARDO BALERDI</t>
  </si>
  <si>
    <t>ARG08</t>
  </si>
  <si>
    <t>ENZO FERNANDEZ</t>
  </si>
  <si>
    <t>ARG09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</si>
  <si>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</si>
  <si>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</si>
  <si>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</si>
  <si>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</si>
  <si>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</si>
  <si>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</si>
  <si>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</si>
  <si>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</si>
  <si>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</si>
  <si>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</si>
  <si>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</si>
  <si>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</si>
  <si>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</si>
  <si>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GONZALEZ</t>
  </si>
  <si>
    <t>ARG17</t>
  </si>
  <si>
    <t>LIONEL MESSI</t>
  </si>
  <si>
    <t>ARG18</t>
  </si>
  <si>
    <t>ARG19</t>
  </si>
  <si>
    <t>JULIAN ALVAREZ</t>
  </si>
  <si>
    <t>ARG20</t>
  </si>
  <si>
    <t>GIULIANO SIMEONE</t>
  </si>
  <si>
    <t>ALG01</t>
  </si>
  <si>
    <t>ALGERIA</t>
  </si>
  <si>
    <t>ALGERIA NATIONAL TEAM</t>
  </si>
  <si>
    <t>ALG02</t>
  </si>
  <si>
    <t>ALEXIS GUENDOUZ</t>
  </si>
  <si>
    <t>ALG03</t>
  </si>
  <si>
    <t>RAMY BENSEBAINI</t>
  </si>
  <si>
    <t>ALG04</t>
  </si>
  <si>
    <t>YOUCEF ATAL</t>
  </si>
  <si>
    <t>ALG05</t>
  </si>
  <si>
    <t>RAYAN AIT NOURI</t>
  </si>
  <si>
    <t>ALG06</t>
  </si>
  <si>
    <t>MOHAMED AMINE TOUGAI</t>
  </si>
  <si>
    <t>ALG07</t>
  </si>
  <si>
    <t>AISSA MANDI</t>
  </si>
  <si>
    <t>ALG08</t>
  </si>
  <si>
    <t>ISMAEL BENNACER</t>
  </si>
  <si>
    <t>ALG09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</si>
  <si>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</si>
  <si>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</si>
  <si>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</si>
  <si>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</si>
  <si>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</si>
  <si>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</si>
  <si>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</si>
  <si>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</si>
  <si>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</si>
  <si>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FARES CHAIBI</t>
  </si>
  <si>
    <t>ALG15</t>
  </si>
  <si>
    <t>RIYAD MAHREZ</t>
  </si>
  <si>
    <t>ALG16</t>
  </si>
  <si>
    <t>SAID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</si>
  <si>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</si>
  <si>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</si>
  <si>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</si>
  <si>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</si>
  <si>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</si>
  <si>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</si>
  <si>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</si>
  <si>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</si>
  <si>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AUT01</t>
  </si>
  <si>
    <t>AUSTRIA</t>
  </si>
  <si>
    <t>AUSTRIA NATIONAL TEAM</t>
  </si>
  <si>
    <t>AUT02</t>
  </si>
  <si>
    <t>ALEXANDER SCHLAGER</t>
  </si>
  <si>
    <t>AUT03</t>
  </si>
  <si>
    <t>PATRICK PENTZ</t>
  </si>
  <si>
    <t>AUT04</t>
  </si>
  <si>
    <t>DAVID ALABA</t>
  </si>
  <si>
    <t>AUT05</t>
  </si>
  <si>
    <t>KEVIN DANSO</t>
  </si>
  <si>
    <t>AUT06</t>
  </si>
  <si>
    <t>PHILLIP LIENHART</t>
  </si>
  <si>
    <t>AUT07</t>
  </si>
  <si>
    <t>STEFAN POSCH</t>
  </si>
  <si>
    <t>AUT08</t>
  </si>
  <si>
    <t>PHILLIP MWENE</t>
  </si>
  <si>
    <t>AUT09</t>
  </si>
  <si>
    <t>ALEXANDER PRASS</t>
  </si>
  <si>
    <t>AUT10</t>
  </si>
  <si>
    <t>XAVER SCHLAER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</si>
  <si>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</si>
  <si>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</si>
  <si>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</si>
  <si>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</si>
  <si>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</si>
  <si>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</si>
  <si>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</si>
  <si>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</si>
  <si>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</si>
  <si>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</si>
  <si>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</si>
  <si>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</si>
  <si>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</si>
  <si>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</si>
  <si>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</si>
  <si>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</si>
  <si>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</si>
  <si>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</si>
  <si>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ARNAUTOVIC</t>
  </si>
  <si>
    <t>JOR01</t>
  </si>
  <si>
    <t>JORDAN</t>
  </si>
  <si>
    <t>JORDAN NATIONAL TEAM</t>
  </si>
  <si>
    <t>JOR02</t>
  </si>
  <si>
    <t>YAZEED ABULAILA</t>
  </si>
  <si>
    <t>JOR03</t>
  </si>
  <si>
    <t>IHSAN HADDAD</t>
  </si>
  <si>
    <t>JOR04</t>
  </si>
  <si>
    <t>MOHAMMAD ABU HASHISH</t>
  </si>
  <si>
    <t>JOR05</t>
  </si>
  <si>
    <t>YAZAN AL-ARAB</t>
  </si>
  <si>
    <t>JOR06</t>
  </si>
  <si>
    <t>ABDALLAH NASIB</t>
  </si>
  <si>
    <t>JOR07</t>
  </si>
  <si>
    <t>SALLEM OBAID</t>
  </si>
  <si>
    <t>JOR08</t>
  </si>
  <si>
    <t>MOHAMMAD ABUALNADI</t>
  </si>
  <si>
    <t>JOR09</t>
  </si>
  <si>
    <t>IBRAHIM SAADEH</t>
  </si>
  <si>
    <t>JOR10</t>
  </si>
  <si>
    <t>NIZAR AL-RASHDAN</t>
  </si>
  <si>
    <t>JOR11</t>
  </si>
  <si>
    <t>NOOR AL-RAWABDEH</t>
  </si>
  <si>
    <t>JOR12</t>
  </si>
  <si>
    <t>MOHAMMAD ABU TAHA</t>
  </si>
  <si>
    <t>JOR13</t>
  </si>
  <si>
    <t>JOR14</t>
  </si>
  <si>
    <t>AMER JAMOUS</t>
  </si>
  <si>
    <t>JOR15</t>
  </si>
  <si>
    <t>MOUSA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</si>
  <si>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</si>
  <si>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</si>
  <si>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</si>
  <si>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</si>
  <si>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</si>
  <si>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</si>
  <si>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</si>
  <si>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</si>
  <si>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</si>
  <si>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</si>
  <si>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 01</t>
  </si>
  <si>
    <t>PORTUGAL</t>
  </si>
  <si>
    <t>PORTUGAL NATIONAL TEAM</t>
  </si>
  <si>
    <t>POR 02</t>
  </si>
  <si>
    <t>DIOGO COSTA</t>
  </si>
  <si>
    <t>POR 03</t>
  </si>
  <si>
    <t>JOSE SA</t>
  </si>
  <si>
    <t>POR 04</t>
  </si>
  <si>
    <t>RUBEN DIAS</t>
  </si>
  <si>
    <t>POR 05</t>
  </si>
  <si>
    <t>JOAO CANCELO</t>
  </si>
  <si>
    <t>POR 06</t>
  </si>
  <si>
    <t>DIOGO DALOT</t>
  </si>
  <si>
    <t>POR 07</t>
  </si>
  <si>
    <t>NUNO MENDES</t>
  </si>
  <si>
    <t>POR 08</t>
  </si>
  <si>
    <t>GONCALO INACIO</t>
  </si>
  <si>
    <t>POR 09</t>
  </si>
  <si>
    <t>BERNARDO SILVA</t>
  </si>
  <si>
    <t>POR 10</t>
  </si>
  <si>
    <t>BRUNO FERNANDES</t>
  </si>
  <si>
    <t>POR 11</t>
  </si>
  <si>
    <t>RUBEN NEVES</t>
  </si>
  <si>
    <t>POR 12</t>
  </si>
  <si>
    <t>VITINHA</t>
  </si>
  <si>
    <t>POR 13</t>
  </si>
  <si>
    <t>POR 14</t>
  </si>
  <si>
    <t>POR 15</t>
  </si>
  <si>
    <t>CRISTIANO RONALDO</t>
  </si>
  <si>
    <t>POR 16</t>
  </si>
  <si>
    <t>FRANCISCO TRINCAO</t>
  </si>
  <si>
    <t>POR 17</t>
  </si>
  <si>
    <t>JOAO FELIX</t>
  </si>
  <si>
    <t>POR 18</t>
  </si>
  <si>
    <t>GONCALO RAMOS</t>
  </si>
  <si>
    <t>POR 19</t>
  </si>
  <si>
    <t>PEDRO NETO</t>
  </si>
  <si>
    <t>POR 20</t>
  </si>
  <si>
    <t>RAFAEL LEAO</t>
  </si>
  <si>
    <t>COD01</t>
  </si>
  <si>
    <t>CONGO DR</t>
  </si>
  <si>
    <t>RD CONGO NATIONAL TEAM</t>
  </si>
  <si>
    <t>COD02</t>
  </si>
  <si>
    <t>LIONEL MPASI</t>
  </si>
  <si>
    <t>COD03</t>
  </si>
  <si>
    <t>AARON WAN-BISSAKA</t>
  </si>
  <si>
    <t>COD04</t>
  </si>
  <si>
    <t>AXEL TUANZEBE</t>
  </si>
  <si>
    <t>COD05</t>
  </si>
  <si>
    <t>ARTHUR MASUAKU</t>
  </si>
  <si>
    <t>COD06</t>
  </si>
  <si>
    <t>CHANCEL MBEMBA</t>
  </si>
  <si>
    <t>COD07</t>
  </si>
  <si>
    <t>JORIS KAYEMBE</t>
  </si>
  <si>
    <t>COD08</t>
  </si>
  <si>
    <t>CHARLES PICKEL</t>
  </si>
  <si>
    <t>COD09</t>
  </si>
  <si>
    <t>NGAL'AYEL MUKAU</t>
  </si>
  <si>
    <t>COD10</t>
  </si>
  <si>
    <t>EDO KAYEMBE</t>
  </si>
  <si>
    <t>COD11</t>
  </si>
  <si>
    <t>SAMUEL MOUTOUSSAMY</t>
  </si>
  <si>
    <t>COD12</t>
  </si>
  <si>
    <t>NOAH SADIKI</t>
  </si>
  <si>
    <t>COD13</t>
  </si>
  <si>
    <t>COD14</t>
  </si>
  <si>
    <t>THEO BONGONDA</t>
  </si>
  <si>
    <t>COD15</t>
  </si>
  <si>
    <t>MESCHACK ELIA</t>
  </si>
  <si>
    <t>COD16</t>
  </si>
  <si>
    <t>YOANE WISSA</t>
  </si>
  <si>
    <t>COD17</t>
  </si>
  <si>
    <t>BRIAN CIPENGA</t>
  </si>
  <si>
    <t>COD18</t>
  </si>
  <si>
    <t>FISTON MAYELE</t>
  </si>
  <si>
    <t>COD19</t>
  </si>
  <si>
    <t>CRDRIC BAKAMBU</t>
  </si>
  <si>
    <t>COD20</t>
  </si>
  <si>
    <t>NATHANAEL MBUKU</t>
  </si>
  <si>
    <t>UZB01</t>
  </si>
  <si>
    <t>UZBEKISTAN</t>
  </si>
  <si>
    <t>UZBEKISTAN NATIONAL TEAM</t>
  </si>
  <si>
    <t>UZB02</t>
  </si>
  <si>
    <t>UTKIR YUSUPOV</t>
  </si>
  <si>
    <t>UZB03</t>
  </si>
  <si>
    <t>FARRUKH SAYFIEV</t>
  </si>
  <si>
    <t>UZB04</t>
  </si>
  <si>
    <t>SHERZOO NASRULLAEV</t>
  </si>
  <si>
    <t>UZB05</t>
  </si>
  <si>
    <t>UMAR ESHMURODOV</t>
  </si>
  <si>
    <t>UZB06</t>
  </si>
  <si>
    <t>HUSNIDDIN ALIQULOV</t>
  </si>
  <si>
    <t>UZB07</t>
  </si>
  <si>
    <t>RUSTAM ASHURMATOV</t>
  </si>
  <si>
    <t>UZB08</t>
  </si>
  <si>
    <t>KHOJIAKBAR ALIJONOV</t>
  </si>
  <si>
    <t>UZB09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</si>
  <si>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</si>
  <si>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</si>
  <si>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</si>
  <si>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</si>
  <si>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</si>
  <si>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</si>
  <si>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</si>
  <si>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</si>
  <si>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</si>
  <si>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</si>
  <si>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</si>
  <si>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</si>
  <si>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</si>
  <si>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</si>
  <si>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</si>
  <si>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</si>
  <si>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</si>
  <si>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</si>
  <si>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</si>
  <si>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IGOR SERGEEV</t>
  </si>
  <si>
    <t>UZB20</t>
  </si>
  <si>
    <t>ABBOSBEK FAYZULLAEV</t>
  </si>
  <si>
    <t>COL01</t>
  </si>
  <si>
    <t>COLOMBIA</t>
  </si>
  <si>
    <t>COLOMBIA NATIONAL TEAM</t>
  </si>
  <si>
    <t>COL02</t>
  </si>
  <si>
    <t>CAMILO VARGAS</t>
  </si>
  <si>
    <t>COL03</t>
  </si>
  <si>
    <t>DAVID OSPINA</t>
  </si>
  <si>
    <t>COL04</t>
  </si>
  <si>
    <t>DAVINSON SANCHEZ</t>
  </si>
  <si>
    <t>COL05</t>
  </si>
  <si>
    <t>YERRY MINA</t>
  </si>
  <si>
    <t>COL06</t>
  </si>
  <si>
    <t>DANIEL MUÑOZ</t>
  </si>
  <si>
    <t>COL07</t>
  </si>
  <si>
    <t>JOHAN MOJICA</t>
  </si>
  <si>
    <t>COL08</t>
  </si>
  <si>
    <t>JHON LUCUMI</t>
  </si>
  <si>
    <t>COL09</t>
  </si>
  <si>
    <t>SANTIAGO ARIAS</t>
  </si>
  <si>
    <t>COL10</t>
  </si>
  <si>
    <t>COL11</t>
  </si>
  <si>
    <t>KEVIN CASTAÑO</t>
  </si>
  <si>
    <t>COL12</t>
  </si>
  <si>
    <t>RICHARD RIOS</t>
  </si>
  <si>
    <t>COL13</t>
  </si>
  <si>
    <t>COL14</t>
  </si>
  <si>
    <t>JAMES RODRIGUEZ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</si>
  <si>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</si>
  <si>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</si>
  <si>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</si>
  <si>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</si>
  <si>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</si>
  <si>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</si>
  <si>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</si>
  <si>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JHON CORDOBA</t>
  </si>
  <si>
    <t>COL19</t>
  </si>
  <si>
    <t>LUIS SUAREZ</t>
  </si>
  <si>
    <t>COL20</t>
  </si>
  <si>
    <t>LUIS DIAZ</t>
  </si>
  <si>
    <t>ENG 01</t>
  </si>
  <si>
    <t>ENGLAND</t>
  </si>
  <si>
    <t>ENGLAND NATIONAL TEAM</t>
  </si>
  <si>
    <t>ENG 02</t>
  </si>
  <si>
    <t>JORDAN PICKFORD</t>
  </si>
  <si>
    <t>ENG 03</t>
  </si>
  <si>
    <t>JOHN STONES</t>
  </si>
  <si>
    <t>ENG 04</t>
  </si>
  <si>
    <t>MARC GUEHI</t>
  </si>
  <si>
    <t>ENG 05</t>
  </si>
  <si>
    <t>EZRI KONSA</t>
  </si>
  <si>
    <t>ENG 06</t>
  </si>
  <si>
    <t>TRENT ALEXANDER-ARNOLD</t>
  </si>
  <si>
    <t>ENG 07</t>
  </si>
  <si>
    <t>REECE JAMES</t>
  </si>
  <si>
    <t>ENG 08</t>
  </si>
  <si>
    <t>DAN BURN</t>
  </si>
  <si>
    <t>ENG 09</t>
  </si>
  <si>
    <t>JORDAN HENDERSON</t>
  </si>
  <si>
    <t>ENG 10</t>
  </si>
  <si>
    <t>DECLAN RICE</t>
  </si>
  <si>
    <t>ENG 11</t>
  </si>
  <si>
    <t>JUDE BELLINGHAM</t>
  </si>
  <si>
    <t>ENG 12</t>
  </si>
  <si>
    <t>COLE PALMER</t>
  </si>
  <si>
    <t>ENG 13</t>
  </si>
  <si>
    <t>ENG 14</t>
  </si>
  <si>
    <t>MORGAN ROGERS</t>
  </si>
  <si>
    <t>ENG 15</t>
  </si>
  <si>
    <t>ANTHONY GORDON</t>
  </si>
  <si>
    <t>ENG 16</t>
  </si>
  <si>
    <t>PHIL FODEN</t>
  </si>
  <si>
    <t>ENG 17</t>
  </si>
  <si>
    <t>BUKAYO SAKA</t>
  </si>
  <si>
    <t>ENG 18</t>
  </si>
  <si>
    <t>ENG 19</t>
  </si>
  <si>
    <t>MARCUS RASHFORD</t>
  </si>
  <si>
    <t>ENG 20</t>
  </si>
  <si>
    <t>OLLIE WATKINS</t>
  </si>
  <si>
    <t>CRO01</t>
  </si>
  <si>
    <t>CROATIA</t>
  </si>
  <si>
    <t>CROATIA NATIONAL TEAM</t>
  </si>
  <si>
    <t>CRO02</t>
  </si>
  <si>
    <t>DOMINIC LIVAKOVIC</t>
  </si>
  <si>
    <t>CRO03</t>
  </si>
  <si>
    <t>DUJE CALETA-CAR</t>
  </si>
  <si>
    <t>CRO04</t>
  </si>
  <si>
    <t>CRO05</t>
  </si>
  <si>
    <t>JOSIP STANISIC</t>
  </si>
  <si>
    <t>CRO06</t>
  </si>
  <si>
    <t>LUKA VUSKOVIC</t>
  </si>
  <si>
    <t>CRO07</t>
  </si>
  <si>
    <t>JOSIP SUTALO</t>
  </si>
  <si>
    <t>CRO08</t>
  </si>
  <si>
    <t>KRISTIAN JAKIC</t>
  </si>
  <si>
    <t>CRO09</t>
  </si>
  <si>
    <t>LUKA MODRIC</t>
  </si>
  <si>
    <t>CRO10</t>
  </si>
  <si>
    <t>MATO KOVACIC</t>
  </si>
  <si>
    <t>CRO11</t>
  </si>
  <si>
    <t>MARTIN BATURINA</t>
  </si>
  <si>
    <t>CRO12</t>
  </si>
  <si>
    <t>LOVRO MAJER</t>
  </si>
  <si>
    <t>CRO13</t>
  </si>
  <si>
    <t>CRO14</t>
  </si>
  <si>
    <t>MARIO PASALIC</t>
  </si>
  <si>
    <t>CRO15</t>
  </si>
  <si>
    <t>PETAR SUCIC</t>
  </si>
  <si>
    <t>CRO16</t>
  </si>
  <si>
    <t>IVAN PERISIC</t>
  </si>
  <si>
    <t>CRO17</t>
  </si>
  <si>
    <t>MARCO PASALIC</t>
  </si>
  <si>
    <t>CRO18</t>
  </si>
  <si>
    <t>ANTE BUDIMIR</t>
  </si>
  <si>
    <t>CRO19</t>
  </si>
  <si>
    <t>ANDREJ KRAMARIC</t>
  </si>
  <si>
    <t>CRO20</t>
  </si>
  <si>
    <t>FRANJO IVANOVIC</t>
  </si>
  <si>
    <t>GHA01</t>
  </si>
  <si>
    <t>GHANA</t>
  </si>
  <si>
    <t>GHANA NATIONAL TEAM</t>
  </si>
  <si>
    <t>GHA02</t>
  </si>
  <si>
    <t>LAWRENCE ATI ZIGI</t>
  </si>
  <si>
    <t>GHA03</t>
  </si>
  <si>
    <t>TARIQ LAMPTEY</t>
  </si>
  <si>
    <t>GHA04</t>
  </si>
  <si>
    <t>MOHAMMED SALISU</t>
  </si>
  <si>
    <t>GHA05</t>
  </si>
  <si>
    <t>ALIDU SEIDU</t>
  </si>
  <si>
    <t>GHA06</t>
  </si>
  <si>
    <t>ALEXANDER DJIKU</t>
  </si>
  <si>
    <t>GHA07</t>
  </si>
  <si>
    <t>GIDEON MENSAH</t>
  </si>
  <si>
    <t>GHA08</t>
  </si>
  <si>
    <t>CALEB YIRENKYI</t>
  </si>
  <si>
    <t>GHA09</t>
  </si>
  <si>
    <t>ABDUL ISSAHAKU FATAWU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</si>
  <si>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</si>
  <si>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</si>
  <si>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</si>
  <si>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</si>
  <si>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</si>
  <si>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</si>
  <si>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</si>
  <si>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</si>
  <si>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</si>
  <si>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</si>
  <si>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IÑAKI WILLIAMS</t>
  </si>
  <si>
    <t>GHA16</t>
  </si>
  <si>
    <t>JORDAN AYEW</t>
  </si>
  <si>
    <t>GHA17</t>
  </si>
  <si>
    <t>ANDRE AYEW</t>
  </si>
  <si>
    <t>GHA18</t>
  </si>
  <si>
    <t>JOSEPH PAINTSIL</t>
  </si>
  <si>
    <t>GHA19</t>
  </si>
  <si>
    <t>OSMAN BUKARI</t>
  </si>
  <si>
    <t>GHA20</t>
  </si>
  <si>
    <t>ANTOINE SEMENYO</t>
  </si>
  <si>
    <t>PAN01</t>
  </si>
  <si>
    <t>PANAMA</t>
  </si>
  <si>
    <t>TEAM NACIONAL DE PANAMA</t>
  </si>
  <si>
    <t>PAN02</t>
  </si>
  <si>
    <t>ORLANDO MOSQUERA</t>
  </si>
  <si>
    <t>PAN03</t>
  </si>
  <si>
    <t>LUIS MEJIA</t>
  </si>
  <si>
    <t>PAN04</t>
  </si>
  <si>
    <t>FIDEL ESCOBAR</t>
  </si>
  <si>
    <t>PAN05</t>
  </si>
  <si>
    <t>ANDRES ANDRADE</t>
  </si>
  <si>
    <t>PAN06</t>
  </si>
  <si>
    <t>MICHAEL AMIR MURILLO</t>
  </si>
  <si>
    <t>PAN07</t>
  </si>
  <si>
    <t>ERIC DAVIS</t>
  </si>
  <si>
    <t>PAN08</t>
  </si>
  <si>
    <t>JOSE CORDOBA</t>
  </si>
  <si>
    <t>PAN09</t>
  </si>
  <si>
    <t>CESAR BLACKMAN</t>
  </si>
  <si>
    <t>PAN10</t>
  </si>
  <si>
    <t>CRISTIAN MARTINEZ</t>
  </si>
  <si>
    <t>PAN11</t>
  </si>
  <si>
    <t>ANIBAL GODOY</t>
  </si>
  <si>
    <t>PAN12</t>
  </si>
  <si>
    <t>ADALBERTO CARRASQUILLA</t>
  </si>
  <si>
    <t>PAN13</t>
  </si>
  <si>
    <t>PAN14</t>
  </si>
  <si>
    <t>EDGAR BARCENAS</t>
  </si>
  <si>
    <t>PAN15</t>
  </si>
  <si>
    <t>CARLOS HARVEY</t>
  </si>
  <si>
    <t>PAN16</t>
  </si>
  <si>
    <t>ISMAEL DIAZ</t>
  </si>
  <si>
    <t>PAN17</t>
  </si>
  <si>
    <t>JOSE FAJARDO</t>
  </si>
  <si>
    <t>PAN18</t>
  </si>
  <si>
    <t>CECILIO WATERMAN</t>
  </si>
  <si>
    <t>PAN19</t>
  </si>
  <si>
    <t>JOSE LUIS RODRIGUEZ</t>
  </si>
  <si>
    <t>PAN20</t>
  </si>
  <si>
    <t>ALBERTO QUINTERO</t>
  </si>
  <si>
    <t>ITALIA 1934 FWC9</t>
  </si>
  <si>
    <t>SECTION 4</t>
  </si>
  <si>
    <t>FWC9</t>
  </si>
  <si>
    <t>BRAZIL 1950 FWC10</t>
  </si>
  <si>
    <t>FWC10</t>
  </si>
  <si>
    <t>SWITZERLAND 1954 FWC11</t>
  </si>
  <si>
    <t>FWC11</t>
  </si>
  <si>
    <t>CHILE 1962 FWC12</t>
  </si>
  <si>
    <t>FWC12</t>
  </si>
  <si>
    <t>GERMANY 1974 FWC13</t>
  </si>
  <si>
    <t>FWC13</t>
  </si>
  <si>
    <t>MEXICO 1986 FWC14</t>
  </si>
  <si>
    <t>FWC14</t>
  </si>
  <si>
    <t>UNITED STATES 1994 FWC15</t>
  </si>
  <si>
    <t>FWC15</t>
  </si>
  <si>
    <t>SOUTH KOREA/JAPAN 2002 FWC16</t>
  </si>
  <si>
    <t>FWC16</t>
  </si>
  <si>
    <t>GERMANY 2006 FWC17</t>
  </si>
  <si>
    <t>FWC17</t>
  </si>
  <si>
    <t>BRAZIL 2014 FWC18</t>
  </si>
  <si>
    <t>FWC18</t>
  </si>
  <si>
    <t>QATAR 2022 FWC19</t>
  </si>
  <si>
    <t>FWC19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</si>
</sst>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49" xfId="0" applyFont="1" applyNumberFormat="1"/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FF00"/>
          <bgColor rgb="FF00FF00"/>
        </patternFill>
      </fill>
      <border/>
    </dxf>
  </dxfs>
  <tableStyles count="15">
    <tableStyle count="4" pivot="0" name="01_PAN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GRUPO_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_GRUPO_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GRUPO_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GRUPO_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GRUPO_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_GRUPO_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_STICKERS_COCA_CO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GRUPO_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GRUPO_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GRUPO_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_GRUPO_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_GRUPO_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_GRUPO_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_FIFA_WORLD_CUP_CHAMP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la_1" name="Tabla_1" id="1">
  <tableColumns count="6">
    <tableColumn name="ID" id="1"/>
    <tableColumn name="SECTION" id="2"/>
    <tableColumn name="TYPE" id="3"/>
    <tableColumn name="DESCRIPTION" id="4"/>
    <tableColumn name="QUANTITY" id="5"/>
    <tableColumn name="OWNED" id="6"/>
  </tableColumns>
  <tableStyleInfo name="01_PANINI-style" showColumnStripes="0" showFirstColumn="1" showLastColumn="1" showRowStripes="1"/>
</table>
</file>

<file path=xl/tables/table2.xml><?xml version="1.0" encoding="utf-8"?>
<table xmlns="http://schemas.openxmlformats.org/spreadsheetml/2006/main" ref="A1:F1000" displayName="Tabla" name="Tabla" id="2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02_GRUPO_A-style" showColumnStripes="0" showFirstColumn="1" showLastColumn="1" showRowStripes="1"/>
</table>
</file>

<file path=xl/tables/table3.xml><?xml version="1.0" encoding="utf-8"?>
<table xmlns="http://schemas.openxmlformats.org/spreadsheetml/2006/main" ref="A1:F1000" displayName="Tabla_2" name="Tabla_2" id="3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03_GRUPO_B-style" showColumnStripes="0" showFirstColumn="1" showLastColumn="1" showRowStripes="1"/>
</table>
</file>

<file path=xl/tables/table4.xml><?xml version="1.0" encoding="utf-8"?>
<table xmlns="http://schemas.openxmlformats.org/spreadsheetml/2006/main" ref="A1:F1000" displayName="Tabla_3" name="Tabla_3" id="4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04_GRUPO_C-style" showColumnStripes="0" showFirstColumn="1" showLastColumn="1" showRowStripes="1"/>
</table>
</file>

<file path=xl/tables/table5.xml><?xml version="1.0" encoding="utf-8"?>
<table xmlns="http://schemas.openxmlformats.org/spreadsheetml/2006/main" ref="A1:F1000" displayName="Tabla_4" name="Tabla_4" id="5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05_GRUPO_D-style" showColumnStripes="0" showFirstColumn="1" showLastColumn="1" showRowStripes="1"/>
</table>
</file>

<file path=xl/tables/table6.xml><?xml version="1.0" encoding="utf-8"?>
<table xmlns="http://schemas.openxmlformats.org/spreadsheetml/2006/main" ref="A1:F1000" displayName="Tabla_5" name="Tabla_5" id="6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06_GRUPO_E-style" showColumnStripes="0" showFirstColumn="1" showLastColumn="1" showRowStripes="1"/>
</table>
</file>

<file path=xl/tables/table7.xml><?xml version="1.0" encoding="utf-8"?>
<table xmlns="http://schemas.openxmlformats.org/spreadsheetml/2006/main" ref="A1:F1000" displayName="Tabla_6" name="Tabla_6" id="7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07_GRUPO_F-style" showColumnStripes="0" showFirstColumn="1" showLastColumn="1" showRowStripes="1"/>
</table>
</file>

<file path=xl/tables/table8.xml><?xml version="1.0" encoding="utf-8"?>
<table xmlns="http://schemas.openxmlformats.org/spreadsheetml/2006/main" ref="A1:F81" displayName="Tabla_7" name="Tabla_7" id="8">
  <tableColumns count="6">
    <tableColumn name="ID" id="1"/>
    <tableColumn name="SECTION" id="2"/>
    <tableColumn name="TYPE" id="3"/>
    <tableColumn name="DESCRIPTION" id="4"/>
    <tableColumn name="QUANTITY" id="5"/>
    <tableColumn name="OWNED" id="6"/>
  </tableColumns>
  <tableStyleInfo name="08_STICKERS_COCA_COLA-style" showColumnStripes="0" showFirstColumn="1" showLastColumn="1" showRowStripes="1"/>
</table>
</file>

<file path=xl/tables/table9.xml><?xml version="1.0" encoding="utf-8"?>
<table xmlns="http://schemas.openxmlformats.org/spreadsheetml/2006/main" ref="A1:F1000" displayName="Tabla_8" name="Tabla_8" id="9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09_GRUPO_G-style" showColumnStripes="0" showFirstColumn="1" showLastColumn="1" showRowStripes="1"/>
</table>
</file>

<file path=xl/tables/table10.xml><?xml version="1.0" encoding="utf-8"?>
<table xmlns="http://schemas.openxmlformats.org/spreadsheetml/2006/main" ref="A1:F1000" displayName="Tabla_9" name="Tabla_9" id="10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10_GRUPO_H-style" showColumnStripes="0" showFirstColumn="1" showLastColumn="1" showRowStripes="1"/>
</table>
</file>

<file path=xl/tables/table11.xml><?xml version="1.0" encoding="utf-8"?>
<table xmlns="http://schemas.openxmlformats.org/spreadsheetml/2006/main" ref="A1:F1000" displayName="Tabla_10" name="Tabla_10" id="11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11_GRUPO_I-style" showColumnStripes="0" showFirstColumn="1" showLastColumn="1" showRowStripes="1"/>
</table>
</file>

<file path=xl/tables/table12.xml><?xml version="1.0" encoding="utf-8"?>
<table xmlns="http://schemas.openxmlformats.org/spreadsheetml/2006/main" ref="A1:F1000" displayName="Tabla_11" name="Tabla_11" id="12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12_GRUPO_J-style" showColumnStripes="0" showFirstColumn="1" showLastColumn="1" showRowStripes="1"/>
</table>
</file>

<file path=xl/tables/table13.xml><?xml version="1.0" encoding="utf-8"?>
<table xmlns="http://schemas.openxmlformats.org/spreadsheetml/2006/main" ref="A1:F1000" displayName="Tabla_12" name="Tabla_12" id="13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13_GRUPO_K-style" showColumnStripes="0" showFirstColumn="1" showLastColumn="1" showRowStripes="1"/>
</table>
</file>

<file path=xl/tables/table14.xml><?xml version="1.0" encoding="utf-8"?>
<table xmlns="http://schemas.openxmlformats.org/spreadsheetml/2006/main" ref="A1:F1000" displayName="Tabla_13" name="Tabla_13" id="14">
  <tableColumns count="6">
    <tableColumn name="ID" id="1"/>
    <tableColumn name="TEAM" id="2"/>
    <tableColumn name="TYPE" id="3"/>
    <tableColumn name="PLAYER" id="4"/>
    <tableColumn name="QUANTITY" id="5"/>
    <tableColumn name="OWNED" id="6"/>
  </tableColumns>
  <tableStyleInfo name="14_GRUPO_L-style" showColumnStripes="0" showFirstColumn="1" showLastColumn="1" showRowStripes="1"/>
</table>
</file>

<file path=xl/tables/table15.xml><?xml version="1.0" encoding="utf-8"?>
<table xmlns="http://schemas.openxmlformats.org/spreadsheetml/2006/main" ref="A1:F12" displayName="Tabla_14" name="Tabla_14" id="15">
  <tableColumns count="6">
    <tableColumn name="ID" id="1"/>
    <tableColumn name="SECTION" id="2"/>
    <tableColumn name="TYPE" id="3"/>
    <tableColumn name="DESCRIPTION" id="4"/>
    <tableColumn name="QUANTITY" id="5"/>
    <tableColumn name="OWNED" id="6"/>
  </tableColumns>
  <tableStyleInfo name="15_FIFA_WORLD_CUP_CHAMP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4" t="s">
        <v>1</v>
      </c>
      <c r="B1" s="5">
        <f>COUNTA(MASTER!A2:A1000)</f>
        <v>994</v>
      </c>
    </row>
    <row r="2">
      <c r="A2" s="4" t="s">
        <v>2</v>
      </c>
      <c r="B2" s="5">
        <f>SUM(MASTER!F2:F1000)</f>
        <v>0</v>
      </c>
    </row>
    <row r="3">
      <c r="A3" s="4" t="s">
        <v>3</v>
      </c>
      <c r="B3" s="5">
        <f>COUNTIF(MASTER!E2:E1000,"=0")</f>
        <v>994</v>
      </c>
    </row>
    <row r="4">
      <c r="A4" s="4" t="s">
        <v>4</v>
      </c>
      <c r="B4" s="5">
        <f>COUNTIF(MASTER!E2:E1000,"&gt;1")</f>
        <v>0</v>
      </c>
    </row>
    <row r="5">
      <c r="A5" s="4" t="s">
        <v>5</v>
      </c>
      <c r="B5" s="5">
        <f>SUMPRODUCT(IF(MASTER!E2:E1000&gt;1, MASTER!E2:E1000-1, 0))</f>
        <v>0</v>
      </c>
    </row>
    <row r="6">
      <c r="A6" s="4" t="s">
        <v>6</v>
      </c>
      <c r="B6" s="6">
        <f>SUM(MASTER!F2:F1000) / COUNTA(MASTER!A2:A1000)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4" max="4" width="36.38"/>
  </cols>
  <sheetData>
    <row r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</row>
    <row r="2">
      <c r="A2" s="7" t="str">
        <f>IFERROR(__xludf.DUMMYFUNCTION("FILTER({'01_PANINI'!A2:E1000,IF('01_PANINI'!E2:E1000&gt;0,1,0);'02_GRUPO_A'!A2:E1000,IF('02_GRUPO_A'!E2:E1000&gt;0,1,0);'03_GRUPO_B'!A2:E1000,IF('03_GRUPO_B'!E2:E1000&gt;0,1,0);'04_GRUPO_C'!A2:E1000,IF('04_GRUPO_C'!E2:E1000&gt;0,1,0);'05_GRUPO_D'!A2:E1000,IF('05_GRUP"&amp;"O_D'!E2:E1000&gt;0,1,0);'06_GRUPO_E'!A2:E1000,IF('06_GRUPO_E'!E2:E1000&gt;0,1,0);'07_GRUPO_F'!A2:E1000,IF('07_GRUPO_F'!E2:E1000&gt;0,1,0);'08_STICKERS_COCA_COLA'!A2:E1000,IF('08_STICKERS_COCA_COLA'!E2:E1000&gt;0,1,0);'09_GRUPO_G'!A2:E1000,IF('09_GRUPO_G'!E2:E1000&gt;0,1"&amp;",0);'10_GRUPO_H'!A2:E1000,IF('10_GRUPO_H'!E2:E1000&gt;0,1,0);'11_GRUPO_I'!A2:E1000,IF('11_GRUPO_I'!E2:E1000&gt;0,1,0);'12_GRUPO_J'!A2:E1000,IF('12_GRUPO_J'!E2:E1000&gt;0,1,0);'13_GRUPO_K'!A2:E1000,IF('13_GRUPO_K'!E2:E1000&gt;0,1,0);'14_GRUPO_L'!A2:E1000,IF('14_GRUPO_"&amp;"L'!E2:E1000&gt;0,1,0);'15_FIFA_WORLD_CUP_CHAMPIONS'!A2:E1000,IF('15_FIFA_WORLD_CUP_CHAMPIONS'!E2:E1000&gt;0,1,0)},INDEX({'01_PANINI'!A2:A1000;'02_GRUPO_A'!A2:A1000;'03_GRUPO_B'!A2:A1000;'04_GRUPO_C'!A2:A1000;'05_GRUPO_D'!A2:A1000;'06_GRUPO_E'!A2:A1000;'07_GRUPO"&amp;"_F'!A2:A1000;'08_STICKERS_COCA_COLA'!A2:A1000;'09_GRUPO_G'!A2:A1000;'10_GRUPO_H'!A2:A1000;'11_GRUPO_I'!A2:A1000;'12_GRUPO_J'!A2:A1000;'13_GRUPO_K'!A2:A1000;'14_GRUPO_L'!A2:A1000;'15_FIFA_WORLD_CUP_CHAMPIONS'!A2:A1000})&lt;&gt;"""")"),"00")</f>
        <v>00</v>
      </c>
      <c r="B2" s="5" t="str">
        <f>IFERROR(__xludf.DUMMYFUNCTION("""COMPUTED_VALUE"""),"SECTION 1")</f>
        <v>SECTION 1</v>
      </c>
      <c r="C2" s="5" t="str">
        <f>IFERROR(__xludf.DUMMYFUNCTION("""COMPUTED_VALUE"""),"SPECIAL")</f>
        <v>SPECIAL</v>
      </c>
      <c r="D2" s="5" t="str">
        <f>IFERROR(__xludf.DUMMYFUNCTION("""COMPUTED_VALUE"""),"WE ARE PANINI")</f>
        <v>WE ARE PANINI</v>
      </c>
      <c r="E2" s="8">
        <f>IFERROR(__xludf.DUMMYFUNCTION("""COMPUTED_VALUE"""),0.0)</f>
        <v>0</v>
      </c>
      <c r="F2" s="5">
        <f>IFERROR(__xludf.DUMMYFUNCTION("""COMPUTED_VALUE"""),0.0)</f>
        <v>0</v>
      </c>
    </row>
    <row r="3">
      <c r="A3" s="5" t="str">
        <f>IFERROR(__xludf.DUMMYFUNCTION("""COMPUTED_VALUE"""),"FWC1")</f>
        <v>FWC1</v>
      </c>
      <c r="B3" s="5" t="str">
        <f>IFERROR(__xludf.DUMMYFUNCTION("""COMPUTED_VALUE"""),"SECTION 1")</f>
        <v>SECTION 1</v>
      </c>
      <c r="C3" s="5" t="str">
        <f>IFERROR(__xludf.DUMMYFUNCTION("""COMPUTED_VALUE"""),"SPECIAL")</f>
        <v>SPECIAL</v>
      </c>
      <c r="D3" s="5" t="str">
        <f>IFERROR(__xludf.DUMMYFUNCTION("""COMPUTED_VALUE"""),"FWC 1")</f>
        <v>FWC 1</v>
      </c>
      <c r="E3" s="8">
        <f>IFERROR(__xludf.DUMMYFUNCTION("""COMPUTED_VALUE"""),0.0)</f>
        <v>0</v>
      </c>
      <c r="F3" s="5">
        <f>IFERROR(__xludf.DUMMYFUNCTION("""COMPUTED_VALUE"""),0.0)</f>
        <v>0</v>
      </c>
    </row>
    <row r="4">
      <c r="A4" s="5" t="str">
        <f>IFERROR(__xludf.DUMMYFUNCTION("""COMPUTED_VALUE"""),"FWC2")</f>
        <v>FWC2</v>
      </c>
      <c r="B4" s="5" t="str">
        <f>IFERROR(__xludf.DUMMYFUNCTION("""COMPUTED_VALUE"""),"SECTION 1")</f>
        <v>SECTION 1</v>
      </c>
      <c r="C4" s="5" t="str">
        <f>IFERROR(__xludf.DUMMYFUNCTION("""COMPUTED_VALUE"""),"SPECIAL")</f>
        <v>SPECIAL</v>
      </c>
      <c r="D4" s="5" t="str">
        <f>IFERROR(__xludf.DUMMYFUNCTION("""COMPUTED_VALUE"""),"FWC 2")</f>
        <v>FWC 2</v>
      </c>
      <c r="E4" s="8">
        <f>IFERROR(__xludf.DUMMYFUNCTION("""COMPUTED_VALUE"""),0.0)</f>
        <v>0</v>
      </c>
      <c r="F4" s="5">
        <f>IFERROR(__xludf.DUMMYFUNCTION("""COMPUTED_VALUE"""),0.0)</f>
        <v>0</v>
      </c>
    </row>
    <row r="5">
      <c r="A5" s="5" t="str">
        <f>IFERROR(__xludf.DUMMYFUNCTION("""COMPUTED_VALUE"""),"FWC3")</f>
        <v>FWC3</v>
      </c>
      <c r="B5" s="5" t="str">
        <f>IFERROR(__xludf.DUMMYFUNCTION("""COMPUTED_VALUE"""),"SECTION 1")</f>
        <v>SECTION 1</v>
      </c>
      <c r="C5" s="5" t="str">
        <f>IFERROR(__xludf.DUMMYFUNCTION("""COMPUTED_VALUE"""),"SPECIAL")</f>
        <v>SPECIAL</v>
      </c>
      <c r="D5" s="5" t="str">
        <f>IFERROR(__xludf.DUMMYFUNCTION("""COMPUTED_VALUE"""),"FWC 3")</f>
        <v>FWC 3</v>
      </c>
      <c r="E5" s="8">
        <f>IFERROR(__xludf.DUMMYFUNCTION("""COMPUTED_VALUE"""),0.0)</f>
        <v>0</v>
      </c>
      <c r="F5" s="5">
        <f>IFERROR(__xludf.DUMMYFUNCTION("""COMPUTED_VALUE"""),0.0)</f>
        <v>0</v>
      </c>
    </row>
    <row r="6">
      <c r="A6" s="5" t="str">
        <f>IFERROR(__xludf.DUMMYFUNCTION("""COMPUTED_VALUE"""),"FWC4")</f>
        <v>FWC4</v>
      </c>
      <c r="B6" s="5" t="str">
        <f>IFERROR(__xludf.DUMMYFUNCTION("""COMPUTED_VALUE"""),"SECTION 1")</f>
        <v>SECTION 1</v>
      </c>
      <c r="C6" s="5" t="str">
        <f>IFERROR(__xludf.DUMMYFUNCTION("""COMPUTED_VALUE"""),"SPECIAL")</f>
        <v>SPECIAL</v>
      </c>
      <c r="D6" s="5" t="str">
        <f>IFERROR(__xludf.DUMMYFUNCTION("""COMPUTED_VALUE"""),"FWC 4")</f>
        <v>FWC 4</v>
      </c>
      <c r="E6" s="8">
        <f>IFERROR(__xludf.DUMMYFUNCTION("""COMPUTED_VALUE"""),0.0)</f>
        <v>0</v>
      </c>
      <c r="F6" s="5">
        <f>IFERROR(__xludf.DUMMYFUNCTION("""COMPUTED_VALUE"""),0.0)</f>
        <v>0</v>
      </c>
    </row>
    <row r="7">
      <c r="A7" s="5" t="str">
        <f>IFERROR(__xludf.DUMMYFUNCTION("""COMPUTED_VALUE"""),"FWC5")</f>
        <v>FWC5</v>
      </c>
      <c r="B7" s="5" t="str">
        <f>IFERROR(__xludf.DUMMYFUNCTION("""COMPUTED_VALUE"""),"SECTION 1")</f>
        <v>SECTION 1</v>
      </c>
      <c r="C7" s="5" t="str">
        <f>IFERROR(__xludf.DUMMYFUNCTION("""COMPUTED_VALUE"""),"SPECIAL")</f>
        <v>SPECIAL</v>
      </c>
      <c r="D7" s="5" t="str">
        <f>IFERROR(__xludf.DUMMYFUNCTION("""COMPUTED_VALUE"""),"FWC 5")</f>
        <v>FWC 5</v>
      </c>
      <c r="E7" s="8">
        <f>IFERROR(__xludf.DUMMYFUNCTION("""COMPUTED_VALUE"""),0.0)</f>
        <v>0</v>
      </c>
      <c r="F7" s="5">
        <f>IFERROR(__xludf.DUMMYFUNCTION("""COMPUTED_VALUE"""),0.0)</f>
        <v>0</v>
      </c>
    </row>
    <row r="8">
      <c r="A8" s="5" t="str">
        <f>IFERROR(__xludf.DUMMYFUNCTION("""COMPUTED_VALUE"""),"FWC6")</f>
        <v>FWC6</v>
      </c>
      <c r="B8" s="5" t="str">
        <f>IFERROR(__xludf.DUMMYFUNCTION("""COMPUTED_VALUE"""),"SECTION 1")</f>
        <v>SECTION 1</v>
      </c>
      <c r="C8" s="5" t="str">
        <f>IFERROR(__xludf.DUMMYFUNCTION("""COMPUTED_VALUE"""),"SPECIAL")</f>
        <v>SPECIAL</v>
      </c>
      <c r="D8" s="5" t="str">
        <f>IFERROR(__xludf.DUMMYFUNCTION("""COMPUTED_VALUE"""),"FWC 6")</f>
        <v>FWC 6</v>
      </c>
      <c r="E8" s="8">
        <f>IFERROR(__xludf.DUMMYFUNCTION("""COMPUTED_VALUE"""),0.0)</f>
        <v>0</v>
      </c>
      <c r="F8" s="5">
        <f>IFERROR(__xludf.DUMMYFUNCTION("""COMPUTED_VALUE"""),0.0)</f>
        <v>0</v>
      </c>
    </row>
    <row r="9">
      <c r="A9" s="5" t="str">
        <f>IFERROR(__xludf.DUMMYFUNCTION("""COMPUTED_VALUE"""),"FWC7")</f>
        <v>FWC7</v>
      </c>
      <c r="B9" s="5" t="str">
        <f>IFERROR(__xludf.DUMMYFUNCTION("""COMPUTED_VALUE"""),"SECTION 1")</f>
        <v>SECTION 1</v>
      </c>
      <c r="C9" s="5" t="str">
        <f>IFERROR(__xludf.DUMMYFUNCTION("""COMPUTED_VALUE"""),"SPECIAL")</f>
        <v>SPECIAL</v>
      </c>
      <c r="D9" s="5" t="str">
        <f>IFERROR(__xludf.DUMMYFUNCTION("""COMPUTED_VALUE"""),"FWC 7")</f>
        <v>FWC 7</v>
      </c>
      <c r="E9" s="8">
        <f>IFERROR(__xludf.DUMMYFUNCTION("""COMPUTED_VALUE"""),0.0)</f>
        <v>0</v>
      </c>
      <c r="F9" s="5">
        <f>IFERROR(__xludf.DUMMYFUNCTION("""COMPUTED_VALUE"""),0.0)</f>
        <v>0</v>
      </c>
    </row>
    <row r="10">
      <c r="A10" s="5" t="str">
        <f>IFERROR(__xludf.DUMMYFUNCTION("""COMPUTED_VALUE"""),"FWC8")</f>
        <v>FWC8</v>
      </c>
      <c r="B10" s="5" t="str">
        <f>IFERROR(__xludf.DUMMYFUNCTION("""COMPUTED_VALUE"""),"SECTION 1")</f>
        <v>SECTION 1</v>
      </c>
      <c r="C10" s="5" t="str">
        <f>IFERROR(__xludf.DUMMYFUNCTION("""COMPUTED_VALUE"""),"SPECIAL")</f>
        <v>SPECIAL</v>
      </c>
      <c r="D10" s="5" t="str">
        <f>IFERROR(__xludf.DUMMYFUNCTION("""COMPUTED_VALUE"""),"FWC 8")</f>
        <v>FWC 8</v>
      </c>
      <c r="E10" s="8">
        <f>IFERROR(__xludf.DUMMYFUNCTION("""COMPUTED_VALUE"""),0.0)</f>
        <v>0</v>
      </c>
      <c r="F10" s="5">
        <f>IFERROR(__xludf.DUMMYFUNCTION("""COMPUTED_VALUE"""),0.0)</f>
        <v>0</v>
      </c>
    </row>
    <row r="11">
      <c r="A11" s="5" t="str">
        <f>IFERROR(__xludf.DUMMYFUNCTION("""COMPUTED_VALUE"""),"MEX01")</f>
        <v>MEX01</v>
      </c>
      <c r="B11" s="5" t="str">
        <f>IFERROR(__xludf.DUMMYFUNCTION("""COMPUTED_VALUE"""),"MEXICO")</f>
        <v>MEXICO</v>
      </c>
      <c r="C11" s="5" t="str">
        <f>IFERROR(__xludf.DUMMYFUNCTION("""COMPUTED_VALUE"""),"BADGE")</f>
        <v>BADGE</v>
      </c>
      <c r="D11" s="5" t="str">
        <f>IFERROR(__xludf.DUMMYFUNCTION("""COMPUTED_VALUE"""),"MEXICO NATIONAL TEAM")</f>
        <v>MEXICO NATIONAL TEAM</v>
      </c>
      <c r="E11" s="5">
        <f>IFERROR(__xludf.DUMMYFUNCTION("""COMPUTED_VALUE"""),0.0)</f>
        <v>0</v>
      </c>
      <c r="F11" s="5">
        <f>IFERROR(__xludf.DUMMYFUNCTION("""COMPUTED_VALUE"""),0.0)</f>
        <v>0</v>
      </c>
    </row>
    <row r="12">
      <c r="A12" s="5" t="str">
        <f>IFERROR(__xludf.DUMMYFUNCTION("""COMPUTED_VALUE"""),"MEX02")</f>
        <v>MEX02</v>
      </c>
      <c r="B12" s="5" t="str">
        <f>IFERROR(__xludf.DUMMYFUNCTION("""COMPUTED_VALUE"""),"MEXICO")</f>
        <v>MEXICO</v>
      </c>
      <c r="C12" s="5" t="str">
        <f>IFERROR(__xludf.DUMMYFUNCTION("""COMPUTED_VALUE"""),"NORMAL")</f>
        <v>NORMAL</v>
      </c>
      <c r="D12" s="5" t="str">
        <f>IFERROR(__xludf.DUMMYFUNCTION("""COMPUTED_VALUE"""),"LUIS MALAGÓN")</f>
        <v>LUIS MALAGÓN</v>
      </c>
      <c r="E12" s="5">
        <f>IFERROR(__xludf.DUMMYFUNCTION("""COMPUTED_VALUE"""),0.0)</f>
        <v>0</v>
      </c>
      <c r="F12" s="5">
        <f>IFERROR(__xludf.DUMMYFUNCTION("""COMPUTED_VALUE"""),0.0)</f>
        <v>0</v>
      </c>
    </row>
    <row r="13">
      <c r="A13" s="5" t="str">
        <f>IFERROR(__xludf.DUMMYFUNCTION("""COMPUTED_VALUE"""),"MEX03")</f>
        <v>MEX03</v>
      </c>
      <c r="B13" s="5" t="str">
        <f>IFERROR(__xludf.DUMMYFUNCTION("""COMPUTED_VALUE"""),"MEXICO")</f>
        <v>MEXICO</v>
      </c>
      <c r="C13" s="5" t="str">
        <f>IFERROR(__xludf.DUMMYFUNCTION("""COMPUTED_VALUE"""),"NORMAL")</f>
        <v>NORMAL</v>
      </c>
      <c r="D13" s="5" t="str">
        <f>IFERROR(__xludf.DUMMYFUNCTION("""COMPUTED_VALUE"""),"JOHAN VÁSQUEZ")</f>
        <v>JOHAN VÁSQUEZ</v>
      </c>
      <c r="E13" s="5">
        <f>IFERROR(__xludf.DUMMYFUNCTION("""COMPUTED_VALUE"""),0.0)</f>
        <v>0</v>
      </c>
      <c r="F13" s="5">
        <f>IFERROR(__xludf.DUMMYFUNCTION("""COMPUTED_VALUE"""),0.0)</f>
        <v>0</v>
      </c>
    </row>
    <row r="14">
      <c r="A14" s="5" t="str">
        <f>IFERROR(__xludf.DUMMYFUNCTION("""COMPUTED_VALUE"""),"MEX04")</f>
        <v>MEX04</v>
      </c>
      <c r="B14" s="5" t="str">
        <f>IFERROR(__xludf.DUMMYFUNCTION("""COMPUTED_VALUE"""),"MEXICO")</f>
        <v>MEXICO</v>
      </c>
      <c r="C14" s="5" t="str">
        <f>IFERROR(__xludf.DUMMYFUNCTION("""COMPUTED_VALUE"""),"NORMAL")</f>
        <v>NORMAL</v>
      </c>
      <c r="D14" s="5" t="str">
        <f>IFERROR(__xludf.DUMMYFUNCTION("""COMPUTED_VALUE"""),"JORGE SÁNCHEZ")</f>
        <v>JORGE SÁNCHEZ</v>
      </c>
      <c r="E14" s="5">
        <f>IFERROR(__xludf.DUMMYFUNCTION("""COMPUTED_VALUE"""),0.0)</f>
        <v>0</v>
      </c>
      <c r="F14" s="5">
        <f>IFERROR(__xludf.DUMMYFUNCTION("""COMPUTED_VALUE"""),0.0)</f>
        <v>0</v>
      </c>
    </row>
    <row r="15">
      <c r="A15" s="5" t="str">
        <f>IFERROR(__xludf.DUMMYFUNCTION("""COMPUTED_VALUE"""),"MEX05")</f>
        <v>MEX05</v>
      </c>
      <c r="B15" s="5" t="str">
        <f>IFERROR(__xludf.DUMMYFUNCTION("""COMPUTED_VALUE"""),"MEXICO")</f>
        <v>MEXICO</v>
      </c>
      <c r="C15" s="5" t="str">
        <f>IFERROR(__xludf.DUMMYFUNCTION("""COMPUTED_VALUE"""),"NORMAL")</f>
        <v>NORMAL</v>
      </c>
      <c r="D15" s="5" t="str">
        <f>IFERROR(__xludf.DUMMYFUNCTION("""COMPUTED_VALUE"""),"CÉSAR MONTES")</f>
        <v>CÉSAR MONTES</v>
      </c>
      <c r="E15" s="5">
        <f>IFERROR(__xludf.DUMMYFUNCTION("""COMPUTED_VALUE"""),0.0)</f>
        <v>0</v>
      </c>
      <c r="F15" s="5">
        <f>IFERROR(__xludf.DUMMYFUNCTION("""COMPUTED_VALUE"""),0.0)</f>
        <v>0</v>
      </c>
    </row>
    <row r="16">
      <c r="A16" s="5" t="str">
        <f>IFERROR(__xludf.DUMMYFUNCTION("""COMPUTED_VALUE"""),"MEX06")</f>
        <v>MEX06</v>
      </c>
      <c r="B16" s="5" t="str">
        <f>IFERROR(__xludf.DUMMYFUNCTION("""COMPUTED_VALUE"""),"MEXICO")</f>
        <v>MEXICO</v>
      </c>
      <c r="C16" s="5" t="str">
        <f>IFERROR(__xludf.DUMMYFUNCTION("""COMPUTED_VALUE"""),"NORMAL")</f>
        <v>NORMAL</v>
      </c>
      <c r="D16" s="5" t="str">
        <f>IFERROR(__xludf.DUMMYFUNCTION("""COMPUTED_VALUE"""),"JESÚS GALLARDO")</f>
        <v>JESÚS GALLARDO</v>
      </c>
      <c r="E16" s="5">
        <f>IFERROR(__xludf.DUMMYFUNCTION("""COMPUTED_VALUE"""),0.0)</f>
        <v>0</v>
      </c>
      <c r="F16" s="5">
        <f>IFERROR(__xludf.DUMMYFUNCTION("""COMPUTED_VALUE"""),0.0)</f>
        <v>0</v>
      </c>
    </row>
    <row r="17">
      <c r="A17" s="5" t="str">
        <f>IFERROR(__xludf.DUMMYFUNCTION("""COMPUTED_VALUE"""),"MEX07")</f>
        <v>MEX07</v>
      </c>
      <c r="B17" s="5" t="str">
        <f>IFERROR(__xludf.DUMMYFUNCTION("""COMPUTED_VALUE"""),"MEXICO")</f>
        <v>MEXICO</v>
      </c>
      <c r="C17" s="5" t="str">
        <f>IFERROR(__xludf.DUMMYFUNCTION("""COMPUTED_VALUE"""),"NORMAL")</f>
        <v>NORMAL</v>
      </c>
      <c r="D17" s="5" t="str">
        <f>IFERROR(__xludf.DUMMYFUNCTION("""COMPUTED_VALUE"""),"ISRAEL REYES")</f>
        <v>ISRAEL REYES</v>
      </c>
      <c r="E17" s="5">
        <f>IFERROR(__xludf.DUMMYFUNCTION("""COMPUTED_VALUE"""),0.0)</f>
        <v>0</v>
      </c>
      <c r="F17" s="5">
        <f>IFERROR(__xludf.DUMMYFUNCTION("""COMPUTED_VALUE"""),0.0)</f>
        <v>0</v>
      </c>
    </row>
    <row r="18">
      <c r="A18" s="5" t="str">
        <f>IFERROR(__xludf.DUMMYFUNCTION("""COMPUTED_VALUE"""),"MEX08")</f>
        <v>MEX08</v>
      </c>
      <c r="B18" s="5" t="str">
        <f>IFERROR(__xludf.DUMMYFUNCTION("""COMPUTED_VALUE"""),"MEXICO")</f>
        <v>MEXICO</v>
      </c>
      <c r="C18" s="5" t="str">
        <f>IFERROR(__xludf.DUMMYFUNCTION("""COMPUTED_VALUE"""),"NORMAL")</f>
        <v>NORMAL</v>
      </c>
      <c r="D18" s="5" t="str">
        <f>IFERROR(__xludf.DUMMYFUNCTION("""COMPUTED_VALUE"""),"DIEGO LAINEZ")</f>
        <v>DIEGO LAINEZ</v>
      </c>
      <c r="E18" s="5">
        <f>IFERROR(__xludf.DUMMYFUNCTION("""COMPUTED_VALUE"""),0.0)</f>
        <v>0</v>
      </c>
      <c r="F18" s="5">
        <f>IFERROR(__xludf.DUMMYFUNCTION("""COMPUTED_VALUE"""),0.0)</f>
        <v>0</v>
      </c>
    </row>
    <row r="19">
      <c r="A19" s="5" t="str">
        <f>IFERROR(__xludf.DUMMYFUNCTION("""COMPUTED_VALUE"""),"MEX09")</f>
        <v>MEX09</v>
      </c>
      <c r="B19" s="5" t="str">
        <f>IFERROR(__xludf.DUMMYFUNCTION("""COMPUTED_VALUE"""),"MEXICO")</f>
        <v>MEXICO</v>
      </c>
      <c r="C19" s="5" t="str">
        <f>IFERROR(__xludf.DUMMYFUNCTION("""COMPUTED_VALUE"""),"NORMAL")</f>
        <v>NORMAL</v>
      </c>
      <c r="D19" s="5" t="str">
        <f>IFERROR(__xludf.DUMMYFUNCTION("""COMPUTED_VALUE"""),"CARLOS RODRÍGUEZ")</f>
        <v>CARLOS RODRÍGUEZ</v>
      </c>
      <c r="E19" s="5">
        <f>IFERROR(__xludf.DUMMYFUNCTION("""COMPUTED_VALUE"""),0.0)</f>
        <v>0</v>
      </c>
      <c r="F19" s="5">
        <f>IFERROR(__xludf.DUMMYFUNCTION("""COMPUTED_VALUE"""),0.0)</f>
        <v>0</v>
      </c>
    </row>
    <row r="20">
      <c r="A20" s="5" t="str">
        <f>IFERROR(__xludf.DUMMYFUNCTION("""COMPUTED_VALUE"""),"MEX10")</f>
        <v>MEX10</v>
      </c>
      <c r="B20" s="5" t="str">
        <f>IFERROR(__xludf.DUMMYFUNCTION("""COMPUTED_VALUE"""),"MEXICO")</f>
        <v>MEXICO</v>
      </c>
      <c r="C20" s="5" t="str">
        <f>IFERROR(__xludf.DUMMYFUNCTION("""COMPUTED_VALUE"""),"NORMAL")</f>
        <v>NORMAL</v>
      </c>
      <c r="D20" s="5" t="str">
        <f>IFERROR(__xludf.DUMMYFUNCTION("""COMPUTED_VALUE"""),"EDSON ÁLVAREZ")</f>
        <v>EDSON ÁLVAREZ</v>
      </c>
      <c r="E20" s="5">
        <f>IFERROR(__xludf.DUMMYFUNCTION("""COMPUTED_VALUE"""),0.0)</f>
        <v>0</v>
      </c>
      <c r="F20" s="5">
        <f>IFERROR(__xludf.DUMMYFUNCTION("""COMPUTED_VALUE"""),0.0)</f>
        <v>0</v>
      </c>
    </row>
    <row r="21">
      <c r="A21" s="5" t="str">
        <f>IFERROR(__xludf.DUMMYFUNCTION("""COMPUTED_VALUE"""),"MEX11")</f>
        <v>MEX11</v>
      </c>
      <c r="B21" s="5" t="str">
        <f>IFERROR(__xludf.DUMMYFUNCTION("""COMPUTED_VALUE"""),"MEXICO")</f>
        <v>MEXICO</v>
      </c>
      <c r="C21" s="5" t="str">
        <f>IFERROR(__xludf.DUMMYFUNCTION("""COMPUTED_VALUE"""),"NORMAL")</f>
        <v>NORMAL</v>
      </c>
      <c r="D21" s="5" t="str">
        <f>IFERROR(__xludf.DUMMYFUNCTION("""COMPUTED_VALUE"""),"ORBELÍN PINEDA")</f>
        <v>ORBELÍN PINEDA</v>
      </c>
      <c r="E21" s="5">
        <f>IFERROR(__xludf.DUMMYFUNCTION("""COMPUTED_VALUE"""),0.0)</f>
        <v>0</v>
      </c>
      <c r="F21" s="5">
        <f>IFERROR(__xludf.DUMMYFUNCTION("""COMPUTED_VALUE"""),0.0)</f>
        <v>0</v>
      </c>
    </row>
    <row r="22">
      <c r="A22" s="5" t="str">
        <f>IFERROR(__xludf.DUMMYFUNCTION("""COMPUTED_VALUE"""),"MEX12")</f>
        <v>MEX12</v>
      </c>
      <c r="B22" s="5" t="str">
        <f>IFERROR(__xludf.DUMMYFUNCTION("""COMPUTED_VALUE"""),"MEXICO")</f>
        <v>MEXICO</v>
      </c>
      <c r="C22" s="5" t="str">
        <f>IFERROR(__xludf.DUMMYFUNCTION("""COMPUTED_VALUE"""),"NORMAL")</f>
        <v>NORMAL</v>
      </c>
      <c r="D22" s="5" t="str">
        <f>IFERROR(__xludf.DUMMYFUNCTION("""COMPUTED_VALUE"""),"MARCEL RUÍZ")</f>
        <v>MARCEL RUÍZ</v>
      </c>
      <c r="E22" s="5">
        <f>IFERROR(__xludf.DUMMYFUNCTION("""COMPUTED_VALUE"""),0.0)</f>
        <v>0</v>
      </c>
      <c r="F22" s="5">
        <f>IFERROR(__xludf.DUMMYFUNCTION("""COMPUTED_VALUE"""),0.0)</f>
        <v>0</v>
      </c>
    </row>
    <row r="23">
      <c r="A23" s="5" t="str">
        <f>IFERROR(__xludf.DUMMYFUNCTION("""COMPUTED_VALUE"""),"MEX13")</f>
        <v>MEX13</v>
      </c>
      <c r="B23" s="5" t="str">
        <f>IFERROR(__xludf.DUMMYFUNCTION("""COMPUTED_VALUE"""),"MEXICO")</f>
        <v>MEXICO</v>
      </c>
      <c r="C23" s="5" t="str">
        <f>IFERROR(__xludf.DUMMYFUNCTION("""COMPUTED_VALUE"""),"TEAM")</f>
        <v>TEAM</v>
      </c>
      <c r="D23" s="5" t="str">
        <f>IFERROR(__xludf.DUMMYFUNCTION("""COMPUTED_VALUE"""),"MEXICO NATIONAL TEAM")</f>
        <v>MEXICO NATIONAL TEAM</v>
      </c>
      <c r="E23" s="5">
        <f>IFERROR(__xludf.DUMMYFUNCTION("""COMPUTED_VALUE"""),0.0)</f>
        <v>0</v>
      </c>
      <c r="F23" s="5">
        <f>IFERROR(__xludf.DUMMYFUNCTION("""COMPUTED_VALUE"""),0.0)</f>
        <v>0</v>
      </c>
    </row>
    <row r="24">
      <c r="A24" s="5" t="str">
        <f>IFERROR(__xludf.DUMMYFUNCTION("""COMPUTED_VALUE"""),"MEX14")</f>
        <v>MEX14</v>
      </c>
      <c r="B24" s="5" t="str">
        <f>IFERROR(__xludf.DUMMYFUNCTION("""COMPUTED_VALUE"""),"MEXICO")</f>
        <v>MEXICO</v>
      </c>
      <c r="C24" s="5" t="str">
        <f>IFERROR(__xludf.DUMMYFUNCTION("""COMPUTED_VALUE"""),"NORMAL")</f>
        <v>NORMAL</v>
      </c>
      <c r="D24" s="5" t="str">
        <f>IFERROR(__xludf.DUMMYFUNCTION("""COMPUTED_VALUE"""),"ERICK SÁNCHEZ")</f>
        <v>ERICK SÁNCHEZ</v>
      </c>
      <c r="E24" s="5">
        <f>IFERROR(__xludf.DUMMYFUNCTION("""COMPUTED_VALUE"""),0.0)</f>
        <v>0</v>
      </c>
      <c r="F24" s="5">
        <f>IFERROR(__xludf.DUMMYFUNCTION("""COMPUTED_VALUE"""),0.0)</f>
        <v>0</v>
      </c>
    </row>
    <row r="25">
      <c r="A25" s="5" t="str">
        <f>IFERROR(__xludf.DUMMYFUNCTION("""COMPUTED_VALUE"""),"MEX15")</f>
        <v>MEX15</v>
      </c>
      <c r="B25" s="5" t="str">
        <f>IFERROR(__xludf.DUMMYFUNCTION("""COMPUTED_VALUE"""),"MEXICO")</f>
        <v>MEXICO</v>
      </c>
      <c r="C25" s="5" t="str">
        <f>IFERROR(__xludf.DUMMYFUNCTION("""COMPUTED_VALUE"""),"NORMAL")</f>
        <v>NORMAL</v>
      </c>
      <c r="D25" s="5" t="str">
        <f>IFERROR(__xludf.DUMMYFUNCTION("""COMPUTED_VALUE"""),"HIRVING LOZANO")</f>
        <v>HIRVING LOZANO</v>
      </c>
      <c r="E25" s="5">
        <f>IFERROR(__xludf.DUMMYFUNCTION("""COMPUTED_VALUE"""),0.0)</f>
        <v>0</v>
      </c>
      <c r="F25" s="5">
        <f>IFERROR(__xludf.DUMMYFUNCTION("""COMPUTED_VALUE"""),0.0)</f>
        <v>0</v>
      </c>
    </row>
    <row r="26">
      <c r="A26" s="5" t="str">
        <f>IFERROR(__xludf.DUMMYFUNCTION("""COMPUTED_VALUE"""),"MEX16")</f>
        <v>MEX16</v>
      </c>
      <c r="B26" s="5" t="str">
        <f>IFERROR(__xludf.DUMMYFUNCTION("""COMPUTED_VALUE"""),"MEXICO")</f>
        <v>MEXICO</v>
      </c>
      <c r="C26" s="5" t="str">
        <f>IFERROR(__xludf.DUMMYFUNCTION("""COMPUTED_VALUE"""),"NORMAL")</f>
        <v>NORMAL</v>
      </c>
      <c r="D26" s="5" t="str">
        <f>IFERROR(__xludf.DUMMYFUNCTION("""COMPUTED_VALUE"""),"SANTIAGO GIMÉNEZ")</f>
        <v>SANTIAGO GIMÉNEZ</v>
      </c>
      <c r="E26" s="5">
        <f>IFERROR(__xludf.DUMMYFUNCTION("""COMPUTED_VALUE"""),0.0)</f>
        <v>0</v>
      </c>
      <c r="F26" s="5">
        <f>IFERROR(__xludf.DUMMYFUNCTION("""COMPUTED_VALUE"""),0.0)</f>
        <v>0</v>
      </c>
    </row>
    <row r="27">
      <c r="A27" s="5" t="str">
        <f>IFERROR(__xludf.DUMMYFUNCTION("""COMPUTED_VALUE"""),"MEX17")</f>
        <v>MEX17</v>
      </c>
      <c r="B27" s="5" t="str">
        <f>IFERROR(__xludf.DUMMYFUNCTION("""COMPUTED_VALUE"""),"MEXICO")</f>
        <v>MEXICO</v>
      </c>
      <c r="C27" s="5" t="str">
        <f>IFERROR(__xludf.DUMMYFUNCTION("""COMPUTED_VALUE"""),"NORMAL")</f>
        <v>NORMAL</v>
      </c>
      <c r="D27" s="5" t="str">
        <f>IFERROR(__xludf.DUMMYFUNCTION("""COMPUTED_VALUE"""),"RAÚL JIMÉNEZ")</f>
        <v>RAÚL JIMÉNEZ</v>
      </c>
      <c r="E27" s="5">
        <f>IFERROR(__xludf.DUMMYFUNCTION("""COMPUTED_VALUE"""),0.0)</f>
        <v>0</v>
      </c>
      <c r="F27" s="5">
        <f>IFERROR(__xludf.DUMMYFUNCTION("""COMPUTED_VALUE"""),0.0)</f>
        <v>0</v>
      </c>
    </row>
    <row r="28">
      <c r="A28" s="5" t="str">
        <f>IFERROR(__xludf.DUMMYFUNCTION("""COMPUTED_VALUE"""),"MEX18")</f>
        <v>MEX18</v>
      </c>
      <c r="B28" s="5" t="str">
        <f>IFERROR(__xludf.DUMMYFUNCTION("""COMPUTED_VALUE"""),"MEXICO")</f>
        <v>MEXICO</v>
      </c>
      <c r="C28" s="5" t="str">
        <f>IFERROR(__xludf.DUMMYFUNCTION("""COMPUTED_VALUE"""),"NORMAL")</f>
        <v>NORMAL</v>
      </c>
      <c r="D28" s="5" t="str">
        <f>IFERROR(__xludf.DUMMYFUNCTION("""COMPUTED_VALUE"""),"ALEXIS VEGA")</f>
        <v>ALEXIS VEGA</v>
      </c>
      <c r="E28" s="5">
        <f>IFERROR(__xludf.DUMMYFUNCTION("""COMPUTED_VALUE"""),0.0)</f>
        <v>0</v>
      </c>
      <c r="F28" s="5">
        <f>IFERROR(__xludf.DUMMYFUNCTION("""COMPUTED_VALUE"""),0.0)</f>
        <v>0</v>
      </c>
    </row>
    <row r="29">
      <c r="A29" s="5" t="str">
        <f>IFERROR(__xludf.DUMMYFUNCTION("""COMPUTED_VALUE"""),"MEX19")</f>
        <v>MEX19</v>
      </c>
      <c r="B29" s="5" t="str">
        <f>IFERROR(__xludf.DUMMYFUNCTION("""COMPUTED_VALUE"""),"MEXICO")</f>
        <v>MEXICO</v>
      </c>
      <c r="C29" s="5" t="str">
        <f>IFERROR(__xludf.DUMMYFUNCTION("""COMPUTED_VALUE"""),"NORMAL")</f>
        <v>NORMAL</v>
      </c>
      <c r="D29" s="5" t="str">
        <f>IFERROR(__xludf.DUMMYFUNCTION("""COMPUTED_VALUE"""),"ROBERTO ALVARADO")</f>
        <v>ROBERTO ALVARADO</v>
      </c>
      <c r="E29" s="5">
        <f>IFERROR(__xludf.DUMMYFUNCTION("""COMPUTED_VALUE"""),0.0)</f>
        <v>0</v>
      </c>
      <c r="F29" s="5">
        <f>IFERROR(__xludf.DUMMYFUNCTION("""COMPUTED_VALUE"""),0.0)</f>
        <v>0</v>
      </c>
    </row>
    <row r="30">
      <c r="A30" s="5" t="str">
        <f>IFERROR(__xludf.DUMMYFUNCTION("""COMPUTED_VALUE"""),"MEX20")</f>
        <v>MEX20</v>
      </c>
      <c r="B30" s="5" t="str">
        <f>IFERROR(__xludf.DUMMYFUNCTION("""COMPUTED_VALUE"""),"MEXICO")</f>
        <v>MEXICO</v>
      </c>
      <c r="C30" s="5" t="str">
        <f>IFERROR(__xludf.DUMMYFUNCTION("""COMPUTED_VALUE"""),"NORMAL")</f>
        <v>NORMAL</v>
      </c>
      <c r="D30" s="5" t="str">
        <f>IFERROR(__xludf.DUMMYFUNCTION("""COMPUTED_VALUE"""),"CÉSAR HUERTA")</f>
        <v>CÉSAR HUERTA</v>
      </c>
      <c r="E30" s="5">
        <f>IFERROR(__xludf.DUMMYFUNCTION("""COMPUTED_VALUE"""),0.0)</f>
        <v>0</v>
      </c>
      <c r="F30" s="5">
        <f>IFERROR(__xludf.DUMMYFUNCTION("""COMPUTED_VALUE"""),0.0)</f>
        <v>0</v>
      </c>
    </row>
    <row r="31">
      <c r="A31" s="5" t="str">
        <f>IFERROR(__xludf.DUMMYFUNCTION("""COMPUTED_VALUE"""),"RSA01")</f>
        <v>RSA01</v>
      </c>
      <c r="B31" s="5" t="str">
        <f>IFERROR(__xludf.DUMMYFUNCTION("""COMPUTED_VALUE"""),"SOUTHAFRICA")</f>
        <v>SOUTHAFRICA</v>
      </c>
      <c r="C31" s="5" t="str">
        <f>IFERROR(__xludf.DUMMYFUNCTION("""COMPUTED_VALUE"""),"BADGE")</f>
        <v>BADGE</v>
      </c>
      <c r="D31" s="5" t="str">
        <f>IFERROR(__xludf.DUMMYFUNCTION("""COMPUTED_VALUE"""),"SOUTHAFRICA NATIONAL TEAM")</f>
        <v>SOUTHAFRICA NATIONAL TEAM</v>
      </c>
      <c r="E31" s="5">
        <f>IFERROR(__xludf.DUMMYFUNCTION("""COMPUTED_VALUE"""),0.0)</f>
        <v>0</v>
      </c>
      <c r="F31" s="5">
        <f>IFERROR(__xludf.DUMMYFUNCTION("""COMPUTED_VALUE"""),0.0)</f>
        <v>0</v>
      </c>
    </row>
    <row r="32">
      <c r="A32" s="5" t="str">
        <f>IFERROR(__xludf.DUMMYFUNCTION("""COMPUTED_VALUE"""),"RSA02")</f>
        <v>RSA02</v>
      </c>
      <c r="B32" s="5" t="str">
        <f>IFERROR(__xludf.DUMMYFUNCTION("""COMPUTED_VALUE"""),"SOUTHAFRICA")</f>
        <v>SOUTHAFRICA</v>
      </c>
      <c r="C32" s="5" t="str">
        <f>IFERROR(__xludf.DUMMYFUNCTION("""COMPUTED_VALUE"""),"NORMAL")</f>
        <v>NORMAL</v>
      </c>
      <c r="D32" s="5" t="str">
        <f>IFERROR(__xludf.DUMMYFUNCTION("""COMPUTED_VALUE"""),"RONWEN WILLIAMS")</f>
        <v>RONWEN WILLIAMS</v>
      </c>
      <c r="E32" s="5">
        <f>IFERROR(__xludf.DUMMYFUNCTION("""COMPUTED_VALUE"""),0.0)</f>
        <v>0</v>
      </c>
      <c r="F32" s="5">
        <f>IFERROR(__xludf.DUMMYFUNCTION("""COMPUTED_VALUE"""),0.0)</f>
        <v>0</v>
      </c>
    </row>
    <row r="33">
      <c r="A33" s="5" t="str">
        <f>IFERROR(__xludf.DUMMYFUNCTION("""COMPUTED_VALUE"""),"RSA03")</f>
        <v>RSA03</v>
      </c>
      <c r="B33" s="5" t="str">
        <f>IFERROR(__xludf.DUMMYFUNCTION("""COMPUTED_VALUE"""),"SOUTHAFRICA")</f>
        <v>SOUTHAFRICA</v>
      </c>
      <c r="C33" s="5" t="str">
        <f>IFERROR(__xludf.DUMMYFUNCTION("""COMPUTED_VALUE"""),"NORMAL")</f>
        <v>NORMAL</v>
      </c>
      <c r="D33" s="5" t="str">
        <f>IFERROR(__xludf.DUMMYFUNCTION("""COMPUTED_VALUE"""),"SIPHO CHAINE")</f>
        <v>SIPHO CHAINE</v>
      </c>
      <c r="E33" s="5">
        <f>IFERROR(__xludf.DUMMYFUNCTION("""COMPUTED_VALUE"""),0.0)</f>
        <v>0</v>
      </c>
      <c r="F33" s="5">
        <f>IFERROR(__xludf.DUMMYFUNCTION("""COMPUTED_VALUE"""),0.0)</f>
        <v>0</v>
      </c>
    </row>
    <row r="34">
      <c r="A34" s="5" t="str">
        <f>IFERROR(__xludf.DUMMYFUNCTION("""COMPUTED_VALUE"""),"RSA04")</f>
        <v>RSA04</v>
      </c>
      <c r="B34" s="5" t="str">
        <f>IFERROR(__xludf.DUMMYFUNCTION("""COMPUTED_VALUE"""),"SOUTHAFRICA")</f>
        <v>SOUTHAFRICA</v>
      </c>
      <c r="C34" s="5" t="str">
        <f>IFERROR(__xludf.DUMMYFUNCTION("""COMPUTED_VALUE"""),"NORMAL")</f>
        <v>NORMAL</v>
      </c>
      <c r="D34" s="5" t="str">
        <f>IFERROR(__xludf.DUMMYFUNCTION("""COMPUTED_VALUE"""),"AUBREY MODIBA")</f>
        <v>AUBREY MODIBA</v>
      </c>
      <c r="E34" s="5">
        <f>IFERROR(__xludf.DUMMYFUNCTION("""COMPUTED_VALUE"""),0.0)</f>
        <v>0</v>
      </c>
      <c r="F34" s="5">
        <f>IFERROR(__xludf.DUMMYFUNCTION("""COMPUTED_VALUE"""),0.0)</f>
        <v>0</v>
      </c>
    </row>
    <row r="35">
      <c r="A35" s="5" t="str">
        <f>IFERROR(__xludf.DUMMYFUNCTION("""COMPUTED_VALUE"""),"RSA05")</f>
        <v>RSA05</v>
      </c>
      <c r="B35" s="5" t="str">
        <f>IFERROR(__xludf.DUMMYFUNCTION("""COMPUTED_VALUE"""),"SOUTHAFRICA")</f>
        <v>SOUTHAFRICA</v>
      </c>
      <c r="C35" s="5" t="str">
        <f>IFERROR(__xludf.DUMMYFUNCTION("""COMPUTED_VALUE"""),"NORMAL")</f>
        <v>NORMAL</v>
      </c>
      <c r="D35" s="5" t="str">
        <f>IFERROR(__xludf.DUMMYFUNCTION("""COMPUTED_VALUE"""),"SAMUKELE KABINI")</f>
        <v>SAMUKELE KABINI</v>
      </c>
      <c r="E35" s="5">
        <f>IFERROR(__xludf.DUMMYFUNCTION("""COMPUTED_VALUE"""),0.0)</f>
        <v>0</v>
      </c>
      <c r="F35" s="5">
        <f>IFERROR(__xludf.DUMMYFUNCTION("""COMPUTED_VALUE"""),0.0)</f>
        <v>0</v>
      </c>
    </row>
    <row r="36">
      <c r="A36" s="5" t="str">
        <f>IFERROR(__xludf.DUMMYFUNCTION("""COMPUTED_VALUE"""),"RSA06")</f>
        <v>RSA06</v>
      </c>
      <c r="B36" s="5" t="str">
        <f>IFERROR(__xludf.DUMMYFUNCTION("""COMPUTED_VALUE"""),"SOUTHAFRICA")</f>
        <v>SOUTHAFRICA</v>
      </c>
      <c r="C36" s="5" t="str">
        <f>IFERROR(__xludf.DUMMYFUNCTION("""COMPUTED_VALUE"""),"NORMAL")</f>
        <v>NORMAL</v>
      </c>
      <c r="D36" s="5" t="str">
        <f>IFERROR(__xludf.DUMMYFUNCTION("""COMPUTED_VALUE"""),"MBEKEZLI MBOKAZI")</f>
        <v>MBEKEZLI MBOKAZI</v>
      </c>
      <c r="E36" s="5">
        <f>IFERROR(__xludf.DUMMYFUNCTION("""COMPUTED_VALUE"""),0.0)</f>
        <v>0</v>
      </c>
      <c r="F36" s="5">
        <f>IFERROR(__xludf.DUMMYFUNCTION("""COMPUTED_VALUE"""),0.0)</f>
        <v>0</v>
      </c>
    </row>
    <row r="37">
      <c r="A37" s="5" t="str">
        <f>IFERROR(__xludf.DUMMYFUNCTION("""COMPUTED_VALUE"""),"RSA07")</f>
        <v>RSA07</v>
      </c>
      <c r="B37" s="5" t="str">
        <f>IFERROR(__xludf.DUMMYFUNCTION("""COMPUTED_VALUE"""),"SOUTHAFRICA")</f>
        <v>SOUTHAFRICA</v>
      </c>
      <c r="C37" s="5" t="str">
        <f>IFERROR(__xludf.DUMMYFUNCTION("""COMPUTED_VALUE"""),"NORMAL")</f>
        <v>NORMAL</v>
      </c>
      <c r="D37" s="5" t="str">
        <f>IFERROR(__xludf.DUMMYFUNCTION("""COMPUTED_VALUE"""),"KHULUMANI NDAMANE")</f>
        <v>KHULUMANI NDAMANE</v>
      </c>
      <c r="E37" s="5">
        <f>IFERROR(__xludf.DUMMYFUNCTION("""COMPUTED_VALUE"""),0.0)</f>
        <v>0</v>
      </c>
      <c r="F37" s="5">
        <f>IFERROR(__xludf.DUMMYFUNCTION("""COMPUTED_VALUE"""),0.0)</f>
        <v>0</v>
      </c>
    </row>
    <row r="38">
      <c r="A38" s="5" t="str">
        <f>IFERROR(__xludf.DUMMYFUNCTION("""COMPUTED_VALUE"""),"RSA08")</f>
        <v>RSA08</v>
      </c>
      <c r="B38" s="5" t="str">
        <f>IFERROR(__xludf.DUMMYFUNCTION("""COMPUTED_VALUE"""),"SOUTHAFRICA")</f>
        <v>SOUTHAFRICA</v>
      </c>
      <c r="C38" s="5" t="str">
        <f>IFERROR(__xludf.DUMMYFUNCTION("""COMPUTED_VALUE"""),"NORMAL")</f>
        <v>NORMAL</v>
      </c>
      <c r="D38" s="5" t="str">
        <f>IFERROR(__xludf.DUMMYFUNCTION("""COMPUTED_VALUE"""),"SIVABONGA NGEZANA")</f>
        <v>SIVABONGA NGEZANA</v>
      </c>
      <c r="E38" s="5">
        <f>IFERROR(__xludf.DUMMYFUNCTION("""COMPUTED_VALUE"""),0.0)</f>
        <v>0</v>
      </c>
      <c r="F38" s="5">
        <f>IFERROR(__xludf.DUMMYFUNCTION("""COMPUTED_VALUE"""),0.0)</f>
        <v>0</v>
      </c>
    </row>
    <row r="39">
      <c r="A39" s="5" t="str">
        <f>IFERROR(__xludf.DUMMYFUNCTION("""COMPUTED_VALUE"""),"RSA09")</f>
        <v>RSA09</v>
      </c>
      <c r="B39" s="5" t="str">
        <f>IFERROR(__xludf.DUMMYFUNCTION("""COMPUTED_VALUE"""),"SOUTHAFRICA")</f>
        <v>SOUTHAFRICA</v>
      </c>
      <c r="C39" s="5" t="str">
        <f>IFERROR(__xludf.DUMMYFUNCTION("""COMPUTED_VALUE"""),"NORMAL")</f>
        <v>NORMAL</v>
      </c>
      <c r="D39" s="5" t="str">
        <f>IFERROR(__xludf.DUMMYFUNCTION("""COMPUTED_VALUE"""),"KHULISO MUDAU")</f>
        <v>KHULISO MUDAU</v>
      </c>
      <c r="E39" s="5">
        <f>IFERROR(__xludf.DUMMYFUNCTION("""COMPUTED_VALUE"""),0.0)</f>
        <v>0</v>
      </c>
      <c r="F39" s="5">
        <f>IFERROR(__xludf.DUMMYFUNCTION("""COMPUTED_VALUE"""),0.0)</f>
        <v>0</v>
      </c>
    </row>
    <row r="40">
      <c r="A40" s="5" t="str">
        <f>IFERROR(__xludf.DUMMYFUNCTION("""COMPUTED_VALUE"""),"RSA10")</f>
        <v>RSA10</v>
      </c>
      <c r="B40" s="5" t="str">
        <f>IFERROR(__xludf.DUMMYFUNCTION("""COMPUTED_VALUE"""),"SOUTHAFRICA")</f>
        <v>SOUTHAFRICA</v>
      </c>
      <c r="C40" s="5" t="str">
        <f>IFERROR(__xludf.DUMMYFUNCTION("""COMPUTED_VALUE"""),"NORMAL")</f>
        <v>NORMAL</v>
      </c>
      <c r="D40" s="5" t="str">
        <f>IFERROR(__xludf.DUMMYFUNCTION("""COMPUTED_VALUE"""),"NKOSINATHI SIBISI")</f>
        <v>NKOSINATHI SIBISI</v>
      </c>
      <c r="E40" s="5">
        <f>IFERROR(__xludf.DUMMYFUNCTION("""COMPUTED_VALUE"""),0.0)</f>
        <v>0</v>
      </c>
      <c r="F40" s="5">
        <f>IFERROR(__xludf.DUMMYFUNCTION("""COMPUTED_VALUE"""),0.0)</f>
        <v>0</v>
      </c>
    </row>
    <row r="41">
      <c r="A41" s="5" t="str">
        <f>IFERROR(__xludf.DUMMYFUNCTION("""COMPUTED_VALUE"""),"RSA11")</f>
        <v>RSA11</v>
      </c>
      <c r="B41" s="5" t="str">
        <f>IFERROR(__xludf.DUMMYFUNCTION("""COMPUTED_VALUE"""),"SOUTHAFRICA")</f>
        <v>SOUTHAFRICA</v>
      </c>
      <c r="C41" s="5" t="str">
        <f>IFERROR(__xludf.DUMMYFUNCTION("""COMPUTED_VALUE"""),"NORMAL")</f>
        <v>NORMAL</v>
      </c>
      <c r="D41" s="5" t="str">
        <f>IFERROR(__xludf.DUMMYFUNCTION("""COMPUTED_VALUE"""),"TEBOHO MOKOENA")</f>
        <v>TEBOHO MOKOENA</v>
      </c>
      <c r="E41" s="5">
        <f>IFERROR(__xludf.DUMMYFUNCTION("""COMPUTED_VALUE"""),0.0)</f>
        <v>0</v>
      </c>
      <c r="F41" s="5">
        <f>IFERROR(__xludf.DUMMYFUNCTION("""COMPUTED_VALUE"""),0.0)</f>
        <v>0</v>
      </c>
    </row>
    <row r="42">
      <c r="A42" s="5" t="str">
        <f>IFERROR(__xludf.DUMMYFUNCTION("""COMPUTED_VALUE"""),"RSA12")</f>
        <v>RSA12</v>
      </c>
      <c r="B42" s="5" t="str">
        <f>IFERROR(__xludf.DUMMYFUNCTION("""COMPUTED_VALUE"""),"SOUTHAFRICA")</f>
        <v>SOUTHAFRICA</v>
      </c>
      <c r="C42" s="5" t="str">
        <f>IFERROR(__xludf.DUMMYFUNCTION("""COMPUTED_VALUE"""),"NORMAL")</f>
        <v>NORMAL</v>
      </c>
      <c r="D42" s="5" t="str">
        <f>IFERROR(__xludf.DUMMYFUNCTION("""COMPUTED_VALUE"""),"THALENTE MBATHA")</f>
        <v>THALENTE MBATHA</v>
      </c>
      <c r="E42" s="5">
        <f>IFERROR(__xludf.DUMMYFUNCTION("""COMPUTED_VALUE"""),0.0)</f>
        <v>0</v>
      </c>
      <c r="F42" s="5">
        <f>IFERROR(__xludf.DUMMYFUNCTION("""COMPUTED_VALUE"""),0.0)</f>
        <v>0</v>
      </c>
    </row>
    <row r="43">
      <c r="A43" s="5" t="str">
        <f>IFERROR(__xludf.DUMMYFUNCTION("""COMPUTED_VALUE"""),"RSA13")</f>
        <v>RSA13</v>
      </c>
      <c r="B43" s="5" t="str">
        <f>IFERROR(__xludf.DUMMYFUNCTION("""COMPUTED_VALUE"""),"SOUTHAFRICA")</f>
        <v>SOUTHAFRICA</v>
      </c>
      <c r="C43" s="5" t="str">
        <f>IFERROR(__xludf.DUMMYFUNCTION("""COMPUTED_VALUE"""),"TEAM")</f>
        <v>TEAM</v>
      </c>
      <c r="D43" s="5" t="str">
        <f>IFERROR(__xludf.DUMMYFUNCTION("""COMPUTED_VALUE"""),"SOUTHAFRICA NATIONAL TEAM")</f>
        <v>SOUTHAFRICA NATIONAL TEAM</v>
      </c>
      <c r="E43" s="5">
        <f>IFERROR(__xludf.DUMMYFUNCTION("""COMPUTED_VALUE"""),0.0)</f>
        <v>0</v>
      </c>
      <c r="F43" s="5">
        <f>IFERROR(__xludf.DUMMYFUNCTION("""COMPUTED_VALUE"""),0.0)</f>
        <v>0</v>
      </c>
    </row>
    <row r="44">
      <c r="A44" s="5" t="str">
        <f>IFERROR(__xludf.DUMMYFUNCTION("""COMPUTED_VALUE"""),"RSA14")</f>
        <v>RSA14</v>
      </c>
      <c r="B44" s="5" t="str">
        <f>IFERROR(__xludf.DUMMYFUNCTION("""COMPUTED_VALUE"""),"SOUTHAFRICA")</f>
        <v>SOUTHAFRICA</v>
      </c>
      <c r="C44" s="5" t="str">
        <f>IFERROR(__xludf.DUMMYFUNCTION("""COMPUTED_VALUE"""),"NORMAL")</f>
        <v>NORMAL</v>
      </c>
      <c r="D44" s="5" t="str">
        <f>IFERROR(__xludf.DUMMYFUNCTION("""COMPUTED_VALUE"""),"BATHUSI AUBAAS")</f>
        <v>BATHUSI AUBAAS</v>
      </c>
      <c r="E44" s="5">
        <f>IFERROR(__xludf.DUMMYFUNCTION("""COMPUTED_VALUE"""),0.0)</f>
        <v>0</v>
      </c>
      <c r="F44" s="5">
        <f>IFERROR(__xludf.DUMMYFUNCTION("""COMPUTED_VALUE"""),0.0)</f>
        <v>0</v>
      </c>
    </row>
    <row r="45">
      <c r="A45" s="5" t="str">
        <f>IFERROR(__xludf.DUMMYFUNCTION("""COMPUTED_VALUE"""),"RSA15")</f>
        <v>RSA15</v>
      </c>
      <c r="B45" s="5" t="str">
        <f>IFERROR(__xludf.DUMMYFUNCTION("""COMPUTED_VALUE"""),"SOUTHAFRICA")</f>
        <v>SOUTHAFRICA</v>
      </c>
      <c r="C45" s="5" t="str">
        <f>IFERROR(__xludf.DUMMYFUNCTION("""COMPUTED_VALUE"""),"NORMAL")</f>
        <v>NORMAL</v>
      </c>
      <c r="D45" s="5" t="str">
        <f>IFERROR(__xludf.DUMMYFUNCTION("""COMPUTED_VALUE"""),"VAYA SITHOLE")</f>
        <v>VAYA SITHOLE</v>
      </c>
      <c r="E45" s="5">
        <f>IFERROR(__xludf.DUMMYFUNCTION("""COMPUTED_VALUE"""),0.0)</f>
        <v>0</v>
      </c>
      <c r="F45" s="5">
        <f>IFERROR(__xludf.DUMMYFUNCTION("""COMPUTED_VALUE"""),0.0)</f>
        <v>0</v>
      </c>
    </row>
    <row r="46">
      <c r="A46" s="5" t="str">
        <f>IFERROR(__xludf.DUMMYFUNCTION("""COMPUTED_VALUE"""),"RSA16")</f>
        <v>RSA16</v>
      </c>
      <c r="B46" s="5" t="str">
        <f>IFERROR(__xludf.DUMMYFUNCTION("""COMPUTED_VALUE"""),"SOUTHAFRICA")</f>
        <v>SOUTHAFRICA</v>
      </c>
      <c r="C46" s="5" t="str">
        <f>IFERROR(__xludf.DUMMYFUNCTION("""COMPUTED_VALUE"""),"NORMAL")</f>
        <v>NORMAL</v>
      </c>
      <c r="D46" s="5" t="str">
        <f>IFERROR(__xludf.DUMMYFUNCTION("""COMPUTED_VALUE"""),"SIPHO MBULE")</f>
        <v>SIPHO MBULE</v>
      </c>
      <c r="E46" s="5">
        <f>IFERROR(__xludf.DUMMYFUNCTION("""COMPUTED_VALUE"""),0.0)</f>
        <v>0</v>
      </c>
      <c r="F46" s="5">
        <f>IFERROR(__xludf.DUMMYFUNCTION("""COMPUTED_VALUE"""),0.0)</f>
        <v>0</v>
      </c>
    </row>
    <row r="47">
      <c r="A47" s="5" t="str">
        <f>IFERROR(__xludf.DUMMYFUNCTION("""COMPUTED_VALUE"""),"RSA17")</f>
        <v>RSA17</v>
      </c>
      <c r="B47" s="5" t="str">
        <f>IFERROR(__xludf.DUMMYFUNCTION("""COMPUTED_VALUE"""),"SOUTHAFRICA")</f>
        <v>SOUTHAFRICA</v>
      </c>
      <c r="C47" s="5" t="str">
        <f>IFERROR(__xludf.DUMMYFUNCTION("""COMPUTED_VALUE"""),"NORMAL")</f>
        <v>NORMAL</v>
      </c>
      <c r="D47" s="5" t="str">
        <f>IFERROR(__xludf.DUMMYFUNCTION("""COMPUTED_VALUE"""),"LYLE FOSTER")</f>
        <v>LYLE FOSTER</v>
      </c>
      <c r="E47" s="5">
        <f>IFERROR(__xludf.DUMMYFUNCTION("""COMPUTED_VALUE"""),0.0)</f>
        <v>0</v>
      </c>
      <c r="F47" s="5">
        <f>IFERROR(__xludf.DUMMYFUNCTION("""COMPUTED_VALUE"""),0.0)</f>
        <v>0</v>
      </c>
    </row>
    <row r="48">
      <c r="A48" s="5" t="str">
        <f>IFERROR(__xludf.DUMMYFUNCTION("""COMPUTED_VALUE"""),"RSA18")</f>
        <v>RSA18</v>
      </c>
      <c r="B48" s="5" t="str">
        <f>IFERROR(__xludf.DUMMYFUNCTION("""COMPUTED_VALUE"""),"SOUTHAFRICA")</f>
        <v>SOUTHAFRICA</v>
      </c>
      <c r="C48" s="5" t="str">
        <f>IFERROR(__xludf.DUMMYFUNCTION("""COMPUTED_VALUE"""),"NORMAL")</f>
        <v>NORMAL</v>
      </c>
      <c r="D48" s="5" t="str">
        <f>IFERROR(__xludf.DUMMYFUNCTION("""COMPUTED_VALUE"""),"IORAAM RAVNERS")</f>
        <v>IORAAM RAVNERS</v>
      </c>
      <c r="E48" s="5">
        <f>IFERROR(__xludf.DUMMYFUNCTION("""COMPUTED_VALUE"""),0.0)</f>
        <v>0</v>
      </c>
      <c r="F48" s="5">
        <f>IFERROR(__xludf.DUMMYFUNCTION("""COMPUTED_VALUE"""),0.0)</f>
        <v>0</v>
      </c>
    </row>
    <row r="49">
      <c r="A49" s="5" t="str">
        <f>IFERROR(__xludf.DUMMYFUNCTION("""COMPUTED_VALUE"""),"RSA19")</f>
        <v>RSA19</v>
      </c>
      <c r="B49" s="5" t="str">
        <f>IFERROR(__xludf.DUMMYFUNCTION("""COMPUTED_VALUE"""),"SOUTHAFRICA")</f>
        <v>SOUTHAFRICA</v>
      </c>
      <c r="C49" s="5" t="str">
        <f>IFERROR(__xludf.DUMMYFUNCTION("""COMPUTED_VALUE"""),"NORMAL")</f>
        <v>NORMAL</v>
      </c>
      <c r="D49" s="5" t="str">
        <f>IFERROR(__xludf.DUMMYFUNCTION("""COMPUTED_VALUE"""),"MOHAU NKOTA")</f>
        <v>MOHAU NKOTA</v>
      </c>
      <c r="E49" s="5">
        <f>IFERROR(__xludf.DUMMYFUNCTION("""COMPUTED_VALUE"""),0.0)</f>
        <v>0</v>
      </c>
      <c r="F49" s="5">
        <f>IFERROR(__xludf.DUMMYFUNCTION("""COMPUTED_VALUE"""),0.0)</f>
        <v>0</v>
      </c>
    </row>
    <row r="50">
      <c r="A50" s="5" t="str">
        <f>IFERROR(__xludf.DUMMYFUNCTION("""COMPUTED_VALUE"""),"RSA20")</f>
        <v>RSA20</v>
      </c>
      <c r="B50" s="5" t="str">
        <f>IFERROR(__xludf.DUMMYFUNCTION("""COMPUTED_VALUE"""),"SOUTHAFRICA")</f>
        <v>SOUTHAFRICA</v>
      </c>
      <c r="C50" s="5" t="str">
        <f>IFERROR(__xludf.DUMMYFUNCTION("""COMPUTED_VALUE"""),"NORMAL")</f>
        <v>NORMAL</v>
      </c>
      <c r="D50" s="5" t="str">
        <f>IFERROR(__xludf.DUMMYFUNCTION("""COMPUTED_VALUE"""),"OSWIN APOLLIS")</f>
        <v>OSWIN APOLLIS</v>
      </c>
      <c r="E50" s="5">
        <f>IFERROR(__xludf.DUMMYFUNCTION("""COMPUTED_VALUE"""),0.0)</f>
        <v>0</v>
      </c>
      <c r="F50" s="5">
        <f>IFERROR(__xludf.DUMMYFUNCTION("""COMPUTED_VALUE"""),0.0)</f>
        <v>0</v>
      </c>
    </row>
    <row r="51">
      <c r="A51" s="5" t="str">
        <f>IFERROR(__xludf.DUMMYFUNCTION("""COMPUTED_VALUE"""),"KOR01")</f>
        <v>KOR01</v>
      </c>
      <c r="B51" s="5" t="str">
        <f>IFERROR(__xludf.DUMMYFUNCTION("""COMPUTED_VALUE"""),"SOUTH KOREA")</f>
        <v>SOUTH KOREA</v>
      </c>
      <c r="C51" s="5" t="str">
        <f>IFERROR(__xludf.DUMMYFUNCTION("""COMPUTED_VALUE"""),"BADGE")</f>
        <v>BADGE</v>
      </c>
      <c r="D51" s="5" t="str">
        <f>IFERROR(__xludf.DUMMYFUNCTION("""COMPUTED_VALUE"""),"SOUTH KOREA NATIONAL TEAM")</f>
        <v>SOUTH KOREA NATIONAL TEAM</v>
      </c>
      <c r="E51" s="5">
        <f>IFERROR(__xludf.DUMMYFUNCTION("""COMPUTED_VALUE"""),0.0)</f>
        <v>0</v>
      </c>
      <c r="F51" s="5">
        <f>IFERROR(__xludf.DUMMYFUNCTION("""COMPUTED_VALUE"""),0.0)</f>
        <v>0</v>
      </c>
    </row>
    <row r="52">
      <c r="A52" s="5" t="str">
        <f>IFERROR(__xludf.DUMMYFUNCTION("""COMPUTED_VALUE"""),"KOR02")</f>
        <v>KOR02</v>
      </c>
      <c r="B52" s="5" t="str">
        <f>IFERROR(__xludf.DUMMYFUNCTION("""COMPUTED_VALUE"""),"SOUTH KOREA")</f>
        <v>SOUTH KOREA</v>
      </c>
      <c r="C52" s="5" t="str">
        <f>IFERROR(__xludf.DUMMYFUNCTION("""COMPUTED_VALUE"""),"NORMAL")</f>
        <v>NORMAL</v>
      </c>
      <c r="D52" s="5" t="str">
        <f>IFERROR(__xludf.DUMMYFUNCTION("""COMPUTED_VALUE"""),"HYEONWOO JO")</f>
        <v>HYEONWOO JO</v>
      </c>
      <c r="E52" s="5">
        <f>IFERROR(__xludf.DUMMYFUNCTION("""COMPUTED_VALUE"""),0.0)</f>
        <v>0</v>
      </c>
      <c r="F52" s="5">
        <f>IFERROR(__xludf.DUMMYFUNCTION("""COMPUTED_VALUE"""),0.0)</f>
        <v>0</v>
      </c>
    </row>
    <row r="53">
      <c r="A53" s="5" t="str">
        <f>IFERROR(__xludf.DUMMYFUNCTION("""COMPUTED_VALUE"""),"KOR03")</f>
        <v>KOR03</v>
      </c>
      <c r="B53" s="5" t="str">
        <f>IFERROR(__xludf.DUMMYFUNCTION("""COMPUTED_VALUE"""),"SOUTH KOREA")</f>
        <v>SOUTH KOREA</v>
      </c>
      <c r="C53" s="5" t="str">
        <f>IFERROR(__xludf.DUMMYFUNCTION("""COMPUTED_VALUE"""),"NORMAL")</f>
        <v>NORMAL</v>
      </c>
      <c r="D53" s="5" t="str">
        <f>IFERROR(__xludf.DUMMYFUNCTION("""COMPUTED_VALUE"""),"SEUNGGYU KIM")</f>
        <v>SEUNGGYU KIM</v>
      </c>
      <c r="E53" s="5">
        <f>IFERROR(__xludf.DUMMYFUNCTION("""COMPUTED_VALUE"""),0.0)</f>
        <v>0</v>
      </c>
      <c r="F53" s="5">
        <f>IFERROR(__xludf.DUMMYFUNCTION("""COMPUTED_VALUE"""),0.0)</f>
        <v>0</v>
      </c>
    </row>
    <row r="54">
      <c r="A54" s="5" t="str">
        <f>IFERROR(__xludf.DUMMYFUNCTION("""COMPUTED_VALUE"""),"KOR04")</f>
        <v>KOR04</v>
      </c>
      <c r="B54" s="5" t="str">
        <f>IFERROR(__xludf.DUMMYFUNCTION("""COMPUTED_VALUE"""),"SOUTH KOREA")</f>
        <v>SOUTH KOREA</v>
      </c>
      <c r="C54" s="5" t="str">
        <f>IFERROR(__xludf.DUMMYFUNCTION("""COMPUTED_VALUE"""),"NORMAL")</f>
        <v>NORMAL</v>
      </c>
      <c r="D54" s="5" t="str">
        <f>IFERROR(__xludf.DUMMYFUNCTION("""COMPUTED_VALUE"""),"MIJNAE KIM")</f>
        <v>MIJNAE KIM</v>
      </c>
      <c r="E54" s="5">
        <f>IFERROR(__xludf.DUMMYFUNCTION("""COMPUTED_VALUE"""),0.0)</f>
        <v>0</v>
      </c>
      <c r="F54" s="5">
        <f>IFERROR(__xludf.DUMMYFUNCTION("""COMPUTED_VALUE"""),0.0)</f>
        <v>0</v>
      </c>
    </row>
    <row r="55">
      <c r="A55" s="5" t="str">
        <f>IFERROR(__xludf.DUMMYFUNCTION("""COMPUTED_VALUE"""),"KOR05")</f>
        <v>KOR05</v>
      </c>
      <c r="B55" s="5" t="str">
        <f>IFERROR(__xludf.DUMMYFUNCTION("""COMPUTED_VALUE"""),"SOUTH KOREA")</f>
        <v>SOUTH KOREA</v>
      </c>
      <c r="C55" s="5" t="str">
        <f>IFERROR(__xludf.DUMMYFUNCTION("""COMPUTED_VALUE"""),"NORMAL")</f>
        <v>NORMAL</v>
      </c>
      <c r="D55" s="5" t="str">
        <f>IFERROR(__xludf.DUMMYFUNCTION("""COMPUTED_VALUE"""),"YUMIN CHO")</f>
        <v>YUMIN CHO</v>
      </c>
      <c r="E55" s="5">
        <f>IFERROR(__xludf.DUMMYFUNCTION("""COMPUTED_VALUE"""),0.0)</f>
        <v>0</v>
      </c>
      <c r="F55" s="5">
        <f>IFERROR(__xludf.DUMMYFUNCTION("""COMPUTED_VALUE"""),0.0)</f>
        <v>0</v>
      </c>
    </row>
    <row r="56">
      <c r="A56" s="5" t="str">
        <f>IFERROR(__xludf.DUMMYFUNCTION("""COMPUTED_VALUE"""),"KOR06")</f>
        <v>KOR06</v>
      </c>
      <c r="B56" s="5" t="str">
        <f>IFERROR(__xludf.DUMMYFUNCTION("""COMPUTED_VALUE"""),"SOUTH KOREA")</f>
        <v>SOUTH KOREA</v>
      </c>
      <c r="C56" s="5" t="str">
        <f>IFERROR(__xludf.DUMMYFUNCTION("""COMPUTED_VALUE"""),"NORMAL")</f>
        <v>NORMAL</v>
      </c>
      <c r="D56" s="5" t="str">
        <f>IFERROR(__xludf.DUMMYFUNCTION("""COMPUTED_VALUE"""),"YOUNGWOO SEOL")</f>
        <v>YOUNGWOO SEOL</v>
      </c>
      <c r="E56" s="5">
        <f>IFERROR(__xludf.DUMMYFUNCTION("""COMPUTED_VALUE"""),0.0)</f>
        <v>0</v>
      </c>
      <c r="F56" s="5">
        <f>IFERROR(__xludf.DUMMYFUNCTION("""COMPUTED_VALUE"""),0.0)</f>
        <v>0</v>
      </c>
    </row>
    <row r="57">
      <c r="A57" s="5" t="str">
        <f>IFERROR(__xludf.DUMMYFUNCTION("""COMPUTED_VALUE"""),"KOR07")</f>
        <v>KOR07</v>
      </c>
      <c r="B57" s="5" t="str">
        <f>IFERROR(__xludf.DUMMYFUNCTION("""COMPUTED_VALUE"""),"SOUTH KOREA")</f>
        <v>SOUTH KOREA</v>
      </c>
      <c r="C57" s="5" t="str">
        <f>IFERROR(__xludf.DUMMYFUNCTION("""COMPUTED_VALUE"""),"NORMAL")</f>
        <v>NORMAL</v>
      </c>
      <c r="D57" s="5" t="str">
        <f>IFERROR(__xludf.DUMMYFUNCTION("""COMPUTED_VALUE"""),"HANBEOM LEE")</f>
        <v>HANBEOM LEE</v>
      </c>
      <c r="E57" s="5">
        <f>IFERROR(__xludf.DUMMYFUNCTION("""COMPUTED_VALUE"""),0.0)</f>
        <v>0</v>
      </c>
      <c r="F57" s="5">
        <f>IFERROR(__xludf.DUMMYFUNCTION("""COMPUTED_VALUE"""),0.0)</f>
        <v>0</v>
      </c>
    </row>
    <row r="58">
      <c r="A58" s="5" t="str">
        <f>IFERROR(__xludf.DUMMYFUNCTION("""COMPUTED_VALUE"""),"KOR08")</f>
        <v>KOR08</v>
      </c>
      <c r="B58" s="5" t="str">
        <f>IFERROR(__xludf.DUMMYFUNCTION("""COMPUTED_VALUE"""),"SOUTH KOREA")</f>
        <v>SOUTH KOREA</v>
      </c>
      <c r="C58" s="5" t="str">
        <f>IFERROR(__xludf.DUMMYFUNCTION("""COMPUTED_VALUE"""),"NORMAL")</f>
        <v>NORMAL</v>
      </c>
      <c r="D58" s="5" t="str">
        <f>IFERROR(__xludf.DUMMYFUNCTION("""COMPUTED_VALUE"""),"TAESEOK LEE")</f>
        <v>TAESEOK LEE</v>
      </c>
      <c r="E58" s="5">
        <f>IFERROR(__xludf.DUMMYFUNCTION("""COMPUTED_VALUE"""),0.0)</f>
        <v>0</v>
      </c>
      <c r="F58" s="5">
        <f>IFERROR(__xludf.DUMMYFUNCTION("""COMPUTED_VALUE"""),0.0)</f>
        <v>0</v>
      </c>
    </row>
    <row r="59">
      <c r="A59" s="5" t="str">
        <f>IFERROR(__xludf.DUMMYFUNCTION("""COMPUTED_VALUE"""),"KOR09")</f>
        <v>KOR09</v>
      </c>
      <c r="B59" s="5" t="str">
        <f>IFERROR(__xludf.DUMMYFUNCTION("""COMPUTED_VALUE"""),"SOUTH KOREA")</f>
        <v>SOUTH KOREA</v>
      </c>
      <c r="C59" s="5" t="str">
        <f>IFERROR(__xludf.DUMMYFUNCTION("""COMPUTED_VALUE"""),"NORMAL")</f>
        <v>NORMAL</v>
      </c>
      <c r="D59" s="5" t="str">
        <f>IFERROR(__xludf.DUMMYFUNCTION("""COMPUTED_VALUE"""),"MUYNGJAE LEE")</f>
        <v>MUYNGJAE LEE</v>
      </c>
      <c r="E59" s="5">
        <f>IFERROR(__xludf.DUMMYFUNCTION("""COMPUTED_VALUE"""),0.0)</f>
        <v>0</v>
      </c>
      <c r="F59" s="5">
        <f>IFERROR(__xludf.DUMMYFUNCTION("""COMPUTED_VALUE"""),0.0)</f>
        <v>0</v>
      </c>
    </row>
    <row r="60">
      <c r="A60" s="5" t="str">
        <f>IFERROR(__xludf.DUMMYFUNCTION("""COMPUTED_VALUE"""),"KOR10")</f>
        <v>KOR10</v>
      </c>
      <c r="B60" s="5" t="str">
        <f>IFERROR(__xludf.DUMMYFUNCTION("""COMPUTED_VALUE"""),"SOUTH KOREA")</f>
        <v>SOUTH KOREA</v>
      </c>
      <c r="C60" s="5" t="str">
        <f>IFERROR(__xludf.DUMMYFUNCTION("""COMPUTED_VALUE"""),"NORMAL")</f>
        <v>NORMAL</v>
      </c>
      <c r="D60" s="5" t="str">
        <f>IFERROR(__xludf.DUMMYFUNCTION("""COMPUTED_VALUE"""),"JAESUNG LEE")</f>
        <v>JAESUNG LEE</v>
      </c>
      <c r="E60" s="5">
        <f>IFERROR(__xludf.DUMMYFUNCTION("""COMPUTED_VALUE"""),0.0)</f>
        <v>0</v>
      </c>
      <c r="F60" s="5">
        <f>IFERROR(__xludf.DUMMYFUNCTION("""COMPUTED_VALUE"""),0.0)</f>
        <v>0</v>
      </c>
    </row>
    <row r="61">
      <c r="A61" s="5" t="str">
        <f>IFERROR(__xludf.DUMMYFUNCTION("""COMPUTED_VALUE"""),"KOR11")</f>
        <v>KOR11</v>
      </c>
      <c r="B61" s="5" t="str">
        <f>IFERROR(__xludf.DUMMYFUNCTION("""COMPUTED_VALUE"""),"SOUTH KOREA")</f>
        <v>SOUTH KOREA</v>
      </c>
      <c r="C61" s="5" t="str">
        <f>IFERROR(__xludf.DUMMYFUNCTION("""COMPUTED_VALUE"""),"NORMAL")</f>
        <v>NORMAL</v>
      </c>
      <c r="D61" s="5" t="str">
        <f>IFERROR(__xludf.DUMMYFUNCTION("""COMPUTED_VALUE"""),"INBEOM HWANG")</f>
        <v>INBEOM HWANG</v>
      </c>
      <c r="E61" s="5">
        <f>IFERROR(__xludf.DUMMYFUNCTION("""COMPUTED_VALUE"""),0.0)</f>
        <v>0</v>
      </c>
      <c r="F61" s="5">
        <f>IFERROR(__xludf.DUMMYFUNCTION("""COMPUTED_VALUE"""),0.0)</f>
        <v>0</v>
      </c>
    </row>
    <row r="62">
      <c r="A62" s="5" t="str">
        <f>IFERROR(__xludf.DUMMYFUNCTION("""COMPUTED_VALUE"""),"KOR12")</f>
        <v>KOR12</v>
      </c>
      <c r="B62" s="5" t="str">
        <f>IFERROR(__xludf.DUMMYFUNCTION("""COMPUTED_VALUE"""),"SOUTH KOREA")</f>
        <v>SOUTH KOREA</v>
      </c>
      <c r="C62" s="5" t="str">
        <f>IFERROR(__xludf.DUMMYFUNCTION("""COMPUTED_VALUE"""),"NORMAL")</f>
        <v>NORMAL</v>
      </c>
      <c r="D62" s="5" t="str">
        <f>IFERROR(__xludf.DUMMYFUNCTION("""COMPUTED_VALUE"""),"KANGIN LEE")</f>
        <v>KANGIN LEE</v>
      </c>
      <c r="E62" s="5">
        <f>IFERROR(__xludf.DUMMYFUNCTION("""COMPUTED_VALUE"""),0.0)</f>
        <v>0</v>
      </c>
      <c r="F62" s="5">
        <f>IFERROR(__xludf.DUMMYFUNCTION("""COMPUTED_VALUE"""),0.0)</f>
        <v>0</v>
      </c>
    </row>
    <row r="63">
      <c r="A63" s="5" t="str">
        <f>IFERROR(__xludf.DUMMYFUNCTION("""COMPUTED_VALUE"""),"KOR13")</f>
        <v>KOR13</v>
      </c>
      <c r="B63" s="5" t="str">
        <f>IFERROR(__xludf.DUMMYFUNCTION("""COMPUTED_VALUE"""),"SOUTH KOREA")</f>
        <v>SOUTH KOREA</v>
      </c>
      <c r="C63" s="5" t="str">
        <f>IFERROR(__xludf.DUMMYFUNCTION("""COMPUTED_VALUE"""),"TEAM")</f>
        <v>TEAM</v>
      </c>
      <c r="D63" s="5" t="str">
        <f>IFERROR(__xludf.DUMMYFUNCTION("""COMPUTED_VALUE"""),"SOUTH KOREA NATIONAL TEAM")</f>
        <v>SOUTH KOREA NATIONAL TEAM</v>
      </c>
      <c r="E63" s="5">
        <f>IFERROR(__xludf.DUMMYFUNCTION("""COMPUTED_VALUE"""),0.0)</f>
        <v>0</v>
      </c>
      <c r="F63" s="5">
        <f>IFERROR(__xludf.DUMMYFUNCTION("""COMPUTED_VALUE"""),0.0)</f>
        <v>0</v>
      </c>
    </row>
    <row r="64">
      <c r="A64" s="5" t="str">
        <f>IFERROR(__xludf.DUMMYFUNCTION("""COMPUTED_VALUE"""),"KOR14")</f>
        <v>KOR14</v>
      </c>
      <c r="B64" s="5" t="str">
        <f>IFERROR(__xludf.DUMMYFUNCTION("""COMPUTED_VALUE"""),"SOUTH KOREA")</f>
        <v>SOUTH KOREA</v>
      </c>
      <c r="C64" s="5" t="str">
        <f>IFERROR(__xludf.DUMMYFUNCTION("""COMPUTED_VALUE"""),"NORMAL")</f>
        <v>NORMAL</v>
      </c>
      <c r="D64" s="5" t="str">
        <f>IFERROR(__xludf.DUMMYFUNCTION("""COMPUTED_VALUE"""),"SEUNGHO PAIK")</f>
        <v>SEUNGHO PAIK</v>
      </c>
      <c r="E64" s="5">
        <f>IFERROR(__xludf.DUMMYFUNCTION("""COMPUTED_VALUE"""),0.0)</f>
        <v>0</v>
      </c>
      <c r="F64" s="5">
        <f>IFERROR(__xludf.DUMMYFUNCTION("""COMPUTED_VALUE"""),0.0)</f>
        <v>0</v>
      </c>
    </row>
    <row r="65">
      <c r="A65" s="5" t="str">
        <f>IFERROR(__xludf.DUMMYFUNCTION("""COMPUTED_VALUE"""),"KOR15")</f>
        <v>KOR15</v>
      </c>
      <c r="B65" s="5" t="str">
        <f>IFERROR(__xludf.DUMMYFUNCTION("""COMPUTED_VALUE"""),"SOUTH KOREA")</f>
        <v>SOUTH KOREA</v>
      </c>
      <c r="C65" s="5" t="str">
        <f>IFERROR(__xludf.DUMMYFUNCTION("""COMPUTED_VALUE"""),"NORMAL")</f>
        <v>NORMAL</v>
      </c>
      <c r="D65" s="5" t="str">
        <f>IFERROR(__xludf.DUMMYFUNCTION("""COMPUTED_VALUE"""),"JENS CASTROP")</f>
        <v>JENS CASTROP</v>
      </c>
      <c r="E65" s="5">
        <f>IFERROR(__xludf.DUMMYFUNCTION("""COMPUTED_VALUE"""),0.0)</f>
        <v>0</v>
      </c>
      <c r="F65" s="5">
        <f>IFERROR(__xludf.DUMMYFUNCTION("""COMPUTED_VALUE"""),0.0)</f>
        <v>0</v>
      </c>
    </row>
    <row r="66">
      <c r="A66" s="5" t="str">
        <f>IFERROR(__xludf.DUMMYFUNCTION("""COMPUTED_VALUE"""),"KOR16")</f>
        <v>KOR16</v>
      </c>
      <c r="B66" s="5" t="str">
        <f>IFERROR(__xludf.DUMMYFUNCTION("""COMPUTED_VALUE"""),"SOUTH KOREA")</f>
        <v>SOUTH KOREA</v>
      </c>
      <c r="C66" s="5" t="str">
        <f>IFERROR(__xludf.DUMMYFUNCTION("""COMPUTED_VALUE"""),"NORMAL")</f>
        <v>NORMAL</v>
      </c>
      <c r="D66" s="5" t="str">
        <f>IFERROR(__xludf.DUMMYFUNCTION("""COMPUTED_VALUE"""),"DONGGYEONG LEE")</f>
        <v>DONGGYEONG LEE</v>
      </c>
      <c r="E66" s="5">
        <f>IFERROR(__xludf.DUMMYFUNCTION("""COMPUTED_VALUE"""),0.0)</f>
        <v>0</v>
      </c>
      <c r="F66" s="5">
        <f>IFERROR(__xludf.DUMMYFUNCTION("""COMPUTED_VALUE"""),0.0)</f>
        <v>0</v>
      </c>
    </row>
    <row r="67">
      <c r="A67" s="5" t="str">
        <f>IFERROR(__xludf.DUMMYFUNCTION("""COMPUTED_VALUE"""),"KOR17")</f>
        <v>KOR17</v>
      </c>
      <c r="B67" s="5" t="str">
        <f>IFERROR(__xludf.DUMMYFUNCTION("""COMPUTED_VALUE"""),"SOUTH KOREA")</f>
        <v>SOUTH KOREA</v>
      </c>
      <c r="C67" s="5" t="str">
        <f>IFERROR(__xludf.DUMMYFUNCTION("""COMPUTED_VALUE"""),"NORMAL")</f>
        <v>NORMAL</v>
      </c>
      <c r="D67" s="5" t="str">
        <f>IFERROR(__xludf.DUMMYFUNCTION("""COMPUTED_VALUE"""),"GUESUNG CHO")</f>
        <v>GUESUNG CHO</v>
      </c>
      <c r="E67" s="5">
        <f>IFERROR(__xludf.DUMMYFUNCTION("""COMPUTED_VALUE"""),0.0)</f>
        <v>0</v>
      </c>
      <c r="F67" s="5">
        <f>IFERROR(__xludf.DUMMYFUNCTION("""COMPUTED_VALUE"""),0.0)</f>
        <v>0</v>
      </c>
    </row>
    <row r="68">
      <c r="A68" s="5" t="str">
        <f>IFERROR(__xludf.DUMMYFUNCTION("""COMPUTED_VALUE"""),"KOR18")</f>
        <v>KOR18</v>
      </c>
      <c r="B68" s="5" t="str">
        <f>IFERROR(__xludf.DUMMYFUNCTION("""COMPUTED_VALUE"""),"SOUTH KOREA")</f>
        <v>SOUTH KOREA</v>
      </c>
      <c r="C68" s="5" t="str">
        <f>IFERROR(__xludf.DUMMYFUNCTION("""COMPUTED_VALUE"""),"NORMAL")</f>
        <v>NORMAL</v>
      </c>
      <c r="D68" s="5" t="str">
        <f>IFERROR(__xludf.DUMMYFUNCTION("""COMPUTED_VALUE"""),"HEUNGMIN SON")</f>
        <v>HEUNGMIN SON</v>
      </c>
      <c r="E68" s="5">
        <f>IFERROR(__xludf.DUMMYFUNCTION("""COMPUTED_VALUE"""),0.0)</f>
        <v>0</v>
      </c>
      <c r="F68" s="5">
        <f>IFERROR(__xludf.DUMMYFUNCTION("""COMPUTED_VALUE"""),0.0)</f>
        <v>0</v>
      </c>
    </row>
    <row r="69">
      <c r="A69" s="5" t="str">
        <f>IFERROR(__xludf.DUMMYFUNCTION("""COMPUTED_VALUE"""),"KOR19")</f>
        <v>KOR19</v>
      </c>
      <c r="B69" s="5" t="str">
        <f>IFERROR(__xludf.DUMMYFUNCTION("""COMPUTED_VALUE"""),"SOUTH KOREA")</f>
        <v>SOUTH KOREA</v>
      </c>
      <c r="C69" s="5" t="str">
        <f>IFERROR(__xludf.DUMMYFUNCTION("""COMPUTED_VALUE"""),"NORMAL")</f>
        <v>NORMAL</v>
      </c>
      <c r="D69" s="5" t="str">
        <f>IFERROR(__xludf.DUMMYFUNCTION("""COMPUTED_VALUE"""),"HEECHAN HWANG")</f>
        <v>HEECHAN HWANG</v>
      </c>
      <c r="E69" s="5">
        <f>IFERROR(__xludf.DUMMYFUNCTION("""COMPUTED_VALUE"""),0.0)</f>
        <v>0</v>
      </c>
      <c r="F69" s="5">
        <f>IFERROR(__xludf.DUMMYFUNCTION("""COMPUTED_VALUE"""),0.0)</f>
        <v>0</v>
      </c>
    </row>
    <row r="70">
      <c r="A70" s="5" t="str">
        <f>IFERROR(__xludf.DUMMYFUNCTION("""COMPUTED_VALUE"""),"KOR20")</f>
        <v>KOR20</v>
      </c>
      <c r="B70" s="5" t="str">
        <f>IFERROR(__xludf.DUMMYFUNCTION("""COMPUTED_VALUE"""),"SOUTH KOREA")</f>
        <v>SOUTH KOREA</v>
      </c>
      <c r="C70" s="5" t="str">
        <f>IFERROR(__xludf.DUMMYFUNCTION("""COMPUTED_VALUE"""),"NORMAL")</f>
        <v>NORMAL</v>
      </c>
      <c r="D70" s="5" t="str">
        <f>IFERROR(__xludf.DUMMYFUNCTION("""COMPUTED_VALUE"""),"HYEONGYU OH")</f>
        <v>HYEONGYU OH</v>
      </c>
      <c r="E70" s="5">
        <f>IFERROR(__xludf.DUMMYFUNCTION("""COMPUTED_VALUE"""),0.0)</f>
        <v>0</v>
      </c>
      <c r="F70" s="5">
        <f>IFERROR(__xludf.DUMMYFUNCTION("""COMPUTED_VALUE"""),0.0)</f>
        <v>0</v>
      </c>
    </row>
    <row r="71">
      <c r="A71" s="5" t="str">
        <f>IFERROR(__xludf.DUMMYFUNCTION("""COMPUTED_VALUE"""),"CZE01")</f>
        <v>CZE01</v>
      </c>
      <c r="B71" s="5" t="str">
        <f>IFERROR(__xludf.DUMMYFUNCTION("""COMPUTED_VALUE"""),"CZCECHIA")</f>
        <v>CZCECHIA</v>
      </c>
      <c r="C71" s="5" t="str">
        <f>IFERROR(__xludf.DUMMYFUNCTION("""COMPUTED_VALUE"""),"BADGE")</f>
        <v>BADGE</v>
      </c>
      <c r="D71" s="5" t="str">
        <f>IFERROR(__xludf.DUMMYFUNCTION("""COMPUTED_VALUE"""),"CZECHIA NATIONAL TEAM")</f>
        <v>CZECHIA NATIONAL TEAM</v>
      </c>
      <c r="E71" s="5">
        <f>IFERROR(__xludf.DUMMYFUNCTION("""COMPUTED_VALUE"""),0.0)</f>
        <v>0</v>
      </c>
      <c r="F71" s="5">
        <f>IFERROR(__xludf.DUMMYFUNCTION("""COMPUTED_VALUE"""),0.0)</f>
        <v>0</v>
      </c>
    </row>
    <row r="72">
      <c r="A72" s="5" t="str">
        <f>IFERROR(__xludf.DUMMYFUNCTION("""COMPUTED_VALUE"""),"CZE02")</f>
        <v>CZE02</v>
      </c>
      <c r="B72" s="5" t="str">
        <f>IFERROR(__xludf.DUMMYFUNCTION("""COMPUTED_VALUE"""),"CZCECHIA")</f>
        <v>CZCECHIA</v>
      </c>
      <c r="C72" s="5" t="str">
        <f>IFERROR(__xludf.DUMMYFUNCTION("""COMPUTED_VALUE"""),"NORMAL")</f>
        <v>NORMAL</v>
      </c>
      <c r="D72" s="5" t="str">
        <f>IFERROR(__xludf.DUMMYFUNCTION("""COMPUTED_VALUE"""),"MATEJ KOVAR")</f>
        <v>MATEJ KOVAR</v>
      </c>
      <c r="E72" s="5">
        <f>IFERROR(__xludf.DUMMYFUNCTION("""COMPUTED_VALUE"""),0.0)</f>
        <v>0</v>
      </c>
      <c r="F72" s="5">
        <f>IFERROR(__xludf.DUMMYFUNCTION("""COMPUTED_VALUE"""),0.0)</f>
        <v>0</v>
      </c>
    </row>
    <row r="73">
      <c r="A73" s="5" t="str">
        <f>IFERROR(__xludf.DUMMYFUNCTION("""COMPUTED_VALUE"""),"CZE03")</f>
        <v>CZE03</v>
      </c>
      <c r="B73" s="5" t="str">
        <f>IFERROR(__xludf.DUMMYFUNCTION("""COMPUTED_VALUE"""),"CZCECHIA")</f>
        <v>CZCECHIA</v>
      </c>
      <c r="C73" s="5" t="str">
        <f>IFERROR(__xludf.DUMMYFUNCTION("""COMPUTED_VALUE"""),"NORMAL")</f>
        <v>NORMAL</v>
      </c>
      <c r="D73" s="5" t="str">
        <f>IFERROR(__xludf.DUMMYFUNCTION("""COMPUTED_VALUE"""),"JINDRICH STANEK")</f>
        <v>JINDRICH STANEK</v>
      </c>
      <c r="E73" s="5">
        <f>IFERROR(__xludf.DUMMYFUNCTION("""COMPUTED_VALUE"""),0.0)</f>
        <v>0</v>
      </c>
      <c r="F73" s="5">
        <f>IFERROR(__xludf.DUMMYFUNCTION("""COMPUTED_VALUE"""),0.0)</f>
        <v>0</v>
      </c>
    </row>
    <row r="74">
      <c r="A74" s="5" t="str">
        <f>IFERROR(__xludf.DUMMYFUNCTION("""COMPUTED_VALUE"""),"CZE04")</f>
        <v>CZE04</v>
      </c>
      <c r="B74" s="5" t="str">
        <f>IFERROR(__xludf.DUMMYFUNCTION("""COMPUTED_VALUE"""),"CZCECHIA")</f>
        <v>CZCECHIA</v>
      </c>
      <c r="C74" s="5" t="str">
        <f>IFERROR(__xludf.DUMMYFUNCTION("""COMPUTED_VALUE"""),"NORMAL")</f>
        <v>NORMAL</v>
      </c>
      <c r="D74" s="5" t="str">
        <f>IFERROR(__xludf.DUMMYFUNCTION("""COMPUTED_VALUE"""),"LADISLAV KREJCI")</f>
        <v>LADISLAV KREJCI</v>
      </c>
      <c r="E74" s="5">
        <f>IFERROR(__xludf.DUMMYFUNCTION("""COMPUTED_VALUE"""),0.0)</f>
        <v>0</v>
      </c>
      <c r="F74" s="5">
        <f>IFERROR(__xludf.DUMMYFUNCTION("""COMPUTED_VALUE"""),0.0)</f>
        <v>0</v>
      </c>
    </row>
    <row r="75">
      <c r="A75" s="5" t="str">
        <f>IFERROR(__xludf.DUMMYFUNCTION("""COMPUTED_VALUE"""),"CZE05")</f>
        <v>CZE05</v>
      </c>
      <c r="B75" s="5" t="str">
        <f>IFERROR(__xludf.DUMMYFUNCTION("""COMPUTED_VALUE"""),"CZCECHIA")</f>
        <v>CZCECHIA</v>
      </c>
      <c r="C75" s="5" t="str">
        <f>IFERROR(__xludf.DUMMYFUNCTION("""COMPUTED_VALUE"""),"NORMAL")</f>
        <v>NORMAL</v>
      </c>
      <c r="D75" s="5" t="str">
        <f>IFERROR(__xludf.DUMMYFUNCTION("""COMPUTED_VALUE"""),"VLADIMIR COUFAL")</f>
        <v>VLADIMIR COUFAL</v>
      </c>
      <c r="E75" s="5">
        <f>IFERROR(__xludf.DUMMYFUNCTION("""COMPUTED_VALUE"""),0.0)</f>
        <v>0</v>
      </c>
      <c r="F75" s="5">
        <f>IFERROR(__xludf.DUMMYFUNCTION("""COMPUTED_VALUE"""),0.0)</f>
        <v>0</v>
      </c>
    </row>
    <row r="76">
      <c r="A76" s="5" t="str">
        <f>IFERROR(__xludf.DUMMYFUNCTION("""COMPUTED_VALUE"""),"CZE06")</f>
        <v>CZE06</v>
      </c>
      <c r="B76" s="5" t="str">
        <f>IFERROR(__xludf.DUMMYFUNCTION("""COMPUTED_VALUE"""),"CZCECHIA")</f>
        <v>CZCECHIA</v>
      </c>
      <c r="C76" s="5" t="str">
        <f>IFERROR(__xludf.DUMMYFUNCTION("""COMPUTED_VALUE"""),"NORMAL")</f>
        <v>NORMAL</v>
      </c>
      <c r="D76" s="5" t="str">
        <f>IFERROR(__xludf.DUMMYFUNCTION("""COMPUTED_VALUE"""),"JAROSLAV ZELENY")</f>
        <v>JAROSLAV ZELENY</v>
      </c>
      <c r="E76" s="5">
        <f>IFERROR(__xludf.DUMMYFUNCTION("""COMPUTED_VALUE"""),0.0)</f>
        <v>0</v>
      </c>
      <c r="F76" s="5">
        <f>IFERROR(__xludf.DUMMYFUNCTION("""COMPUTED_VALUE"""),0.0)</f>
        <v>0</v>
      </c>
    </row>
    <row r="77">
      <c r="A77" s="5" t="str">
        <f>IFERROR(__xludf.DUMMYFUNCTION("""COMPUTED_VALUE"""),"CZE07")</f>
        <v>CZE07</v>
      </c>
      <c r="B77" s="5" t="str">
        <f>IFERROR(__xludf.DUMMYFUNCTION("""COMPUTED_VALUE"""),"CZCECHIA")</f>
        <v>CZCECHIA</v>
      </c>
      <c r="C77" s="5" t="str">
        <f>IFERROR(__xludf.DUMMYFUNCTION("""COMPUTED_VALUE"""),"NORMAL")</f>
        <v>NORMAL</v>
      </c>
      <c r="D77" s="5" t="str">
        <f>IFERROR(__xludf.DUMMYFUNCTION("""COMPUTED_VALUE"""),"TOMAS HOLES")</f>
        <v>TOMAS HOLES</v>
      </c>
      <c r="E77" s="5">
        <f>IFERROR(__xludf.DUMMYFUNCTION("""COMPUTED_VALUE"""),0.0)</f>
        <v>0</v>
      </c>
      <c r="F77" s="5">
        <f>IFERROR(__xludf.DUMMYFUNCTION("""COMPUTED_VALUE"""),0.0)</f>
        <v>0</v>
      </c>
    </row>
    <row r="78">
      <c r="A78" s="5" t="str">
        <f>IFERROR(__xludf.DUMMYFUNCTION("""COMPUTED_VALUE"""),"CZE08")</f>
        <v>CZE08</v>
      </c>
      <c r="B78" s="5" t="str">
        <f>IFERROR(__xludf.DUMMYFUNCTION("""COMPUTED_VALUE"""),"CZCECHIA")</f>
        <v>CZCECHIA</v>
      </c>
      <c r="C78" s="5" t="str">
        <f>IFERROR(__xludf.DUMMYFUNCTION("""COMPUTED_VALUE"""),"NORMAL")</f>
        <v>NORMAL</v>
      </c>
      <c r="D78" s="5" t="str">
        <f>IFERROR(__xludf.DUMMYFUNCTION("""COMPUTED_VALUE"""),"DAVID ZIMA")</f>
        <v>DAVID ZIMA</v>
      </c>
      <c r="E78" s="5">
        <f>IFERROR(__xludf.DUMMYFUNCTION("""COMPUTED_VALUE"""),0.0)</f>
        <v>0</v>
      </c>
      <c r="F78" s="5">
        <f>IFERROR(__xludf.DUMMYFUNCTION("""COMPUTED_VALUE"""),0.0)</f>
        <v>0</v>
      </c>
    </row>
    <row r="79">
      <c r="A79" s="5" t="str">
        <f>IFERROR(__xludf.DUMMYFUNCTION("""COMPUTED_VALUE"""),"CZE09")</f>
        <v>CZE09</v>
      </c>
      <c r="B79" s="5" t="str">
        <f>IFERROR(__xludf.DUMMYFUNCTION("""COMPUTED_VALUE"""),"CZCECHIA")</f>
        <v>CZCECHIA</v>
      </c>
      <c r="C79" s="5" t="str">
        <f>IFERROR(__xludf.DUMMYFUNCTION("""COMPUTED_VALUE"""),"NORMAL")</f>
        <v>NORMAL</v>
      </c>
      <c r="D79" s="5" t="str">
        <f>IFERROR(__xludf.DUMMYFUNCTION("""COMPUTED_VALUE"""),"MICHAL SADILEK")</f>
        <v>MICHAL SADILEK</v>
      </c>
      <c r="E79" s="5">
        <f>IFERROR(__xludf.DUMMYFUNCTION("""COMPUTED_VALUE"""),0.0)</f>
        <v>0</v>
      </c>
      <c r="F79" s="5">
        <f>IFERROR(__xludf.DUMMYFUNCTION("""COMPUTED_VALUE"""),0.0)</f>
        <v>0</v>
      </c>
    </row>
    <row r="80">
      <c r="A80" s="5" t="str">
        <f>IFERROR(__xludf.DUMMYFUNCTION("""COMPUTED_VALUE"""),"CZE10")</f>
        <v>CZE10</v>
      </c>
      <c r="B80" s="5" t="str">
        <f>IFERROR(__xludf.DUMMYFUNCTION("""COMPUTED_VALUE"""),"CZCECHIA")</f>
        <v>CZCECHIA</v>
      </c>
      <c r="C80" s="5" t="str">
        <f>IFERROR(__xludf.DUMMYFUNCTION("""COMPUTED_VALUE"""),"NORMAL")</f>
        <v>NORMAL</v>
      </c>
      <c r="D80" s="5" t="str">
        <f>IFERROR(__xludf.DUMMYFUNCTION("""COMPUTED_VALUE"""),"LUKAS PROVOD")</f>
        <v>LUKAS PROVOD</v>
      </c>
      <c r="E80" s="5">
        <f>IFERROR(__xludf.DUMMYFUNCTION("""COMPUTED_VALUE"""),0.0)</f>
        <v>0</v>
      </c>
      <c r="F80" s="5">
        <f>IFERROR(__xludf.DUMMYFUNCTION("""COMPUTED_VALUE"""),0.0)</f>
        <v>0</v>
      </c>
    </row>
    <row r="81">
      <c r="A81" s="5" t="str">
        <f>IFERROR(__xludf.DUMMYFUNCTION("""COMPUTED_VALUE"""),"CZE11")</f>
        <v>CZE11</v>
      </c>
      <c r="B81" s="5" t="str">
        <f>IFERROR(__xludf.DUMMYFUNCTION("""COMPUTED_VALUE"""),"CZCECHIA")</f>
        <v>CZCECHIA</v>
      </c>
      <c r="C81" s="5" t="str">
        <f>IFERROR(__xludf.DUMMYFUNCTION("""COMPUTED_VALUE"""),"NORMAL")</f>
        <v>NORMAL</v>
      </c>
      <c r="D81" s="5" t="str">
        <f>IFERROR(__xludf.DUMMYFUNCTION("""COMPUTED_VALUE"""),"LUKAS CERV")</f>
        <v>LUKAS CERV</v>
      </c>
      <c r="E81" s="5">
        <f>IFERROR(__xludf.DUMMYFUNCTION("""COMPUTED_VALUE"""),0.0)</f>
        <v>0</v>
      </c>
      <c r="F81" s="5">
        <f>IFERROR(__xludf.DUMMYFUNCTION("""COMPUTED_VALUE"""),0.0)</f>
        <v>0</v>
      </c>
    </row>
    <row r="82">
      <c r="A82" s="5" t="str">
        <f>IFERROR(__xludf.DUMMYFUNCTION("""COMPUTED_VALUE"""),"CZE12")</f>
        <v>CZE12</v>
      </c>
      <c r="B82" s="5" t="str">
        <f>IFERROR(__xludf.DUMMYFUNCTION("""COMPUTED_VALUE"""),"CZCECHIA")</f>
        <v>CZCECHIA</v>
      </c>
      <c r="C82" s="5" t="str">
        <f>IFERROR(__xludf.DUMMYFUNCTION("""COMPUTED_VALUE"""),"NORMAL")</f>
        <v>NORMAL</v>
      </c>
      <c r="D82" s="5" t="str">
        <f>IFERROR(__xludf.DUMMYFUNCTION("""COMPUTED_VALUE"""),"TOMAS SOUCEK")</f>
        <v>TOMAS SOUCEK</v>
      </c>
      <c r="E82" s="5">
        <f>IFERROR(__xludf.DUMMYFUNCTION("""COMPUTED_VALUE"""),0.0)</f>
        <v>0</v>
      </c>
      <c r="F82" s="5">
        <f>IFERROR(__xludf.DUMMYFUNCTION("""COMPUTED_VALUE"""),0.0)</f>
        <v>0</v>
      </c>
    </row>
    <row r="83">
      <c r="A83" s="5" t="str">
        <f>IFERROR(__xludf.DUMMYFUNCTION("""COMPUTED_VALUE"""),"CZE13")</f>
        <v>CZE13</v>
      </c>
      <c r="B83" s="5" t="str">
        <f>IFERROR(__xludf.DUMMYFUNCTION("""COMPUTED_VALUE"""),"CZCECHIA")</f>
        <v>CZCECHIA</v>
      </c>
      <c r="C83" s="5" t="str">
        <f>IFERROR(__xludf.DUMMYFUNCTION("""COMPUTED_VALUE"""),"TEAM")</f>
        <v>TEAM</v>
      </c>
      <c r="D83" s="5" t="str">
        <f>IFERROR(__xludf.DUMMYFUNCTION("""COMPUTED_VALUE"""),"CZECHIA NATIONAL TEAM")</f>
        <v>CZECHIA NATIONAL TEAM</v>
      </c>
      <c r="E83" s="5">
        <f>IFERROR(__xludf.DUMMYFUNCTION("""COMPUTED_VALUE"""),0.0)</f>
        <v>0</v>
      </c>
      <c r="F83" s="5">
        <f>IFERROR(__xludf.DUMMYFUNCTION("""COMPUTED_VALUE"""),0.0)</f>
        <v>0</v>
      </c>
    </row>
    <row r="84">
      <c r="A84" s="5" t="str">
        <f>IFERROR(__xludf.DUMMYFUNCTION("""COMPUTED_VALUE"""),"CZE14")</f>
        <v>CZE14</v>
      </c>
      <c r="B84" s="5" t="str">
        <f>IFERROR(__xludf.DUMMYFUNCTION("""COMPUTED_VALUE"""),"CZCECHIA")</f>
        <v>CZCECHIA</v>
      </c>
      <c r="C84" s="5" t="str">
        <f>IFERROR(__xludf.DUMMYFUNCTION("""COMPUTED_VALUE"""),"NORMAL")</f>
        <v>NORMAL</v>
      </c>
      <c r="D84" s="5" t="str">
        <f>IFERROR(__xludf.DUMMYFUNCTION("""COMPUTED_VALUE"""),"PAVEL SULC")</f>
        <v>PAVEL SULC</v>
      </c>
      <c r="E84" s="5">
        <f>IFERROR(__xludf.DUMMYFUNCTION("""COMPUTED_VALUE"""),0.0)</f>
        <v>0</v>
      </c>
      <c r="F84" s="5">
        <f>IFERROR(__xludf.DUMMYFUNCTION("""COMPUTED_VALUE"""),0.0)</f>
        <v>0</v>
      </c>
    </row>
    <row r="85">
      <c r="A85" s="5" t="str">
        <f>IFERROR(__xludf.DUMMYFUNCTION("""COMPUTED_VALUE"""),"CZE15")</f>
        <v>CZE15</v>
      </c>
      <c r="B85" s="5" t="str">
        <f>IFERROR(__xludf.DUMMYFUNCTION("""COMPUTED_VALUE"""),"CZCECHIA")</f>
        <v>CZCECHIA</v>
      </c>
      <c r="C85" s="5" t="str">
        <f>IFERROR(__xludf.DUMMYFUNCTION("""COMPUTED_VALUE"""),"NORMAL")</f>
        <v>NORMAL</v>
      </c>
      <c r="D85" s="5" t="str">
        <f>IFERROR(__xludf.DUMMYFUNCTION("""COMPUTED_VALUE"""),"MATEJ VYDRA")</f>
        <v>MATEJ VYDRA</v>
      </c>
      <c r="E85" s="5">
        <f>IFERROR(__xludf.DUMMYFUNCTION("""COMPUTED_VALUE"""),0.0)</f>
        <v>0</v>
      </c>
      <c r="F85" s="5">
        <f>IFERROR(__xludf.DUMMYFUNCTION("""COMPUTED_VALUE"""),0.0)</f>
        <v>0</v>
      </c>
    </row>
    <row r="86">
      <c r="A86" s="5" t="str">
        <f>IFERROR(__xludf.DUMMYFUNCTION("""COMPUTED_VALUE"""),"CZE16")</f>
        <v>CZE16</v>
      </c>
      <c r="B86" s="5" t="str">
        <f>IFERROR(__xludf.DUMMYFUNCTION("""COMPUTED_VALUE"""),"CZCECHIA")</f>
        <v>CZCECHIA</v>
      </c>
      <c r="C86" s="5" t="str">
        <f>IFERROR(__xludf.DUMMYFUNCTION("""COMPUTED_VALUE"""),"NORMAL")</f>
        <v>NORMAL</v>
      </c>
      <c r="D86" s="5" t="str">
        <f>IFERROR(__xludf.DUMMYFUNCTION("""COMPUTED_VALUE"""),"VASIL KUSEJ")</f>
        <v>VASIL KUSEJ</v>
      </c>
      <c r="E86" s="5">
        <f>IFERROR(__xludf.DUMMYFUNCTION("""COMPUTED_VALUE"""),0.0)</f>
        <v>0</v>
      </c>
      <c r="F86" s="5">
        <f>IFERROR(__xludf.DUMMYFUNCTION("""COMPUTED_VALUE"""),0.0)</f>
        <v>0</v>
      </c>
    </row>
    <row r="87">
      <c r="A87" s="5" t="str">
        <f>IFERROR(__xludf.DUMMYFUNCTION("""COMPUTED_VALUE"""),"CZE17")</f>
        <v>CZE17</v>
      </c>
      <c r="B87" s="5" t="str">
        <f>IFERROR(__xludf.DUMMYFUNCTION("""COMPUTED_VALUE"""),"CZCECHIA")</f>
        <v>CZCECHIA</v>
      </c>
      <c r="C87" s="5" t="str">
        <f>IFERROR(__xludf.DUMMYFUNCTION("""COMPUTED_VALUE"""),"NORMAL")</f>
        <v>NORMAL</v>
      </c>
      <c r="D87" s="5" t="str">
        <f>IFERROR(__xludf.DUMMYFUNCTION("""COMPUTED_VALUE"""),"TOMAS CHORY")</f>
        <v>TOMAS CHORY</v>
      </c>
      <c r="E87" s="5">
        <f>IFERROR(__xludf.DUMMYFUNCTION("""COMPUTED_VALUE"""),0.0)</f>
        <v>0</v>
      </c>
      <c r="F87" s="5">
        <f>IFERROR(__xludf.DUMMYFUNCTION("""COMPUTED_VALUE"""),0.0)</f>
        <v>0</v>
      </c>
    </row>
    <row r="88">
      <c r="A88" s="5" t="str">
        <f>IFERROR(__xludf.DUMMYFUNCTION("""COMPUTED_VALUE"""),"CZE18")</f>
        <v>CZE18</v>
      </c>
      <c r="B88" s="5" t="str">
        <f>IFERROR(__xludf.DUMMYFUNCTION("""COMPUTED_VALUE"""),"CZCECHIA")</f>
        <v>CZCECHIA</v>
      </c>
      <c r="C88" s="5" t="str">
        <f>IFERROR(__xludf.DUMMYFUNCTION("""COMPUTED_VALUE"""),"NORMAL")</f>
        <v>NORMAL</v>
      </c>
      <c r="D88" s="5" t="str">
        <f>IFERROR(__xludf.DUMMYFUNCTION("""COMPUTED_VALUE"""),"VACLAV CHERNY")</f>
        <v>VACLAV CHERNY</v>
      </c>
      <c r="E88" s="5">
        <f>IFERROR(__xludf.DUMMYFUNCTION("""COMPUTED_VALUE"""),0.0)</f>
        <v>0</v>
      </c>
      <c r="F88" s="5">
        <f>IFERROR(__xludf.DUMMYFUNCTION("""COMPUTED_VALUE"""),0.0)</f>
        <v>0</v>
      </c>
    </row>
    <row r="89">
      <c r="A89" s="5" t="str">
        <f>IFERROR(__xludf.DUMMYFUNCTION("""COMPUTED_VALUE"""),"CZE19")</f>
        <v>CZE19</v>
      </c>
      <c r="B89" s="5" t="str">
        <f>IFERROR(__xludf.DUMMYFUNCTION("""COMPUTED_VALUE"""),"CZCECHIA")</f>
        <v>CZCECHIA</v>
      </c>
      <c r="C89" s="5" t="str">
        <f>IFERROR(__xludf.DUMMYFUNCTION("""COMPUTED_VALUE"""),"NORMAL")</f>
        <v>NORMAL</v>
      </c>
      <c r="D89" s="5" t="str">
        <f>IFERROR(__xludf.DUMMYFUNCTION("""COMPUTED_VALUE"""),"ADAM HLOZEK")</f>
        <v>ADAM HLOZEK</v>
      </c>
      <c r="E89" s="5">
        <f>IFERROR(__xludf.DUMMYFUNCTION("""COMPUTED_VALUE"""),0.0)</f>
        <v>0</v>
      </c>
      <c r="F89" s="5">
        <f>IFERROR(__xludf.DUMMYFUNCTION("""COMPUTED_VALUE"""),0.0)</f>
        <v>0</v>
      </c>
    </row>
    <row r="90">
      <c r="A90" s="5" t="str">
        <f>IFERROR(__xludf.DUMMYFUNCTION("""COMPUTED_VALUE"""),"CZE20")</f>
        <v>CZE20</v>
      </c>
      <c r="B90" s="5" t="str">
        <f>IFERROR(__xludf.DUMMYFUNCTION("""COMPUTED_VALUE"""),"CZCECHIA")</f>
        <v>CZCECHIA</v>
      </c>
      <c r="C90" s="5" t="str">
        <f>IFERROR(__xludf.DUMMYFUNCTION("""COMPUTED_VALUE"""),"NORMAL")</f>
        <v>NORMAL</v>
      </c>
      <c r="D90" s="5" t="str">
        <f>IFERROR(__xludf.DUMMYFUNCTION("""COMPUTED_VALUE"""),"PATRICK SHICK")</f>
        <v>PATRICK SHICK</v>
      </c>
      <c r="E90" s="5">
        <f>IFERROR(__xludf.DUMMYFUNCTION("""COMPUTED_VALUE"""),0.0)</f>
        <v>0</v>
      </c>
      <c r="F90" s="5">
        <f>IFERROR(__xludf.DUMMYFUNCTION("""COMPUTED_VALUE"""),0.0)</f>
        <v>0</v>
      </c>
    </row>
    <row r="91">
      <c r="A91" s="5" t="str">
        <f>IFERROR(__xludf.DUMMYFUNCTION("""COMPUTED_VALUE"""),"CAN01")</f>
        <v>CAN01</v>
      </c>
      <c r="B91" s="5" t="str">
        <f>IFERROR(__xludf.DUMMYFUNCTION("""COMPUTED_VALUE"""),"CANADA")</f>
        <v>CANADA</v>
      </c>
      <c r="C91" s="5" t="str">
        <f>IFERROR(__xludf.DUMMYFUNCTION("""COMPUTED_VALUE"""),"BADGE")</f>
        <v>BADGE</v>
      </c>
      <c r="D91" s="5" t="str">
        <f>IFERROR(__xludf.DUMMYFUNCTION("""COMPUTED_VALUE"""),"CANADA NATIONAL TEAM")</f>
        <v>CANADA NATIONAL TEAM</v>
      </c>
      <c r="E91" s="5">
        <f>IFERROR(__xludf.DUMMYFUNCTION("""COMPUTED_VALUE"""),0.0)</f>
        <v>0</v>
      </c>
      <c r="F91" s="5">
        <f>IFERROR(__xludf.DUMMYFUNCTION("""COMPUTED_VALUE"""),0.0)</f>
        <v>0</v>
      </c>
    </row>
    <row r="92">
      <c r="A92" s="5" t="str">
        <f>IFERROR(__xludf.DUMMYFUNCTION("""COMPUTED_VALUE"""),"CAN02")</f>
        <v>CAN02</v>
      </c>
      <c r="B92" s="5" t="str">
        <f>IFERROR(__xludf.DUMMYFUNCTION("""COMPUTED_VALUE"""),"CANADA")</f>
        <v>CANADA</v>
      </c>
      <c r="C92" s="5" t="str">
        <f>IFERROR(__xludf.DUMMYFUNCTION("""COMPUTED_VALUE"""),"NORMAL")</f>
        <v>NORMAL</v>
      </c>
      <c r="D92" s="5" t="str">
        <f>IFERROR(__xludf.DUMMYFUNCTION("""COMPUTED_VALUE"""),"DAYNE ST. CLAIR")</f>
        <v>DAYNE ST. CLAIR</v>
      </c>
      <c r="E92" s="5">
        <f>IFERROR(__xludf.DUMMYFUNCTION("""COMPUTED_VALUE"""),0.0)</f>
        <v>0</v>
      </c>
      <c r="F92" s="5">
        <f>IFERROR(__xludf.DUMMYFUNCTION("""COMPUTED_VALUE"""),0.0)</f>
        <v>0</v>
      </c>
    </row>
    <row r="93">
      <c r="A93" s="5" t="str">
        <f>IFERROR(__xludf.DUMMYFUNCTION("""COMPUTED_VALUE"""),"CAN03")</f>
        <v>CAN03</v>
      </c>
      <c r="B93" s="5" t="str">
        <f>IFERROR(__xludf.DUMMYFUNCTION("""COMPUTED_VALUE"""),"CANADA")</f>
        <v>CANADA</v>
      </c>
      <c r="C93" s="5" t="str">
        <f>IFERROR(__xludf.DUMMYFUNCTION("""COMPUTED_VALUE"""),"NORMAL")</f>
        <v>NORMAL</v>
      </c>
      <c r="D93" s="5" t="str">
        <f>IFERROR(__xludf.DUMMYFUNCTION("""COMPUTED_VALUE"""),"ALPHONSO DAVIES")</f>
        <v>ALPHONSO DAVIES</v>
      </c>
      <c r="E93" s="5">
        <f>IFERROR(__xludf.DUMMYFUNCTION("""COMPUTED_VALUE"""),0.0)</f>
        <v>0</v>
      </c>
      <c r="F93" s="5">
        <f>IFERROR(__xludf.DUMMYFUNCTION("""COMPUTED_VALUE"""),0.0)</f>
        <v>0</v>
      </c>
    </row>
    <row r="94">
      <c r="A94" s="5" t="str">
        <f>IFERROR(__xludf.DUMMYFUNCTION("""COMPUTED_VALUE"""),"CAN04")</f>
        <v>CAN04</v>
      </c>
      <c r="B94" s="5" t="str">
        <f>IFERROR(__xludf.DUMMYFUNCTION("""COMPUTED_VALUE"""),"CANADA")</f>
        <v>CANADA</v>
      </c>
      <c r="C94" s="5" t="str">
        <f>IFERROR(__xludf.DUMMYFUNCTION("""COMPUTED_VALUE"""),"NORMAL")</f>
        <v>NORMAL</v>
      </c>
      <c r="D94" s="5" t="str">
        <f>IFERROR(__xludf.DUMMYFUNCTION("""COMPUTED_VALUE"""),"ALISTAIR JOHNSTON")</f>
        <v>ALISTAIR JOHNSTON</v>
      </c>
      <c r="E94" s="5">
        <f>IFERROR(__xludf.DUMMYFUNCTION("""COMPUTED_VALUE"""),0.0)</f>
        <v>0</v>
      </c>
      <c r="F94" s="5">
        <f>IFERROR(__xludf.DUMMYFUNCTION("""COMPUTED_VALUE"""),0.0)</f>
        <v>0</v>
      </c>
    </row>
    <row r="95">
      <c r="A95" s="5" t="str">
        <f>IFERROR(__xludf.DUMMYFUNCTION("""COMPUTED_VALUE"""),"CAN05")</f>
        <v>CAN05</v>
      </c>
      <c r="B95" s="5" t="str">
        <f>IFERROR(__xludf.DUMMYFUNCTION("""COMPUTED_VALUE"""),"CANADA")</f>
        <v>CANADA</v>
      </c>
      <c r="C95" s="5" t="str">
        <f>IFERROR(__xludf.DUMMYFUNCTION("""COMPUTED_VALUE"""),"NORMAL")</f>
        <v>NORMAL</v>
      </c>
      <c r="D95" s="5" t="str">
        <f>IFERROR(__xludf.DUMMYFUNCTION("""COMPUTED_VALUE"""),"SAMUEL ADEKUGBE")</f>
        <v>SAMUEL ADEKUGBE</v>
      </c>
      <c r="E95" s="5">
        <f>IFERROR(__xludf.DUMMYFUNCTION("""COMPUTED_VALUE"""),0.0)</f>
        <v>0</v>
      </c>
      <c r="F95" s="5">
        <f>IFERROR(__xludf.DUMMYFUNCTION("""COMPUTED_VALUE"""),0.0)</f>
        <v>0</v>
      </c>
    </row>
    <row r="96">
      <c r="A96" s="5" t="str">
        <f>IFERROR(__xludf.DUMMYFUNCTION("""COMPUTED_VALUE"""),"CAN06")</f>
        <v>CAN06</v>
      </c>
      <c r="B96" s="5" t="str">
        <f>IFERROR(__xludf.DUMMYFUNCTION("""COMPUTED_VALUE"""),"CANADA")</f>
        <v>CANADA</v>
      </c>
      <c r="C96" s="5" t="str">
        <f>IFERROR(__xludf.DUMMYFUNCTION("""COMPUTED_VALUE"""),"NORMAL")</f>
        <v>NORMAL</v>
      </c>
      <c r="D96" s="5" t="str">
        <f>IFERROR(__xludf.DUMMYFUNCTION("""COMPUTED_VALUE"""),"RICHIE LARVEA")</f>
        <v>RICHIE LARVEA</v>
      </c>
      <c r="E96" s="5">
        <f>IFERROR(__xludf.DUMMYFUNCTION("""COMPUTED_VALUE"""),0.0)</f>
        <v>0</v>
      </c>
      <c r="F96" s="5">
        <f>IFERROR(__xludf.DUMMYFUNCTION("""COMPUTED_VALUE"""),0.0)</f>
        <v>0</v>
      </c>
    </row>
    <row r="97">
      <c r="A97" s="5" t="str">
        <f>IFERROR(__xludf.DUMMYFUNCTION("""COMPUTED_VALUE"""),"CAN07")</f>
        <v>CAN07</v>
      </c>
      <c r="B97" s="5" t="str">
        <f>IFERROR(__xludf.DUMMYFUNCTION("""COMPUTED_VALUE"""),"CANADA")</f>
        <v>CANADA</v>
      </c>
      <c r="C97" s="5" t="str">
        <f>IFERROR(__xludf.DUMMYFUNCTION("""COMPUTED_VALUE"""),"NORMAL")</f>
        <v>NORMAL</v>
      </c>
      <c r="D97" s="5" t="str">
        <f>IFERROR(__xludf.DUMMYFUNCTION("""COMPUTED_VALUE"""),"DEREK CORNELIUS")</f>
        <v>DEREK CORNELIUS</v>
      </c>
      <c r="E97" s="5">
        <f>IFERROR(__xludf.DUMMYFUNCTION("""COMPUTED_VALUE"""),0.0)</f>
        <v>0</v>
      </c>
      <c r="F97" s="5">
        <f>IFERROR(__xludf.DUMMYFUNCTION("""COMPUTED_VALUE"""),0.0)</f>
        <v>0</v>
      </c>
    </row>
    <row r="98">
      <c r="A98" s="5" t="str">
        <f>IFERROR(__xludf.DUMMYFUNCTION("""COMPUTED_VALUE"""),"CAN08")</f>
        <v>CAN08</v>
      </c>
      <c r="B98" s="5" t="str">
        <f>IFERROR(__xludf.DUMMYFUNCTION("""COMPUTED_VALUE"""),"CANADA")</f>
        <v>CANADA</v>
      </c>
      <c r="C98" s="5" t="str">
        <f>IFERROR(__xludf.DUMMYFUNCTION("""COMPUTED_VALUE"""),"NORMAL")</f>
        <v>NORMAL</v>
      </c>
      <c r="D98" s="5" t="str">
        <f>IFERROR(__xludf.DUMMYFUNCTION("""COMPUTED_VALUE"""),"MOISE BOMBITO")</f>
        <v>MOISE BOMBITO</v>
      </c>
      <c r="E98" s="5">
        <f>IFERROR(__xludf.DUMMYFUNCTION("""COMPUTED_VALUE"""),0.0)</f>
        <v>0</v>
      </c>
      <c r="F98" s="5">
        <f>IFERROR(__xludf.DUMMYFUNCTION("""COMPUTED_VALUE"""),0.0)</f>
        <v>0</v>
      </c>
    </row>
    <row r="99">
      <c r="A99" s="5" t="str">
        <f>IFERROR(__xludf.DUMMYFUNCTION("""COMPUTED_VALUE"""),"CAN09")</f>
        <v>CAN09</v>
      </c>
      <c r="B99" s="5" t="str">
        <f>IFERROR(__xludf.DUMMYFUNCTION("""COMPUTED_VALUE"""),"CANADA")</f>
        <v>CANADA</v>
      </c>
      <c r="C99" s="5" t="str">
        <f>IFERROR(__xludf.DUMMYFUNCTION("""COMPUTED_VALUE"""),"NORMAL")</f>
        <v>NORMAL</v>
      </c>
      <c r="D99" s="5" t="str">
        <f>IFERROR(__xludf.DUMMYFUNCTION("""COMPUTED_VALUE"""),"KAMAL MILLER")</f>
        <v>KAMAL MILLER</v>
      </c>
      <c r="E99" s="5">
        <f>IFERROR(__xludf.DUMMYFUNCTION("""COMPUTED_VALUE"""),0.0)</f>
        <v>0</v>
      </c>
      <c r="F99" s="5">
        <f>IFERROR(__xludf.DUMMYFUNCTION("""COMPUTED_VALUE"""),0.0)</f>
        <v>0</v>
      </c>
    </row>
    <row r="100">
      <c r="A100" s="5" t="str">
        <f>IFERROR(__xludf.DUMMYFUNCTION("""COMPUTED_VALUE"""),"CAN10")</f>
        <v>CAN10</v>
      </c>
      <c r="B100" s="5" t="str">
        <f>IFERROR(__xludf.DUMMYFUNCTION("""COMPUTED_VALUE"""),"CANADA")</f>
        <v>CANADA</v>
      </c>
      <c r="C100" s="5" t="str">
        <f>IFERROR(__xludf.DUMMYFUNCTION("""COMPUTED_VALUE"""),"NORMAL")</f>
        <v>NORMAL</v>
      </c>
      <c r="D100" s="5" t="str">
        <f>IFERROR(__xludf.DUMMYFUNCTION("""COMPUTED_VALUE"""),"STEPHEN EUSTAQUIO")</f>
        <v>STEPHEN EUSTAQUIO</v>
      </c>
      <c r="E100" s="5">
        <f>IFERROR(__xludf.DUMMYFUNCTION("""COMPUTED_VALUE"""),0.0)</f>
        <v>0</v>
      </c>
      <c r="F100" s="5">
        <f>IFERROR(__xludf.DUMMYFUNCTION("""COMPUTED_VALUE"""),0.0)</f>
        <v>0</v>
      </c>
    </row>
    <row r="101">
      <c r="A101" s="5" t="str">
        <f>IFERROR(__xludf.DUMMYFUNCTION("""COMPUTED_VALUE"""),"CAN11")</f>
        <v>CAN11</v>
      </c>
      <c r="B101" s="5" t="str">
        <f>IFERROR(__xludf.DUMMYFUNCTION("""COMPUTED_VALUE"""),"CANADA")</f>
        <v>CANADA</v>
      </c>
      <c r="C101" s="5" t="str">
        <f>IFERROR(__xludf.DUMMYFUNCTION("""COMPUTED_VALUE"""),"NORMAL")</f>
        <v>NORMAL</v>
      </c>
      <c r="D101" s="5" t="str">
        <f>IFERROR(__xludf.DUMMYFUNCTION("""COMPUTED_VALUE"""),"ISMAEL KONE")</f>
        <v>ISMAEL KONE</v>
      </c>
      <c r="E101" s="5">
        <f>IFERROR(__xludf.DUMMYFUNCTION("""COMPUTED_VALUE"""),0.0)</f>
        <v>0</v>
      </c>
      <c r="F101" s="5">
        <f>IFERROR(__xludf.DUMMYFUNCTION("""COMPUTED_VALUE"""),0.0)</f>
        <v>0</v>
      </c>
    </row>
    <row r="102">
      <c r="A102" s="5" t="str">
        <f>IFERROR(__xludf.DUMMYFUNCTION("""COMPUTED_VALUE"""),"CAN12")</f>
        <v>CAN12</v>
      </c>
      <c r="B102" s="5" t="str">
        <f>IFERROR(__xludf.DUMMYFUNCTION("""COMPUTED_VALUE"""),"CANADA")</f>
        <v>CANADA</v>
      </c>
      <c r="C102" s="5" t="str">
        <f>IFERROR(__xludf.DUMMYFUNCTION("""COMPUTED_VALUE"""),"NORMAL")</f>
        <v>NORMAL</v>
      </c>
      <c r="D102" s="5" t="str">
        <f>IFERROR(__xludf.DUMMYFUNCTION("""COMPUTED_VALUE"""),"JONATHAN OSORIO")</f>
        <v>JONATHAN OSORIO</v>
      </c>
      <c r="E102" s="5">
        <f>IFERROR(__xludf.DUMMYFUNCTION("""COMPUTED_VALUE"""),0.0)</f>
        <v>0</v>
      </c>
      <c r="F102" s="5">
        <f>IFERROR(__xludf.DUMMYFUNCTION("""COMPUTED_VALUE"""),0.0)</f>
        <v>0</v>
      </c>
    </row>
    <row r="103">
      <c r="A103" s="5" t="str">
        <f>IFERROR(__xludf.DUMMYFUNCTION("""COMPUTED_VALUE"""),"CAN13")</f>
        <v>CAN13</v>
      </c>
      <c r="B103" s="5" t="str">
        <f>IFERROR(__xludf.DUMMYFUNCTION("""COMPUTED_VALUE"""),"CANADA")</f>
        <v>CANADA</v>
      </c>
      <c r="C103" s="5" t="str">
        <f>IFERROR(__xludf.DUMMYFUNCTION("""COMPUTED_VALUE"""),"TEAM")</f>
        <v>TEAM</v>
      </c>
      <c r="D103" s="5" t="str">
        <f>IFERROR(__xludf.DUMMYFUNCTION("""COMPUTED_VALUE"""),"CANADA NATIONAL TEAM")</f>
        <v>CANADA NATIONAL TEAM</v>
      </c>
      <c r="E103" s="5">
        <f>IFERROR(__xludf.DUMMYFUNCTION("""COMPUTED_VALUE"""),0.0)</f>
        <v>0</v>
      </c>
      <c r="F103" s="5">
        <f>IFERROR(__xludf.DUMMYFUNCTION("""COMPUTED_VALUE"""),0.0)</f>
        <v>0</v>
      </c>
    </row>
    <row r="104">
      <c r="A104" s="5" t="str">
        <f>IFERROR(__xludf.DUMMYFUNCTION("""COMPUTED_VALUE"""),"CAN14")</f>
        <v>CAN14</v>
      </c>
      <c r="B104" s="5" t="str">
        <f>IFERROR(__xludf.DUMMYFUNCTION("""COMPUTED_VALUE"""),"CANADA")</f>
        <v>CANADA</v>
      </c>
      <c r="C104" s="5" t="str">
        <f>IFERROR(__xludf.DUMMYFUNCTION("""COMPUTED_VALUE"""),"NORMAL")</f>
        <v>NORMAL</v>
      </c>
      <c r="D104" s="5" t="str">
        <f>IFERROR(__xludf.DUMMYFUNCTION("""COMPUTED_VALUE"""),"JACOB SHAFFELBURG")</f>
        <v>JACOB SHAFFELBURG</v>
      </c>
      <c r="E104" s="5">
        <f>IFERROR(__xludf.DUMMYFUNCTION("""COMPUTED_VALUE"""),0.0)</f>
        <v>0</v>
      </c>
      <c r="F104" s="5">
        <f>IFERROR(__xludf.DUMMYFUNCTION("""COMPUTED_VALUE"""),0.0)</f>
        <v>0</v>
      </c>
    </row>
    <row r="105">
      <c r="A105" s="5" t="str">
        <f>IFERROR(__xludf.DUMMYFUNCTION("""COMPUTED_VALUE"""),"CAN15")</f>
        <v>CAN15</v>
      </c>
      <c r="B105" s="5" t="str">
        <f>IFERROR(__xludf.DUMMYFUNCTION("""COMPUTED_VALUE"""),"CANADA")</f>
        <v>CANADA</v>
      </c>
      <c r="C105" s="5" t="str">
        <f>IFERROR(__xludf.DUMMYFUNCTION("""COMPUTED_VALUE"""),"NORMAL")</f>
        <v>NORMAL</v>
      </c>
      <c r="D105" s="5" t="str">
        <f>IFERROR(__xludf.DUMMYFUNCTION("""COMPUTED_VALUE"""),"MATHIEU CHOINIERE")</f>
        <v>MATHIEU CHOINIERE</v>
      </c>
      <c r="E105" s="5">
        <f>IFERROR(__xludf.DUMMYFUNCTION("""COMPUTED_VALUE"""),0.0)</f>
        <v>0</v>
      </c>
      <c r="F105" s="5">
        <f>IFERROR(__xludf.DUMMYFUNCTION("""COMPUTED_VALUE"""),0.0)</f>
        <v>0</v>
      </c>
    </row>
    <row r="106">
      <c r="A106" s="5" t="str">
        <f>IFERROR(__xludf.DUMMYFUNCTION("""COMPUTED_VALUE"""),"CAN16")</f>
        <v>CAN16</v>
      </c>
      <c r="B106" s="5" t="str">
        <f>IFERROR(__xludf.DUMMYFUNCTION("""COMPUTED_VALUE"""),"CANADA")</f>
        <v>CANADA</v>
      </c>
      <c r="C106" s="5" t="str">
        <f>IFERROR(__xludf.DUMMYFUNCTION("""COMPUTED_VALUE"""),"NORMAL")</f>
        <v>NORMAL</v>
      </c>
      <c r="D106" s="5" t="str">
        <f>IFERROR(__xludf.DUMMYFUNCTION("""COMPUTED_VALUE"""),"NIKO SIGUR")</f>
        <v>NIKO SIGUR</v>
      </c>
      <c r="E106" s="5">
        <f>IFERROR(__xludf.DUMMYFUNCTION("""COMPUTED_VALUE"""),0.0)</f>
        <v>0</v>
      </c>
      <c r="F106" s="5">
        <f>IFERROR(__xludf.DUMMYFUNCTION("""COMPUTED_VALUE"""),0.0)</f>
        <v>0</v>
      </c>
    </row>
    <row r="107">
      <c r="A107" s="5" t="str">
        <f>IFERROR(__xludf.DUMMYFUNCTION("""COMPUTED_VALUE"""),"CAN17")</f>
        <v>CAN17</v>
      </c>
      <c r="B107" s="5" t="str">
        <f>IFERROR(__xludf.DUMMYFUNCTION("""COMPUTED_VALUE"""),"CANADA")</f>
        <v>CANADA</v>
      </c>
      <c r="C107" s="5" t="str">
        <f>IFERROR(__xludf.DUMMYFUNCTION("""COMPUTED_VALUE"""),"NORMAL")</f>
        <v>NORMAL</v>
      </c>
      <c r="D107" s="5" t="str">
        <f>IFERROR(__xludf.DUMMYFUNCTION("""COMPUTED_VALUE"""),"TAJON BUCHANAN")</f>
        <v>TAJON BUCHANAN</v>
      </c>
      <c r="E107" s="5">
        <f>IFERROR(__xludf.DUMMYFUNCTION("""COMPUTED_VALUE"""),0.0)</f>
        <v>0</v>
      </c>
      <c r="F107" s="5">
        <f>IFERROR(__xludf.DUMMYFUNCTION("""COMPUTED_VALUE"""),0.0)</f>
        <v>0</v>
      </c>
    </row>
    <row r="108">
      <c r="A108" s="5" t="str">
        <f>IFERROR(__xludf.DUMMYFUNCTION("""COMPUTED_VALUE"""),"CAN18")</f>
        <v>CAN18</v>
      </c>
      <c r="B108" s="5" t="str">
        <f>IFERROR(__xludf.DUMMYFUNCTION("""COMPUTED_VALUE"""),"CANADA")</f>
        <v>CANADA</v>
      </c>
      <c r="C108" s="5" t="str">
        <f>IFERROR(__xludf.DUMMYFUNCTION("""COMPUTED_VALUE"""),"NORMAL")</f>
        <v>NORMAL</v>
      </c>
      <c r="D108" s="5" t="str">
        <f>IFERROR(__xludf.DUMMYFUNCTION("""COMPUTED_VALUE"""),"LIAM MILLAR")</f>
        <v>LIAM MILLAR</v>
      </c>
      <c r="E108" s="5">
        <f>IFERROR(__xludf.DUMMYFUNCTION("""COMPUTED_VALUE"""),0.0)</f>
        <v>0</v>
      </c>
      <c r="F108" s="5">
        <f>IFERROR(__xludf.DUMMYFUNCTION("""COMPUTED_VALUE"""),0.0)</f>
        <v>0</v>
      </c>
    </row>
    <row r="109">
      <c r="A109" s="5" t="str">
        <f>IFERROR(__xludf.DUMMYFUNCTION("""COMPUTED_VALUE"""),"CAN19")</f>
        <v>CAN19</v>
      </c>
      <c r="B109" s="5" t="str">
        <f>IFERROR(__xludf.DUMMYFUNCTION("""COMPUTED_VALUE"""),"CANADA")</f>
        <v>CANADA</v>
      </c>
      <c r="C109" s="5" t="str">
        <f>IFERROR(__xludf.DUMMYFUNCTION("""COMPUTED_VALUE"""),"NORMAL")</f>
        <v>NORMAL</v>
      </c>
      <c r="D109" s="5" t="str">
        <f>IFERROR(__xludf.DUMMYFUNCTION("""COMPUTED_VALUE"""),"CYLE LARIN")</f>
        <v>CYLE LARIN</v>
      </c>
      <c r="E109" s="5">
        <f>IFERROR(__xludf.DUMMYFUNCTION("""COMPUTED_VALUE"""),0.0)</f>
        <v>0</v>
      </c>
      <c r="F109" s="5">
        <f>IFERROR(__xludf.DUMMYFUNCTION("""COMPUTED_VALUE"""),0.0)</f>
        <v>0</v>
      </c>
    </row>
    <row r="110">
      <c r="A110" s="5" t="str">
        <f>IFERROR(__xludf.DUMMYFUNCTION("""COMPUTED_VALUE"""),"CAN20")</f>
        <v>CAN20</v>
      </c>
      <c r="B110" s="5" t="str">
        <f>IFERROR(__xludf.DUMMYFUNCTION("""COMPUTED_VALUE"""),"CANADA")</f>
        <v>CANADA</v>
      </c>
      <c r="C110" s="5" t="str">
        <f>IFERROR(__xludf.DUMMYFUNCTION("""COMPUTED_VALUE"""),"NORMAL")</f>
        <v>NORMAL</v>
      </c>
      <c r="D110" s="5" t="str">
        <f>IFERROR(__xludf.DUMMYFUNCTION("""COMPUTED_VALUE"""),"JONATHAN DAVID")</f>
        <v>JONATHAN DAVID</v>
      </c>
      <c r="E110" s="5">
        <f>IFERROR(__xludf.DUMMYFUNCTION("""COMPUTED_VALUE"""),0.0)</f>
        <v>0</v>
      </c>
      <c r="F110" s="5">
        <f>IFERROR(__xludf.DUMMYFUNCTION("""COMPUTED_VALUE"""),0.0)</f>
        <v>0</v>
      </c>
    </row>
    <row r="111">
      <c r="A111" s="5" t="str">
        <f>IFERROR(__xludf.DUMMYFUNCTION("""COMPUTED_VALUE"""),"BIH01")</f>
        <v>BIH01</v>
      </c>
      <c r="B111" s="5" t="str">
        <f>IFERROR(__xludf.DUMMYFUNCTION("""COMPUTED_VALUE"""),"BOSNIA HERZEGOVINA")</f>
        <v>BOSNIA HERZEGOVINA</v>
      </c>
      <c r="C111" s="5" t="str">
        <f>IFERROR(__xludf.DUMMYFUNCTION("""COMPUTED_VALUE"""),"BADGE")</f>
        <v>BADGE</v>
      </c>
      <c r="D111" s="5" t="str">
        <f>IFERROR(__xludf.DUMMYFUNCTION("""COMPUTED_VALUE"""),"BOSNIA HERZEGOVINA NATIONAL TEAM")</f>
        <v>BOSNIA HERZEGOVINA NATIONAL TEAM</v>
      </c>
      <c r="E111" s="5">
        <f>IFERROR(__xludf.DUMMYFUNCTION("""COMPUTED_VALUE"""),0.0)</f>
        <v>0</v>
      </c>
      <c r="F111" s="5">
        <f>IFERROR(__xludf.DUMMYFUNCTION("""COMPUTED_VALUE"""),0.0)</f>
        <v>0</v>
      </c>
    </row>
    <row r="112">
      <c r="A112" s="5" t="str">
        <f>IFERROR(__xludf.DUMMYFUNCTION("""COMPUTED_VALUE"""),"BIH02")</f>
        <v>BIH02</v>
      </c>
      <c r="B112" s="5" t="str">
        <f>IFERROR(__xludf.DUMMYFUNCTION("""COMPUTED_VALUE"""),"BOSNIA HERZEGOVINA")</f>
        <v>BOSNIA HERZEGOVINA</v>
      </c>
      <c r="C112" s="5" t="str">
        <f>IFERROR(__xludf.DUMMYFUNCTION("""COMPUTED_VALUE"""),"NORMAL")</f>
        <v>NORMAL</v>
      </c>
      <c r="D112" s="5" t="str">
        <f>IFERROR(__xludf.DUMMYFUNCTION("""COMPUTED_VALUE"""),"NIKOLA VASILJ")</f>
        <v>NIKOLA VASILJ</v>
      </c>
      <c r="E112" s="5">
        <f>IFERROR(__xludf.DUMMYFUNCTION("""COMPUTED_VALUE"""),0.0)</f>
        <v>0</v>
      </c>
      <c r="F112" s="5">
        <f>IFERROR(__xludf.DUMMYFUNCTION("""COMPUTED_VALUE"""),0.0)</f>
        <v>0</v>
      </c>
    </row>
    <row r="113">
      <c r="A113" s="5" t="str">
        <f>IFERROR(__xludf.DUMMYFUNCTION("""COMPUTED_VALUE"""),"BIH03")</f>
        <v>BIH03</v>
      </c>
      <c r="B113" s="5" t="str">
        <f>IFERROR(__xludf.DUMMYFUNCTION("""COMPUTED_VALUE"""),"BOSNIA HERZEGOVINA")</f>
        <v>BOSNIA HERZEGOVINA</v>
      </c>
      <c r="C113" s="5" t="str">
        <f>IFERROR(__xludf.DUMMYFUNCTION("""COMPUTED_VALUE"""),"NORMAL")</f>
        <v>NORMAL</v>
      </c>
      <c r="D113" s="5" t="str">
        <f>IFERROR(__xludf.DUMMYFUNCTION("""COMPUTED_VALUE"""),"AMAR DEDIC")</f>
        <v>AMAR DEDIC</v>
      </c>
      <c r="E113" s="5">
        <f>IFERROR(__xludf.DUMMYFUNCTION("""COMPUTED_VALUE"""),0.0)</f>
        <v>0</v>
      </c>
      <c r="F113" s="5">
        <f>IFERROR(__xludf.DUMMYFUNCTION("""COMPUTED_VALUE"""),0.0)</f>
        <v>0</v>
      </c>
    </row>
    <row r="114">
      <c r="A114" s="5" t="str">
        <f>IFERROR(__xludf.DUMMYFUNCTION("""COMPUTED_VALUE"""),"BIH04")</f>
        <v>BIH04</v>
      </c>
      <c r="B114" s="5" t="str">
        <f>IFERROR(__xludf.DUMMYFUNCTION("""COMPUTED_VALUE"""),"BOSNIA HERZEGOVINA")</f>
        <v>BOSNIA HERZEGOVINA</v>
      </c>
      <c r="C114" s="5" t="str">
        <f>IFERROR(__xludf.DUMMYFUNCTION("""COMPUTED_VALUE"""),"NORMAL")</f>
        <v>NORMAL</v>
      </c>
      <c r="D114" s="5" t="str">
        <f>IFERROR(__xludf.DUMMYFUNCTION("""COMPUTED_VALUE"""),"SEAD KOLASINAC")</f>
        <v>SEAD KOLASINAC</v>
      </c>
      <c r="E114" s="5">
        <f>IFERROR(__xludf.DUMMYFUNCTION("""COMPUTED_VALUE"""),0.0)</f>
        <v>0</v>
      </c>
      <c r="F114" s="5">
        <f>IFERROR(__xludf.DUMMYFUNCTION("""COMPUTED_VALUE"""),0.0)</f>
        <v>0</v>
      </c>
    </row>
    <row r="115">
      <c r="A115" s="5" t="str">
        <f>IFERROR(__xludf.DUMMYFUNCTION("""COMPUTED_VALUE"""),"BIH05")</f>
        <v>BIH05</v>
      </c>
      <c r="B115" s="5" t="str">
        <f>IFERROR(__xludf.DUMMYFUNCTION("""COMPUTED_VALUE"""),"BOSNIA HERZEGOVINA")</f>
        <v>BOSNIA HERZEGOVINA</v>
      </c>
      <c r="C115" s="5" t="str">
        <f>IFERROR(__xludf.DUMMYFUNCTION("""COMPUTED_VALUE"""),"NORMAL")</f>
        <v>NORMAL</v>
      </c>
      <c r="D115" s="5" t="str">
        <f>IFERROR(__xludf.DUMMYFUNCTION("""COMPUTED_VALUE"""),"TARIK MUHAREMOVIC")</f>
        <v>TARIK MUHAREMOVIC</v>
      </c>
      <c r="E115" s="5">
        <f>IFERROR(__xludf.DUMMYFUNCTION("""COMPUTED_VALUE"""),0.0)</f>
        <v>0</v>
      </c>
      <c r="F115" s="5">
        <f>IFERROR(__xludf.DUMMYFUNCTION("""COMPUTED_VALUE"""),0.0)</f>
        <v>0</v>
      </c>
    </row>
    <row r="116">
      <c r="A116" s="5" t="str">
        <f>IFERROR(__xludf.DUMMYFUNCTION("""COMPUTED_VALUE"""),"BIH06")</f>
        <v>BIH06</v>
      </c>
      <c r="B116" s="5" t="str">
        <f>IFERROR(__xludf.DUMMYFUNCTION("""COMPUTED_VALUE"""),"BOSNIA HERZEGOVINA")</f>
        <v>BOSNIA HERZEGOVINA</v>
      </c>
      <c r="C116" s="5" t="str">
        <f>IFERROR(__xludf.DUMMYFUNCTION("""COMPUTED_VALUE"""),"NORMAL")</f>
        <v>NORMAL</v>
      </c>
      <c r="D116" s="5" t="str">
        <f>IFERROR(__xludf.DUMMYFUNCTION("""COMPUTED_VALUE"""),"NIIHAD MUJAKIC")</f>
        <v>NIIHAD MUJAKIC</v>
      </c>
      <c r="E116" s="5">
        <f>IFERROR(__xludf.DUMMYFUNCTION("""COMPUTED_VALUE"""),0.0)</f>
        <v>0</v>
      </c>
      <c r="F116" s="5">
        <f>IFERROR(__xludf.DUMMYFUNCTION("""COMPUTED_VALUE"""),0.0)</f>
        <v>0</v>
      </c>
    </row>
    <row r="117">
      <c r="A117" s="5" t="str">
        <f>IFERROR(__xludf.DUMMYFUNCTION("""COMPUTED_VALUE"""),"BIH07")</f>
        <v>BIH07</v>
      </c>
      <c r="B117" s="5" t="str">
        <f>IFERROR(__xludf.DUMMYFUNCTION("""COMPUTED_VALUE"""),"BOSNIA HERZEGOVINA")</f>
        <v>BOSNIA HERZEGOVINA</v>
      </c>
      <c r="C117" s="5" t="str">
        <f>IFERROR(__xludf.DUMMYFUNCTION("""COMPUTED_VALUE"""),"NORMAL")</f>
        <v>NORMAL</v>
      </c>
      <c r="D117" s="5" t="str">
        <f>IFERROR(__xludf.DUMMYFUNCTION("""COMPUTED_VALUE"""),"NICOLA KATIC")</f>
        <v>NICOLA KATIC</v>
      </c>
      <c r="E117" s="5">
        <f>IFERROR(__xludf.DUMMYFUNCTION("""COMPUTED_VALUE"""),0.0)</f>
        <v>0</v>
      </c>
      <c r="F117" s="5">
        <f>IFERROR(__xludf.DUMMYFUNCTION("""COMPUTED_VALUE"""),0.0)</f>
        <v>0</v>
      </c>
    </row>
    <row r="118">
      <c r="A118" s="5" t="str">
        <f>IFERROR(__xludf.DUMMYFUNCTION("""COMPUTED_VALUE"""),"BIH08")</f>
        <v>BIH08</v>
      </c>
      <c r="B118" s="5" t="str">
        <f>IFERROR(__xludf.DUMMYFUNCTION("""COMPUTED_VALUE"""),"BOSNIA HERZEGOVINA")</f>
        <v>BOSNIA HERZEGOVINA</v>
      </c>
      <c r="C118" s="5" t="str">
        <f>IFERROR(__xludf.DUMMYFUNCTION("""COMPUTED_VALUE"""),"NORMAL")</f>
        <v>NORMAL</v>
      </c>
      <c r="D118" s="5" t="str">
        <f>IFERROR(__xludf.DUMMYFUNCTION("""COMPUTED_VALUE"""),"AMIR HADZIAHMETOVIC")</f>
        <v>AMIR HADZIAHMETOVIC</v>
      </c>
      <c r="E118" s="5">
        <f>IFERROR(__xludf.DUMMYFUNCTION("""COMPUTED_VALUE"""),0.0)</f>
        <v>0</v>
      </c>
      <c r="F118" s="5">
        <f>IFERROR(__xludf.DUMMYFUNCTION("""COMPUTED_VALUE"""),0.0)</f>
        <v>0</v>
      </c>
    </row>
    <row r="119">
      <c r="A119" s="5" t="str">
        <f>IFERROR(__xludf.DUMMYFUNCTION("""COMPUTED_VALUE"""),"BIH09")</f>
        <v>BIH09</v>
      </c>
      <c r="B119" s="5" t="str">
        <f>IFERROR(__xludf.DUMMYFUNCTION("""COMPUTED_VALUE"""),"BOSNIA HERZEGOVINA")</f>
        <v>BOSNIA HERZEGOVINA</v>
      </c>
      <c r="C119" s="5" t="str">
        <f>IFERROR(__xludf.DUMMYFUNCTION("""COMPUTED_VALUE"""),"NORMAL")</f>
        <v>NORMAL</v>
      </c>
      <c r="D119" s="5" t="str">
        <f>IFERROR(__xludf.DUMMYFUNCTION("""COMPUTED_VALUE"""),"BENJAMIN TAHIROVIC")</f>
        <v>BENJAMIN TAHIROVIC</v>
      </c>
      <c r="E119" s="5">
        <f>IFERROR(__xludf.DUMMYFUNCTION("""COMPUTED_VALUE"""),0.0)</f>
        <v>0</v>
      </c>
      <c r="F119" s="5">
        <f>IFERROR(__xludf.DUMMYFUNCTION("""COMPUTED_VALUE"""),0.0)</f>
        <v>0</v>
      </c>
    </row>
    <row r="120">
      <c r="A120" s="5" t="str">
        <f>IFERROR(__xludf.DUMMYFUNCTION("""COMPUTED_VALUE"""),"BIH10")</f>
        <v>BIH10</v>
      </c>
      <c r="B120" s="5" t="str">
        <f>IFERROR(__xludf.DUMMYFUNCTION("""COMPUTED_VALUE"""),"BOSNIA HERZEGOVINA")</f>
        <v>BOSNIA HERZEGOVINA</v>
      </c>
      <c r="C120" s="5" t="str">
        <f>IFERROR(__xludf.DUMMYFUNCTION("""COMPUTED_VALUE"""),"NORMAL")</f>
        <v>NORMAL</v>
      </c>
      <c r="D120" s="5" t="str">
        <f>IFERROR(__xludf.DUMMYFUNCTION("""COMPUTED_VALUE"""),"ARMIN GIGOVIC")</f>
        <v>ARMIN GIGOVIC</v>
      </c>
      <c r="E120" s="5">
        <f>IFERROR(__xludf.DUMMYFUNCTION("""COMPUTED_VALUE"""),0.0)</f>
        <v>0</v>
      </c>
      <c r="F120" s="5">
        <f>IFERROR(__xludf.DUMMYFUNCTION("""COMPUTED_VALUE"""),0.0)</f>
        <v>0</v>
      </c>
    </row>
    <row r="121">
      <c r="A121" s="5" t="str">
        <f>IFERROR(__xludf.DUMMYFUNCTION("""COMPUTED_VALUE"""),"BIH11")</f>
        <v>BIH11</v>
      </c>
      <c r="B121" s="5" t="str">
        <f>IFERROR(__xludf.DUMMYFUNCTION("""COMPUTED_VALUE"""),"BOSNIA HERZEGOVINA")</f>
        <v>BOSNIA HERZEGOVINA</v>
      </c>
      <c r="C121" s="5" t="str">
        <f>IFERROR(__xludf.DUMMYFUNCTION("""COMPUTED_VALUE"""),"NORMAL")</f>
        <v>NORMAL</v>
      </c>
      <c r="D121" s="5" t="str">
        <f>IFERROR(__xludf.DUMMYFUNCTION("""COMPUTED_VALUE"""),"IVAN SUNJIC")</f>
        <v>IVAN SUNJIC</v>
      </c>
      <c r="E121" s="5">
        <f>IFERROR(__xludf.DUMMYFUNCTION("""COMPUTED_VALUE"""),0.0)</f>
        <v>0</v>
      </c>
      <c r="F121" s="5">
        <f>IFERROR(__xludf.DUMMYFUNCTION("""COMPUTED_VALUE"""),0.0)</f>
        <v>0</v>
      </c>
    </row>
    <row r="122">
      <c r="A122" s="5" t="str">
        <f>IFERROR(__xludf.DUMMYFUNCTION("""COMPUTED_VALUE"""),"BIH12")</f>
        <v>BIH12</v>
      </c>
      <c r="B122" s="5" t="str">
        <f>IFERROR(__xludf.DUMMYFUNCTION("""COMPUTED_VALUE"""),"BOSNIA HERZEGOVINA")</f>
        <v>BOSNIA HERZEGOVINA</v>
      </c>
      <c r="C122" s="5" t="str">
        <f>IFERROR(__xludf.DUMMYFUNCTION("""COMPUTED_VALUE"""),"NORMAL")</f>
        <v>NORMAL</v>
      </c>
      <c r="D122" s="5" t="str">
        <f>IFERROR(__xludf.DUMMYFUNCTION("""COMPUTED_VALUE"""),"IVAN BASIC")</f>
        <v>IVAN BASIC</v>
      </c>
      <c r="E122" s="5">
        <f>IFERROR(__xludf.DUMMYFUNCTION("""COMPUTED_VALUE"""),0.0)</f>
        <v>0</v>
      </c>
      <c r="F122" s="5">
        <f>IFERROR(__xludf.DUMMYFUNCTION("""COMPUTED_VALUE"""),0.0)</f>
        <v>0</v>
      </c>
    </row>
    <row r="123">
      <c r="A123" s="5" t="str">
        <f>IFERROR(__xludf.DUMMYFUNCTION("""COMPUTED_VALUE"""),"BIH13")</f>
        <v>BIH13</v>
      </c>
      <c r="B123" s="5" t="str">
        <f>IFERROR(__xludf.DUMMYFUNCTION("""COMPUTED_VALUE"""),"BOSNIA HERZEGOVINA")</f>
        <v>BOSNIA HERZEGOVINA</v>
      </c>
      <c r="C123" s="5" t="str">
        <f>IFERROR(__xludf.DUMMYFUNCTION("""COMPUTED_VALUE"""),"TEAM")</f>
        <v>TEAM</v>
      </c>
      <c r="D123" s="5" t="str">
        <f>IFERROR(__xludf.DUMMYFUNCTION("""COMPUTED_VALUE"""),"BOSNIA HERZEGOVINA NATIONAL TEAM")</f>
        <v>BOSNIA HERZEGOVINA NATIONAL TEAM</v>
      </c>
      <c r="E123" s="5">
        <f>IFERROR(__xludf.DUMMYFUNCTION("""COMPUTED_VALUE"""),0.0)</f>
        <v>0</v>
      </c>
      <c r="F123" s="5">
        <f>IFERROR(__xludf.DUMMYFUNCTION("""COMPUTED_VALUE"""),0.0)</f>
        <v>0</v>
      </c>
    </row>
    <row r="124">
      <c r="A124" s="5" t="str">
        <f>IFERROR(__xludf.DUMMYFUNCTION("""COMPUTED_VALUE"""),"BIH14")</f>
        <v>BIH14</v>
      </c>
      <c r="B124" s="5" t="str">
        <f>IFERROR(__xludf.DUMMYFUNCTION("""COMPUTED_VALUE"""),"BOSNIA HERZEGOVINA")</f>
        <v>BOSNIA HERZEGOVINA</v>
      </c>
      <c r="C124" s="5" t="str">
        <f>IFERROR(__xludf.DUMMYFUNCTION("""COMPUTED_VALUE"""),"NORMAL")</f>
        <v>NORMAL</v>
      </c>
      <c r="D124" s="5" t="str">
        <f>IFERROR(__xludf.DUMMYFUNCTION("""COMPUTED_VALUE"""),"DZENIS BURNIC")</f>
        <v>DZENIS BURNIC</v>
      </c>
      <c r="E124" s="5">
        <f>IFERROR(__xludf.DUMMYFUNCTION("""COMPUTED_VALUE"""),0.0)</f>
        <v>0</v>
      </c>
      <c r="F124" s="5">
        <f>IFERROR(__xludf.DUMMYFUNCTION("""COMPUTED_VALUE"""),0.0)</f>
        <v>0</v>
      </c>
    </row>
    <row r="125">
      <c r="A125" s="5" t="str">
        <f>IFERROR(__xludf.DUMMYFUNCTION("""COMPUTED_VALUE"""),"BIH15")</f>
        <v>BIH15</v>
      </c>
      <c r="B125" s="5" t="str">
        <f>IFERROR(__xludf.DUMMYFUNCTION("""COMPUTED_VALUE"""),"BOSNIA HERZEGOVINA")</f>
        <v>BOSNIA HERZEGOVINA</v>
      </c>
      <c r="C125" s="5" t="str">
        <f>IFERROR(__xludf.DUMMYFUNCTION("""COMPUTED_VALUE"""),"NORMAL")</f>
        <v>NORMAL</v>
      </c>
      <c r="D125" s="5" t="str">
        <f>IFERROR(__xludf.DUMMYFUNCTION("""COMPUTED_VALUE"""),"ESMIR BAJRAKTAREVIC")</f>
        <v>ESMIR BAJRAKTAREVIC</v>
      </c>
      <c r="E125" s="5">
        <f>IFERROR(__xludf.DUMMYFUNCTION("""COMPUTED_VALUE"""),0.0)</f>
        <v>0</v>
      </c>
      <c r="F125" s="5">
        <f>IFERROR(__xludf.DUMMYFUNCTION("""COMPUTED_VALUE"""),0.0)</f>
        <v>0</v>
      </c>
    </row>
    <row r="126">
      <c r="A126" s="5" t="str">
        <f>IFERROR(__xludf.DUMMYFUNCTION("""COMPUTED_VALUE"""),"BIH16")</f>
        <v>BIH16</v>
      </c>
      <c r="B126" s="5" t="str">
        <f>IFERROR(__xludf.DUMMYFUNCTION("""COMPUTED_VALUE"""),"BOSNIA HERZEGOVINA")</f>
        <v>BOSNIA HERZEGOVINA</v>
      </c>
      <c r="C126" s="5" t="str">
        <f>IFERROR(__xludf.DUMMYFUNCTION("""COMPUTED_VALUE"""),"NORMAL")</f>
        <v>NORMAL</v>
      </c>
      <c r="D126" s="5" t="str">
        <f>IFERROR(__xludf.DUMMYFUNCTION("""COMPUTED_VALUE"""),"AMAR MEMIC")</f>
        <v>AMAR MEMIC</v>
      </c>
      <c r="E126" s="5">
        <f>IFERROR(__xludf.DUMMYFUNCTION("""COMPUTED_VALUE"""),0.0)</f>
        <v>0</v>
      </c>
      <c r="F126" s="5">
        <f>IFERROR(__xludf.DUMMYFUNCTION("""COMPUTED_VALUE"""),0.0)</f>
        <v>0</v>
      </c>
    </row>
    <row r="127">
      <c r="A127" s="5" t="str">
        <f>IFERROR(__xludf.DUMMYFUNCTION("""COMPUTED_VALUE"""),"BIH17")</f>
        <v>BIH17</v>
      </c>
      <c r="B127" s="5" t="str">
        <f>IFERROR(__xludf.DUMMYFUNCTION("""COMPUTED_VALUE"""),"BOSNIA HERZEGOVINA")</f>
        <v>BOSNIA HERZEGOVINA</v>
      </c>
      <c r="C127" s="5" t="str">
        <f>IFERROR(__xludf.DUMMYFUNCTION("""COMPUTED_VALUE"""),"NORMAL")</f>
        <v>NORMAL</v>
      </c>
      <c r="D127" s="5" t="str">
        <f>IFERROR(__xludf.DUMMYFUNCTION("""COMPUTED_VALUE"""),"ERMEDIN DEMIROVIC")</f>
        <v>ERMEDIN DEMIROVIC</v>
      </c>
      <c r="E127" s="5">
        <f>IFERROR(__xludf.DUMMYFUNCTION("""COMPUTED_VALUE"""),0.0)</f>
        <v>0</v>
      </c>
      <c r="F127" s="5">
        <f>IFERROR(__xludf.DUMMYFUNCTION("""COMPUTED_VALUE"""),0.0)</f>
        <v>0</v>
      </c>
    </row>
    <row r="128">
      <c r="A128" s="5" t="str">
        <f>IFERROR(__xludf.DUMMYFUNCTION("""COMPUTED_VALUE"""),"BIH18")</f>
        <v>BIH18</v>
      </c>
      <c r="B128" s="5" t="str">
        <f>IFERROR(__xludf.DUMMYFUNCTION("""COMPUTED_VALUE"""),"BOSNIA HERZEGOVINA")</f>
        <v>BOSNIA HERZEGOVINA</v>
      </c>
      <c r="C128" s="5" t="str">
        <f>IFERROR(__xludf.DUMMYFUNCTION("""COMPUTED_VALUE"""),"NORMAL")</f>
        <v>NORMAL</v>
      </c>
      <c r="D128" s="5" t="str">
        <f>IFERROR(__xludf.DUMMYFUNCTION("""COMPUTED_VALUE"""),"EDIN DZEKO")</f>
        <v>EDIN DZEKO</v>
      </c>
      <c r="E128" s="5">
        <f>IFERROR(__xludf.DUMMYFUNCTION("""COMPUTED_VALUE"""),0.0)</f>
        <v>0</v>
      </c>
      <c r="F128" s="5">
        <f>IFERROR(__xludf.DUMMYFUNCTION("""COMPUTED_VALUE"""),0.0)</f>
        <v>0</v>
      </c>
    </row>
    <row r="129">
      <c r="A129" s="5" t="str">
        <f>IFERROR(__xludf.DUMMYFUNCTION("""COMPUTED_VALUE"""),"BIH19")</f>
        <v>BIH19</v>
      </c>
      <c r="B129" s="5" t="str">
        <f>IFERROR(__xludf.DUMMYFUNCTION("""COMPUTED_VALUE"""),"BOSNIA HERZEGOVINA")</f>
        <v>BOSNIA HERZEGOVINA</v>
      </c>
      <c r="C129" s="5" t="str">
        <f>IFERROR(__xludf.DUMMYFUNCTION("""COMPUTED_VALUE"""),"NORMAL")</f>
        <v>NORMAL</v>
      </c>
      <c r="D129" s="5" t="str">
        <f>IFERROR(__xludf.DUMMYFUNCTION("""COMPUTED_VALUE"""),"SAMED BAZDAR")</f>
        <v>SAMED BAZDAR</v>
      </c>
      <c r="E129" s="5">
        <f>IFERROR(__xludf.DUMMYFUNCTION("""COMPUTED_VALUE"""),0.0)</f>
        <v>0</v>
      </c>
      <c r="F129" s="5">
        <f>IFERROR(__xludf.DUMMYFUNCTION("""COMPUTED_VALUE"""),0.0)</f>
        <v>0</v>
      </c>
    </row>
    <row r="130">
      <c r="A130" s="5" t="str">
        <f>IFERROR(__xludf.DUMMYFUNCTION("""COMPUTED_VALUE"""),"BIH20")</f>
        <v>BIH20</v>
      </c>
      <c r="B130" s="5" t="str">
        <f>IFERROR(__xludf.DUMMYFUNCTION("""COMPUTED_VALUE"""),"BOSNIA HERZEGOVINA")</f>
        <v>BOSNIA HERZEGOVINA</v>
      </c>
      <c r="C130" s="5" t="str">
        <f>IFERROR(__xludf.DUMMYFUNCTION("""COMPUTED_VALUE"""),"NORMAL")</f>
        <v>NORMAL</v>
      </c>
      <c r="D130" s="5" t="str">
        <f>IFERROR(__xludf.DUMMYFUNCTION("""COMPUTED_VALUE"""),"HARIS TABAKOVIC")</f>
        <v>HARIS TABAKOVIC</v>
      </c>
      <c r="E130" s="5">
        <f>IFERROR(__xludf.DUMMYFUNCTION("""COMPUTED_VALUE"""),0.0)</f>
        <v>0</v>
      </c>
      <c r="F130" s="5">
        <f>IFERROR(__xludf.DUMMYFUNCTION("""COMPUTED_VALUE"""),0.0)</f>
        <v>0</v>
      </c>
    </row>
    <row r="131">
      <c r="A131" s="5" t="str">
        <f>IFERROR(__xludf.DUMMYFUNCTION("""COMPUTED_VALUE"""),"QAT01")</f>
        <v>QAT01</v>
      </c>
      <c r="B131" s="5" t="str">
        <f>IFERROR(__xludf.DUMMYFUNCTION("""COMPUTED_VALUE"""),"QATAR")</f>
        <v>QATAR</v>
      </c>
      <c r="C131" s="5" t="str">
        <f>IFERROR(__xludf.DUMMYFUNCTION("""COMPUTED_VALUE"""),"BADGE")</f>
        <v>BADGE</v>
      </c>
      <c r="D131" s="5" t="str">
        <f>IFERROR(__xludf.DUMMYFUNCTION("""COMPUTED_VALUE"""),"QATAR NATIONAL TEAM")</f>
        <v>QATAR NATIONAL TEAM</v>
      </c>
      <c r="E131" s="5">
        <f>IFERROR(__xludf.DUMMYFUNCTION("""COMPUTED_VALUE"""),0.0)</f>
        <v>0</v>
      </c>
      <c r="F131" s="5">
        <f>IFERROR(__xludf.DUMMYFUNCTION("""COMPUTED_VALUE"""),0.0)</f>
        <v>0</v>
      </c>
    </row>
    <row r="132">
      <c r="A132" s="5" t="str">
        <f>IFERROR(__xludf.DUMMYFUNCTION("""COMPUTED_VALUE"""),"QAT02")</f>
        <v>QAT02</v>
      </c>
      <c r="B132" s="5" t="str">
        <f>IFERROR(__xludf.DUMMYFUNCTION("""COMPUTED_VALUE"""),"QATAR")</f>
        <v>QATAR</v>
      </c>
      <c r="C132" s="5" t="str">
        <f>IFERROR(__xludf.DUMMYFUNCTION("""COMPUTED_VALUE"""),"NORMAL")</f>
        <v>NORMAL</v>
      </c>
      <c r="D132" s="5" t="str">
        <f>IFERROR(__xludf.DUMMYFUNCTION("""COMPUTED_VALUE"""),"MESHAAL BARSHAM")</f>
        <v>MESHAAL BARSHAM</v>
      </c>
      <c r="E132" s="5">
        <f>IFERROR(__xludf.DUMMYFUNCTION("""COMPUTED_VALUE"""),0.0)</f>
        <v>0</v>
      </c>
      <c r="F132" s="5">
        <f>IFERROR(__xludf.DUMMYFUNCTION("""COMPUTED_VALUE"""),0.0)</f>
        <v>0</v>
      </c>
    </row>
    <row r="133">
      <c r="A133" s="5" t="str">
        <f>IFERROR(__xludf.DUMMYFUNCTION("""COMPUTED_VALUE"""),"QAT03")</f>
        <v>QAT03</v>
      </c>
      <c r="B133" s="5" t="str">
        <f>IFERROR(__xludf.DUMMYFUNCTION("""COMPUTED_VALUE"""),"QATAR")</f>
        <v>QATAR</v>
      </c>
      <c r="C133" s="5" t="str">
        <f>IFERROR(__xludf.DUMMYFUNCTION("""COMPUTED_VALUE"""),"NORMAL")</f>
        <v>NORMAL</v>
      </c>
      <c r="D133" s="5" t="str">
        <f>IFERROR(__xludf.DUMMYFUNCTION("""COMPUTED_VALUE"""),"SULTAN ALBRAKE")</f>
        <v>SULTAN ALBRAKE</v>
      </c>
      <c r="E133" s="5">
        <f>IFERROR(__xludf.DUMMYFUNCTION("""COMPUTED_VALUE"""),0.0)</f>
        <v>0</v>
      </c>
      <c r="F133" s="5">
        <f>IFERROR(__xludf.DUMMYFUNCTION("""COMPUTED_VALUE"""),0.0)</f>
        <v>0</v>
      </c>
    </row>
    <row r="134">
      <c r="A134" s="5" t="str">
        <f>IFERROR(__xludf.DUMMYFUNCTION("""COMPUTED_VALUE"""),"QAT04")</f>
        <v>QAT04</v>
      </c>
      <c r="B134" s="5" t="str">
        <f>IFERROR(__xludf.DUMMYFUNCTION("""COMPUTED_VALUE"""),"QATAR")</f>
        <v>QATAR</v>
      </c>
      <c r="C134" s="5" t="str">
        <f>IFERROR(__xludf.DUMMYFUNCTION("""COMPUTED_VALUE"""),"NORMAL")</f>
        <v>NORMAL</v>
      </c>
      <c r="D134" s="5" t="str">
        <f>IFERROR(__xludf.DUMMYFUNCTION("""COMPUTED_VALUE"""),"LUCAS MENDES")</f>
        <v>LUCAS MENDES</v>
      </c>
      <c r="E134" s="5">
        <f>IFERROR(__xludf.DUMMYFUNCTION("""COMPUTED_VALUE"""),0.0)</f>
        <v>0</v>
      </c>
      <c r="F134" s="5">
        <f>IFERROR(__xludf.DUMMYFUNCTION("""COMPUTED_VALUE"""),0.0)</f>
        <v>0</v>
      </c>
    </row>
    <row r="135">
      <c r="A135" s="5" t="str">
        <f>IFERROR(__xludf.DUMMYFUNCTION("""COMPUTED_VALUE"""),"QAT05")</f>
        <v>QAT05</v>
      </c>
      <c r="B135" s="5" t="str">
        <f>IFERROR(__xludf.DUMMYFUNCTION("""COMPUTED_VALUE"""),"QATAR")</f>
        <v>QATAR</v>
      </c>
      <c r="C135" s="5" t="str">
        <f>IFERROR(__xludf.DUMMYFUNCTION("""COMPUTED_VALUE"""),"NORMAL")</f>
        <v>NORMAL</v>
      </c>
      <c r="D135" s="5" t="str">
        <f>IFERROR(__xludf.DUMMYFUNCTION("""COMPUTED_VALUE"""),"HOMAM AHMED")</f>
        <v>HOMAM AHMED</v>
      </c>
      <c r="E135" s="5">
        <f>IFERROR(__xludf.DUMMYFUNCTION("""COMPUTED_VALUE"""),0.0)</f>
        <v>0</v>
      </c>
      <c r="F135" s="5">
        <f>IFERROR(__xludf.DUMMYFUNCTION("""COMPUTED_VALUE"""),0.0)</f>
        <v>0</v>
      </c>
    </row>
    <row r="136">
      <c r="A136" s="5" t="str">
        <f>IFERROR(__xludf.DUMMYFUNCTION("""COMPUTED_VALUE"""),"QAT06")</f>
        <v>QAT06</v>
      </c>
      <c r="B136" s="5" t="str">
        <f>IFERROR(__xludf.DUMMYFUNCTION("""COMPUTED_VALUE"""),"QATAR")</f>
        <v>QATAR</v>
      </c>
      <c r="C136" s="5" t="str">
        <f>IFERROR(__xludf.DUMMYFUNCTION("""COMPUTED_VALUE"""),"NORMAL")</f>
        <v>NORMAL</v>
      </c>
      <c r="D136" s="5" t="str">
        <f>IFERROR(__xludf.DUMMYFUNCTION("""COMPUTED_VALUE"""),"BOUALEM KHOUKHI")</f>
        <v>BOUALEM KHOUKHI</v>
      </c>
      <c r="E136" s="5">
        <f>IFERROR(__xludf.DUMMYFUNCTION("""COMPUTED_VALUE"""),0.0)</f>
        <v>0</v>
      </c>
      <c r="F136" s="5">
        <f>IFERROR(__xludf.DUMMYFUNCTION("""COMPUTED_VALUE"""),0.0)</f>
        <v>0</v>
      </c>
    </row>
    <row r="137">
      <c r="A137" s="5" t="str">
        <f>IFERROR(__xludf.DUMMYFUNCTION("""COMPUTED_VALUE"""),"QAT07")</f>
        <v>QAT07</v>
      </c>
      <c r="B137" s="5" t="str">
        <f>IFERROR(__xludf.DUMMYFUNCTION("""COMPUTED_VALUE"""),"QATAR")</f>
        <v>QATAR</v>
      </c>
      <c r="C137" s="5" t="str">
        <f>IFERROR(__xludf.DUMMYFUNCTION("""COMPUTED_VALUE"""),"NORMAL")</f>
        <v>NORMAL</v>
      </c>
      <c r="D137" s="5" t="str">
        <f>IFERROR(__xludf.DUMMYFUNCTION("""COMPUTED_VALUE"""),"PEDRO MIGUEL")</f>
        <v>PEDRO MIGUEL</v>
      </c>
      <c r="E137" s="5">
        <f>IFERROR(__xludf.DUMMYFUNCTION("""COMPUTED_VALUE"""),0.0)</f>
        <v>0</v>
      </c>
      <c r="F137" s="5">
        <f>IFERROR(__xludf.DUMMYFUNCTION("""COMPUTED_VALUE"""),0.0)</f>
        <v>0</v>
      </c>
    </row>
    <row r="138">
      <c r="A138" s="5" t="str">
        <f>IFERROR(__xludf.DUMMYFUNCTION("""COMPUTED_VALUE"""),"QAT08")</f>
        <v>QAT08</v>
      </c>
      <c r="B138" s="5" t="str">
        <f>IFERROR(__xludf.DUMMYFUNCTION("""COMPUTED_VALUE"""),"QATAR")</f>
        <v>QATAR</v>
      </c>
      <c r="C138" s="5" t="str">
        <f>IFERROR(__xludf.DUMMYFUNCTION("""COMPUTED_VALUE"""),"NORMAL")</f>
        <v>NORMAL</v>
      </c>
      <c r="D138" s="5" t="str">
        <f>IFERROR(__xludf.DUMMYFUNCTION("""COMPUTED_VALUE"""),"TAREK SALMAN")</f>
        <v>TAREK SALMAN</v>
      </c>
      <c r="E138" s="5">
        <f>IFERROR(__xludf.DUMMYFUNCTION("""COMPUTED_VALUE"""),0.0)</f>
        <v>0</v>
      </c>
      <c r="F138" s="5">
        <f>IFERROR(__xludf.DUMMYFUNCTION("""COMPUTED_VALUE"""),0.0)</f>
        <v>0</v>
      </c>
    </row>
    <row r="139">
      <c r="A139" s="5" t="str">
        <f>IFERROR(__xludf.DUMMYFUNCTION("""COMPUTED_VALUE"""),"QAT09")</f>
        <v>QAT09</v>
      </c>
      <c r="B139" s="5" t="str">
        <f>IFERROR(__xludf.DUMMYFUNCTION("""COMPUTED_VALUE"""),"QATAR")</f>
        <v>QATAR</v>
      </c>
      <c r="C139" s="5" t="str">
        <f>IFERROR(__xludf.DUMMYFUNCTION("""COMPUTED_VALUE"""),"NORMAL")</f>
        <v>NORMAL</v>
      </c>
      <c r="D139" s="5" t="str">
        <f>IFERROR(__xludf.DUMMYFUNCTION("""COMPUTED_VALUE"""),"MOHAMMED MANNAI")</f>
        <v>MOHAMMED MANNAI</v>
      </c>
      <c r="E139" s="5">
        <f>IFERROR(__xludf.DUMMYFUNCTION("""COMPUTED_VALUE"""),0.0)</f>
        <v>0</v>
      </c>
      <c r="F139" s="5">
        <f>IFERROR(__xludf.DUMMYFUNCTION("""COMPUTED_VALUE"""),0.0)</f>
        <v>0</v>
      </c>
    </row>
    <row r="140">
      <c r="A140" s="5" t="str">
        <f>IFERROR(__xludf.DUMMYFUNCTION("""COMPUTED_VALUE"""),"QAT10")</f>
        <v>QAT10</v>
      </c>
      <c r="B140" s="5" t="str">
        <f>IFERROR(__xludf.DUMMYFUNCTION("""COMPUTED_VALUE"""),"QATAR")</f>
        <v>QATAR</v>
      </c>
      <c r="C140" s="5" t="str">
        <f>IFERROR(__xludf.DUMMYFUNCTION("""COMPUTED_VALUE"""),"NORMAL")</f>
        <v>NORMAL</v>
      </c>
      <c r="D140" s="5" t="str">
        <f>IFERROR(__xludf.DUMMYFUNCTION("""COMPUTED_VALUE"""),"KARIM BOUDIAF")</f>
        <v>KARIM BOUDIAF</v>
      </c>
      <c r="E140" s="5">
        <f>IFERROR(__xludf.DUMMYFUNCTION("""COMPUTED_VALUE"""),0.0)</f>
        <v>0</v>
      </c>
      <c r="F140" s="5">
        <f>IFERROR(__xludf.DUMMYFUNCTION("""COMPUTED_VALUE"""),0.0)</f>
        <v>0</v>
      </c>
    </row>
    <row r="141">
      <c r="A141" s="5" t="str">
        <f>IFERROR(__xludf.DUMMYFUNCTION("""COMPUTED_VALUE"""),"QAT11")</f>
        <v>QAT11</v>
      </c>
      <c r="B141" s="5" t="str">
        <f>IFERROR(__xludf.DUMMYFUNCTION("""COMPUTED_VALUE"""),"QATAR")</f>
        <v>QATAR</v>
      </c>
      <c r="C141" s="5" t="str">
        <f>IFERROR(__xludf.DUMMYFUNCTION("""COMPUTED_VALUE"""),"NORMAL")</f>
        <v>NORMAL</v>
      </c>
      <c r="D141" s="5" t="str">
        <f>IFERROR(__xludf.DUMMYFUNCTION("""COMPUTED_VALUE"""),"ASSIM MADIBO")</f>
        <v>ASSIM MADIBO</v>
      </c>
      <c r="E141" s="5">
        <f>IFERROR(__xludf.DUMMYFUNCTION("""COMPUTED_VALUE"""),0.0)</f>
        <v>0</v>
      </c>
      <c r="F141" s="5">
        <f>IFERROR(__xludf.DUMMYFUNCTION("""COMPUTED_VALUE"""),0.0)</f>
        <v>0</v>
      </c>
    </row>
    <row r="142">
      <c r="A142" s="5" t="str">
        <f>IFERROR(__xludf.DUMMYFUNCTION("""COMPUTED_VALUE"""),"QAT12")</f>
        <v>QAT12</v>
      </c>
      <c r="B142" s="5" t="str">
        <f>IFERROR(__xludf.DUMMYFUNCTION("""COMPUTED_VALUE"""),"QATAR")</f>
        <v>QATAR</v>
      </c>
      <c r="C142" s="5" t="str">
        <f>IFERROR(__xludf.DUMMYFUNCTION("""COMPUTED_VALUE"""),"NORMAL")</f>
        <v>NORMAL</v>
      </c>
      <c r="D142" s="5" t="str">
        <f>IFERROR(__xludf.DUMMYFUNCTION("""COMPUTED_VALUE"""),"HAMED FATEHI")</f>
        <v>HAMED FATEHI</v>
      </c>
      <c r="E142" s="5">
        <f>IFERROR(__xludf.DUMMYFUNCTION("""COMPUTED_VALUE"""),0.0)</f>
        <v>0</v>
      </c>
      <c r="F142" s="5">
        <f>IFERROR(__xludf.DUMMYFUNCTION("""COMPUTED_VALUE"""),0.0)</f>
        <v>0</v>
      </c>
    </row>
    <row r="143">
      <c r="A143" s="5" t="str">
        <f>IFERROR(__xludf.DUMMYFUNCTION("""COMPUTED_VALUE"""),"QAT13")</f>
        <v>QAT13</v>
      </c>
      <c r="B143" s="5" t="str">
        <f>IFERROR(__xludf.DUMMYFUNCTION("""COMPUTED_VALUE"""),"QATAR")</f>
        <v>QATAR</v>
      </c>
      <c r="C143" s="5" t="str">
        <f>IFERROR(__xludf.DUMMYFUNCTION("""COMPUTED_VALUE"""),"TEAM")</f>
        <v>TEAM</v>
      </c>
      <c r="D143" s="5" t="str">
        <f>IFERROR(__xludf.DUMMYFUNCTION("""COMPUTED_VALUE"""),"QATAR NATIONAL TEAM")</f>
        <v>QATAR NATIONAL TEAM</v>
      </c>
      <c r="E143" s="5">
        <f>IFERROR(__xludf.DUMMYFUNCTION("""COMPUTED_VALUE"""),0.0)</f>
        <v>0</v>
      </c>
      <c r="F143" s="5">
        <f>IFERROR(__xludf.DUMMYFUNCTION("""COMPUTED_VALUE"""),0.0)</f>
        <v>0</v>
      </c>
    </row>
    <row r="144">
      <c r="A144" s="5" t="str">
        <f>IFERROR(__xludf.DUMMYFUNCTION("""COMPUTED_VALUE"""),"QAT14")</f>
        <v>QAT14</v>
      </c>
      <c r="B144" s="5" t="str">
        <f>IFERROR(__xludf.DUMMYFUNCTION("""COMPUTED_VALUE"""),"QATAR")</f>
        <v>QATAR</v>
      </c>
      <c r="C144" s="5" t="str">
        <f>IFERROR(__xludf.DUMMYFUNCTION("""COMPUTED_VALUE"""),"NORMAL")</f>
        <v>NORMAL</v>
      </c>
      <c r="D144" s="5" t="str">
        <f>IFERROR(__xludf.DUMMYFUNCTION("""COMPUTED_VALUE"""),"MOHAMMED WAAD")</f>
        <v>MOHAMMED WAAD</v>
      </c>
      <c r="E144" s="5">
        <f>IFERROR(__xludf.DUMMYFUNCTION("""COMPUTED_VALUE"""),0.0)</f>
        <v>0</v>
      </c>
      <c r="F144" s="5">
        <f>IFERROR(__xludf.DUMMYFUNCTION("""COMPUTED_VALUE"""),0.0)</f>
        <v>0</v>
      </c>
    </row>
    <row r="145">
      <c r="A145" s="5" t="str">
        <f>IFERROR(__xludf.DUMMYFUNCTION("""COMPUTED_VALUE"""),"QAT15")</f>
        <v>QAT15</v>
      </c>
      <c r="B145" s="5" t="str">
        <f>IFERROR(__xludf.DUMMYFUNCTION("""COMPUTED_VALUE"""),"QATAR")</f>
        <v>QATAR</v>
      </c>
      <c r="C145" s="5" t="str">
        <f>IFERROR(__xludf.DUMMYFUNCTION("""COMPUTED_VALUE"""),"NORMAL")</f>
        <v>NORMAL</v>
      </c>
      <c r="D145" s="5" t="str">
        <f>IFERROR(__xludf.DUMMYFUNCTION("""COMPUTED_VALUE"""),"ABDULAZIZ HATEM")</f>
        <v>ABDULAZIZ HATEM</v>
      </c>
      <c r="E145" s="5">
        <f>IFERROR(__xludf.DUMMYFUNCTION("""COMPUTED_VALUE"""),0.0)</f>
        <v>0</v>
      </c>
      <c r="F145" s="5">
        <f>IFERROR(__xludf.DUMMYFUNCTION("""COMPUTED_VALUE"""),0.0)</f>
        <v>0</v>
      </c>
    </row>
    <row r="146">
      <c r="A146" s="5" t="str">
        <f>IFERROR(__xludf.DUMMYFUNCTION("""COMPUTED_VALUE"""),"QAT16")</f>
        <v>QAT16</v>
      </c>
      <c r="B146" s="5" t="str">
        <f>IFERROR(__xludf.DUMMYFUNCTION("""COMPUTED_VALUE"""),"QATAR")</f>
        <v>QATAR</v>
      </c>
      <c r="C146" s="5" t="str">
        <f>IFERROR(__xludf.DUMMYFUNCTION("""COMPUTED_VALUE"""),"NORMAL")</f>
        <v>NORMAL</v>
      </c>
      <c r="D146" s="5" t="str">
        <f>IFERROR(__xludf.DUMMYFUNCTION("""COMPUTED_VALUE"""),"HASSAN AL-HAVDOS")</f>
        <v>HASSAN AL-HAVDOS</v>
      </c>
      <c r="E146" s="5">
        <f>IFERROR(__xludf.DUMMYFUNCTION("""COMPUTED_VALUE"""),0.0)</f>
        <v>0</v>
      </c>
      <c r="F146" s="5">
        <f>IFERROR(__xludf.DUMMYFUNCTION("""COMPUTED_VALUE"""),0.0)</f>
        <v>0</v>
      </c>
    </row>
    <row r="147">
      <c r="A147" s="5" t="str">
        <f>IFERROR(__xludf.DUMMYFUNCTION("""COMPUTED_VALUE"""),"QAT17")</f>
        <v>QAT17</v>
      </c>
      <c r="B147" s="5" t="str">
        <f>IFERROR(__xludf.DUMMYFUNCTION("""COMPUTED_VALUE"""),"QATAR")</f>
        <v>QATAR</v>
      </c>
      <c r="C147" s="5" t="str">
        <f>IFERROR(__xludf.DUMMYFUNCTION("""COMPUTED_VALUE"""),"NORMAL")</f>
        <v>NORMAL</v>
      </c>
      <c r="D147" s="5" t="str">
        <f>IFERROR(__xludf.DUMMYFUNCTION("""COMPUTED_VALUE"""),"EDMILSON JUNIOR")</f>
        <v>EDMILSON JUNIOR</v>
      </c>
      <c r="E147" s="5">
        <f>IFERROR(__xludf.DUMMYFUNCTION("""COMPUTED_VALUE"""),0.0)</f>
        <v>0</v>
      </c>
      <c r="F147" s="5">
        <f>IFERROR(__xludf.DUMMYFUNCTION("""COMPUTED_VALUE"""),0.0)</f>
        <v>0</v>
      </c>
    </row>
    <row r="148">
      <c r="A148" s="5" t="str">
        <f>IFERROR(__xludf.DUMMYFUNCTION("""COMPUTED_VALUE"""),"QAT18")</f>
        <v>QAT18</v>
      </c>
      <c r="B148" s="5" t="str">
        <f>IFERROR(__xludf.DUMMYFUNCTION("""COMPUTED_VALUE"""),"QATAR")</f>
        <v>QATAR</v>
      </c>
      <c r="C148" s="5" t="str">
        <f>IFERROR(__xludf.DUMMYFUNCTION("""COMPUTED_VALUE"""),"NORMAL")</f>
        <v>NORMAL</v>
      </c>
      <c r="D148" s="5" t="str">
        <f>IFERROR(__xludf.DUMMYFUNCTION("""COMPUTED_VALUE"""),"AKRAM HASSAN AFIF")</f>
        <v>AKRAM HASSAN AFIF</v>
      </c>
      <c r="E148" s="5">
        <f>IFERROR(__xludf.DUMMYFUNCTION("""COMPUTED_VALUE"""),0.0)</f>
        <v>0</v>
      </c>
      <c r="F148" s="5">
        <f>IFERROR(__xludf.DUMMYFUNCTION("""COMPUTED_VALUE"""),0.0)</f>
        <v>0</v>
      </c>
    </row>
    <row r="149">
      <c r="A149" s="5" t="str">
        <f>IFERROR(__xludf.DUMMYFUNCTION("""COMPUTED_VALUE"""),"QAT19")</f>
        <v>QAT19</v>
      </c>
      <c r="B149" s="5" t="str">
        <f>IFERROR(__xludf.DUMMYFUNCTION("""COMPUTED_VALUE"""),"QATAR")</f>
        <v>QATAR</v>
      </c>
      <c r="C149" s="5" t="str">
        <f>IFERROR(__xludf.DUMMYFUNCTION("""COMPUTED_VALUE"""),"NORMAL")</f>
        <v>NORMAL</v>
      </c>
      <c r="D149" s="5" t="str">
        <f>IFERROR(__xludf.DUMMYFUNCTION("""COMPUTED_VALUE"""),"AHMED AL-GANEHI")</f>
        <v>AHMED AL-GANEHI</v>
      </c>
      <c r="E149" s="5">
        <f>IFERROR(__xludf.DUMMYFUNCTION("""COMPUTED_VALUE"""),0.0)</f>
        <v>0</v>
      </c>
      <c r="F149" s="5">
        <f>IFERROR(__xludf.DUMMYFUNCTION("""COMPUTED_VALUE"""),0.0)</f>
        <v>0</v>
      </c>
    </row>
    <row r="150">
      <c r="A150" s="5" t="str">
        <f>IFERROR(__xludf.DUMMYFUNCTION("""COMPUTED_VALUE"""),"QAT20")</f>
        <v>QAT20</v>
      </c>
      <c r="B150" s="5" t="str">
        <f>IFERROR(__xludf.DUMMYFUNCTION("""COMPUTED_VALUE"""),"QATAR")</f>
        <v>QATAR</v>
      </c>
      <c r="C150" s="5" t="str">
        <f>IFERROR(__xludf.DUMMYFUNCTION("""COMPUTED_VALUE"""),"NORMAL")</f>
        <v>NORMAL</v>
      </c>
      <c r="D150" s="5" t="str">
        <f>IFERROR(__xludf.DUMMYFUNCTION("""COMPUTED_VALUE"""),"ALMOEZ ALI")</f>
        <v>ALMOEZ ALI</v>
      </c>
      <c r="E150" s="5">
        <f>IFERROR(__xludf.DUMMYFUNCTION("""COMPUTED_VALUE"""),0.0)</f>
        <v>0</v>
      </c>
      <c r="F150" s="5">
        <f>IFERROR(__xludf.DUMMYFUNCTION("""COMPUTED_VALUE"""),0.0)</f>
        <v>0</v>
      </c>
    </row>
    <row r="151">
      <c r="A151" s="5" t="str">
        <f>IFERROR(__xludf.DUMMYFUNCTION("""COMPUTED_VALUE"""),"SUI01")</f>
        <v>SUI01</v>
      </c>
      <c r="B151" s="5" t="str">
        <f>IFERROR(__xludf.DUMMYFUNCTION("""COMPUTED_VALUE"""),"SWITZERLAND")</f>
        <v>SWITZERLAND</v>
      </c>
      <c r="C151" s="5" t="str">
        <f>IFERROR(__xludf.DUMMYFUNCTION("""COMPUTED_VALUE"""),"BADGE")</f>
        <v>BADGE</v>
      </c>
      <c r="D151" s="5" t="str">
        <f>IFERROR(__xludf.DUMMYFUNCTION("""COMPUTED_VALUE"""),"SWITZERLAND NATIONAL TEAM")</f>
        <v>SWITZERLAND NATIONAL TEAM</v>
      </c>
      <c r="E151" s="5">
        <f>IFERROR(__xludf.DUMMYFUNCTION("""COMPUTED_VALUE"""),0.0)</f>
        <v>0</v>
      </c>
      <c r="F151" s="5">
        <f>IFERROR(__xludf.DUMMYFUNCTION("""COMPUTED_VALUE"""),0.0)</f>
        <v>0</v>
      </c>
    </row>
    <row r="152">
      <c r="A152" s="5" t="str">
        <f>IFERROR(__xludf.DUMMYFUNCTION("""COMPUTED_VALUE"""),"SUI02")</f>
        <v>SUI02</v>
      </c>
      <c r="B152" s="5" t="str">
        <f>IFERROR(__xludf.DUMMYFUNCTION("""COMPUTED_VALUE"""),"SWITZERLAND")</f>
        <v>SWITZERLAND</v>
      </c>
      <c r="C152" s="5" t="str">
        <f>IFERROR(__xludf.DUMMYFUNCTION("""COMPUTED_VALUE"""),"NORMAL")</f>
        <v>NORMAL</v>
      </c>
      <c r="D152" s="5" t="str">
        <f>IFERROR(__xludf.DUMMYFUNCTION("""COMPUTED_VALUE"""),"GREGOR KOBEL")</f>
        <v>GREGOR KOBEL</v>
      </c>
      <c r="E152" s="5">
        <f>IFERROR(__xludf.DUMMYFUNCTION("""COMPUTED_VALUE"""),0.0)</f>
        <v>0</v>
      </c>
      <c r="F152" s="5">
        <f>IFERROR(__xludf.DUMMYFUNCTION("""COMPUTED_VALUE"""),0.0)</f>
        <v>0</v>
      </c>
    </row>
    <row r="153">
      <c r="A153" s="5" t="str">
        <f>IFERROR(__xludf.DUMMYFUNCTION("""COMPUTED_VALUE"""),"SUI03")</f>
        <v>SUI03</v>
      </c>
      <c r="B153" s="5" t="str">
        <f>IFERROR(__xludf.DUMMYFUNCTION("""COMPUTED_VALUE"""),"SWITZERLAND")</f>
        <v>SWITZERLAND</v>
      </c>
      <c r="C153" s="5" t="str">
        <f>IFERROR(__xludf.DUMMYFUNCTION("""COMPUTED_VALUE"""),"NORMAL")</f>
        <v>NORMAL</v>
      </c>
      <c r="D153" s="5" t="str">
        <f>IFERROR(__xludf.DUMMYFUNCTION("""COMPUTED_VALUE"""),"YVON MVOGO")</f>
        <v>YVON MVOGO</v>
      </c>
      <c r="E153" s="5">
        <f>IFERROR(__xludf.DUMMYFUNCTION("""COMPUTED_VALUE"""),0.0)</f>
        <v>0</v>
      </c>
      <c r="F153" s="5">
        <f>IFERROR(__xludf.DUMMYFUNCTION("""COMPUTED_VALUE"""),0.0)</f>
        <v>0</v>
      </c>
    </row>
    <row r="154">
      <c r="A154" s="5" t="str">
        <f>IFERROR(__xludf.DUMMYFUNCTION("""COMPUTED_VALUE"""),"SUI04")</f>
        <v>SUI04</v>
      </c>
      <c r="B154" s="5" t="str">
        <f>IFERROR(__xludf.DUMMYFUNCTION("""COMPUTED_VALUE"""),"SWITZERLAND")</f>
        <v>SWITZERLAND</v>
      </c>
      <c r="C154" s="5" t="str">
        <f>IFERROR(__xludf.DUMMYFUNCTION("""COMPUTED_VALUE"""),"NORMAL")</f>
        <v>NORMAL</v>
      </c>
      <c r="D154" s="5" t="str">
        <f>IFERROR(__xludf.DUMMYFUNCTION("""COMPUTED_VALUE"""),"MANUEL AKANJI")</f>
        <v>MANUEL AKANJI</v>
      </c>
      <c r="E154" s="5">
        <f>IFERROR(__xludf.DUMMYFUNCTION("""COMPUTED_VALUE"""),0.0)</f>
        <v>0</v>
      </c>
      <c r="F154" s="5">
        <f>IFERROR(__xludf.DUMMYFUNCTION("""COMPUTED_VALUE"""),0.0)</f>
        <v>0</v>
      </c>
    </row>
    <row r="155">
      <c r="A155" s="5" t="str">
        <f>IFERROR(__xludf.DUMMYFUNCTION("""COMPUTED_VALUE"""),"SUI05")</f>
        <v>SUI05</v>
      </c>
      <c r="B155" s="5" t="str">
        <f>IFERROR(__xludf.DUMMYFUNCTION("""COMPUTED_VALUE"""),"SWITZERLAND")</f>
        <v>SWITZERLAND</v>
      </c>
      <c r="C155" s="5" t="str">
        <f>IFERROR(__xludf.DUMMYFUNCTION("""COMPUTED_VALUE"""),"NORMAL")</f>
        <v>NORMAL</v>
      </c>
      <c r="D155" s="5" t="str">
        <f>IFERROR(__xludf.DUMMYFUNCTION("""COMPUTED_VALUE"""),"RICARDO RODRIGUEZ")</f>
        <v>RICARDO RODRIGUEZ</v>
      </c>
      <c r="E155" s="5">
        <f>IFERROR(__xludf.DUMMYFUNCTION("""COMPUTED_VALUE"""),0.0)</f>
        <v>0</v>
      </c>
      <c r="F155" s="5">
        <f>IFERROR(__xludf.DUMMYFUNCTION("""COMPUTED_VALUE"""),0.0)</f>
        <v>0</v>
      </c>
    </row>
    <row r="156">
      <c r="A156" s="5" t="str">
        <f>IFERROR(__xludf.DUMMYFUNCTION("""COMPUTED_VALUE"""),"SUI06")</f>
        <v>SUI06</v>
      </c>
      <c r="B156" s="5" t="str">
        <f>IFERROR(__xludf.DUMMYFUNCTION("""COMPUTED_VALUE"""),"SWITZERLAND")</f>
        <v>SWITZERLAND</v>
      </c>
      <c r="C156" s="5" t="str">
        <f>IFERROR(__xludf.DUMMYFUNCTION("""COMPUTED_VALUE"""),"NORMAL")</f>
        <v>NORMAL</v>
      </c>
      <c r="D156" s="5" t="str">
        <f>IFERROR(__xludf.DUMMYFUNCTION("""COMPUTED_VALUE"""),"NICO ELVEDI")</f>
        <v>NICO ELVEDI</v>
      </c>
      <c r="E156" s="5">
        <f>IFERROR(__xludf.DUMMYFUNCTION("""COMPUTED_VALUE"""),0.0)</f>
        <v>0</v>
      </c>
      <c r="F156" s="5">
        <f>IFERROR(__xludf.DUMMYFUNCTION("""COMPUTED_VALUE"""),0.0)</f>
        <v>0</v>
      </c>
    </row>
    <row r="157">
      <c r="A157" s="5" t="str">
        <f>IFERROR(__xludf.DUMMYFUNCTION("""COMPUTED_VALUE"""),"SUI07")</f>
        <v>SUI07</v>
      </c>
      <c r="B157" s="5" t="str">
        <f>IFERROR(__xludf.DUMMYFUNCTION("""COMPUTED_VALUE"""),"SWITZERLAND")</f>
        <v>SWITZERLAND</v>
      </c>
      <c r="C157" s="5" t="str">
        <f>IFERROR(__xludf.DUMMYFUNCTION("""COMPUTED_VALUE"""),"NORMAL")</f>
        <v>NORMAL</v>
      </c>
      <c r="D157" s="5" t="str">
        <f>IFERROR(__xludf.DUMMYFUNCTION("""COMPUTED_VALUE"""),"AURELE AMENDA")</f>
        <v>AURELE AMENDA</v>
      </c>
      <c r="E157" s="5">
        <f>IFERROR(__xludf.DUMMYFUNCTION("""COMPUTED_VALUE"""),0.0)</f>
        <v>0</v>
      </c>
      <c r="F157" s="5">
        <f>IFERROR(__xludf.DUMMYFUNCTION("""COMPUTED_VALUE"""),0.0)</f>
        <v>0</v>
      </c>
    </row>
    <row r="158">
      <c r="A158" s="5" t="str">
        <f>IFERROR(__xludf.DUMMYFUNCTION("""COMPUTED_VALUE"""),"SUI08")</f>
        <v>SUI08</v>
      </c>
      <c r="B158" s="5" t="str">
        <f>IFERROR(__xludf.DUMMYFUNCTION("""COMPUTED_VALUE"""),"SWITZERLAND")</f>
        <v>SWITZERLAND</v>
      </c>
      <c r="C158" s="5" t="str">
        <f>IFERROR(__xludf.DUMMYFUNCTION("""COMPUTED_VALUE"""),"NORMAL")</f>
        <v>NORMAL</v>
      </c>
      <c r="D158" s="5" t="str">
        <f>IFERROR(__xludf.DUMMYFUNCTION("""COMPUTED_VALUE"""),"SILVAN WIDMER")</f>
        <v>SILVAN WIDMER</v>
      </c>
      <c r="E158" s="5">
        <f>IFERROR(__xludf.DUMMYFUNCTION("""COMPUTED_VALUE"""),0.0)</f>
        <v>0</v>
      </c>
      <c r="F158" s="5">
        <f>IFERROR(__xludf.DUMMYFUNCTION("""COMPUTED_VALUE"""),0.0)</f>
        <v>0</v>
      </c>
    </row>
    <row r="159">
      <c r="A159" s="5" t="str">
        <f>IFERROR(__xludf.DUMMYFUNCTION("""COMPUTED_VALUE"""),"SUI09")</f>
        <v>SUI09</v>
      </c>
      <c r="B159" s="5" t="str">
        <f>IFERROR(__xludf.DUMMYFUNCTION("""COMPUTED_VALUE"""),"SWITZERLAND")</f>
        <v>SWITZERLAND</v>
      </c>
      <c r="C159" s="5" t="str">
        <f>IFERROR(__xludf.DUMMYFUNCTION("""COMPUTED_VALUE"""),"NORMAL")</f>
        <v>NORMAL</v>
      </c>
      <c r="D159" s="5" t="str">
        <f>IFERROR(__xludf.DUMMYFUNCTION("""COMPUTED_VALUE"""),"GRANIT XHAKA")</f>
        <v>GRANIT XHAKA</v>
      </c>
      <c r="E159" s="5">
        <f>IFERROR(__xludf.DUMMYFUNCTION("""COMPUTED_VALUE"""),0.0)</f>
        <v>0</v>
      </c>
      <c r="F159" s="5">
        <f>IFERROR(__xludf.DUMMYFUNCTION("""COMPUTED_VALUE"""),0.0)</f>
        <v>0</v>
      </c>
    </row>
    <row r="160">
      <c r="A160" s="5" t="str">
        <f>IFERROR(__xludf.DUMMYFUNCTION("""COMPUTED_VALUE"""),"SUI10")</f>
        <v>SUI10</v>
      </c>
      <c r="B160" s="5" t="str">
        <f>IFERROR(__xludf.DUMMYFUNCTION("""COMPUTED_VALUE"""),"SWITZERLAND")</f>
        <v>SWITZERLAND</v>
      </c>
      <c r="C160" s="5" t="str">
        <f>IFERROR(__xludf.DUMMYFUNCTION("""COMPUTED_VALUE"""),"NORMAL")</f>
        <v>NORMAL</v>
      </c>
      <c r="D160" s="5" t="str">
        <f>IFERROR(__xludf.DUMMYFUNCTION("""COMPUTED_VALUE"""),"DENIS ZAKARIA")</f>
        <v>DENIS ZAKARIA</v>
      </c>
      <c r="E160" s="5">
        <f>IFERROR(__xludf.DUMMYFUNCTION("""COMPUTED_VALUE"""),0.0)</f>
        <v>0</v>
      </c>
      <c r="F160" s="5">
        <f>IFERROR(__xludf.DUMMYFUNCTION("""COMPUTED_VALUE"""),0.0)</f>
        <v>0</v>
      </c>
    </row>
    <row r="161">
      <c r="A161" s="5" t="str">
        <f>IFERROR(__xludf.DUMMYFUNCTION("""COMPUTED_VALUE"""),"SUI11")</f>
        <v>SUI11</v>
      </c>
      <c r="B161" s="5" t="str">
        <f>IFERROR(__xludf.DUMMYFUNCTION("""COMPUTED_VALUE"""),"SWITZERLAND")</f>
        <v>SWITZERLAND</v>
      </c>
      <c r="C161" s="5" t="str">
        <f>IFERROR(__xludf.DUMMYFUNCTION("""COMPUTED_VALUE"""),"NORMAL")</f>
        <v>NORMAL</v>
      </c>
      <c r="D161" s="5" t="str">
        <f>IFERROR(__xludf.DUMMYFUNCTION("""COMPUTED_VALUE"""),"REMO FREULER")</f>
        <v>REMO FREULER</v>
      </c>
      <c r="E161" s="5">
        <f>IFERROR(__xludf.DUMMYFUNCTION("""COMPUTED_VALUE"""),0.0)</f>
        <v>0</v>
      </c>
      <c r="F161" s="5">
        <f>IFERROR(__xludf.DUMMYFUNCTION("""COMPUTED_VALUE"""),0.0)</f>
        <v>0</v>
      </c>
    </row>
    <row r="162">
      <c r="A162" s="5" t="str">
        <f>IFERROR(__xludf.DUMMYFUNCTION("""COMPUTED_VALUE"""),"SUI12")</f>
        <v>SUI12</v>
      </c>
      <c r="B162" s="5" t="str">
        <f>IFERROR(__xludf.DUMMYFUNCTION("""COMPUTED_VALUE"""),"SWITZERLAND")</f>
        <v>SWITZERLAND</v>
      </c>
      <c r="C162" s="5" t="str">
        <f>IFERROR(__xludf.DUMMYFUNCTION("""COMPUTED_VALUE"""),"NORMAL")</f>
        <v>NORMAL</v>
      </c>
      <c r="D162" s="5" t="str">
        <f>IFERROR(__xludf.DUMMYFUNCTION("""COMPUTED_VALUE"""),"FABIAN RIEDER")</f>
        <v>FABIAN RIEDER</v>
      </c>
      <c r="E162" s="5">
        <f>IFERROR(__xludf.DUMMYFUNCTION("""COMPUTED_VALUE"""),0.0)</f>
        <v>0</v>
      </c>
      <c r="F162" s="5">
        <f>IFERROR(__xludf.DUMMYFUNCTION("""COMPUTED_VALUE"""),0.0)</f>
        <v>0</v>
      </c>
    </row>
    <row r="163">
      <c r="A163" s="5" t="str">
        <f>IFERROR(__xludf.DUMMYFUNCTION("""COMPUTED_VALUE"""),"SUI13")</f>
        <v>SUI13</v>
      </c>
      <c r="B163" s="5" t="str">
        <f>IFERROR(__xludf.DUMMYFUNCTION("""COMPUTED_VALUE"""),"SWITZERLAND")</f>
        <v>SWITZERLAND</v>
      </c>
      <c r="C163" s="5" t="str">
        <f>IFERROR(__xludf.DUMMYFUNCTION("""COMPUTED_VALUE"""),"TEAM")</f>
        <v>TEAM</v>
      </c>
      <c r="D163" s="5" t="str">
        <f>IFERROR(__xludf.DUMMYFUNCTION("""COMPUTED_VALUE"""),"SWITZERLAND NATIONAL TEAM")</f>
        <v>SWITZERLAND NATIONAL TEAM</v>
      </c>
      <c r="E163" s="5">
        <f>IFERROR(__xludf.DUMMYFUNCTION("""COMPUTED_VALUE"""),0.0)</f>
        <v>0</v>
      </c>
      <c r="F163" s="5">
        <f>IFERROR(__xludf.DUMMYFUNCTION("""COMPUTED_VALUE"""),0.0)</f>
        <v>0</v>
      </c>
    </row>
    <row r="164">
      <c r="A164" s="5" t="str">
        <f>IFERROR(__xludf.DUMMYFUNCTION("""COMPUTED_VALUE"""),"SUI14")</f>
        <v>SUI14</v>
      </c>
      <c r="B164" s="5" t="str">
        <f>IFERROR(__xludf.DUMMYFUNCTION("""COMPUTED_VALUE"""),"SWITZERLAND")</f>
        <v>SWITZERLAND</v>
      </c>
      <c r="C164" s="5" t="str">
        <f>IFERROR(__xludf.DUMMYFUNCTION("""COMPUTED_VALUE"""),"NORMAL")</f>
        <v>NORMAL</v>
      </c>
      <c r="D164" s="5" t="str">
        <f>IFERROR(__xludf.DUMMYFUNCTION("""COMPUTED_VALUE"""),"AARON JASHARI")</f>
        <v>AARON JASHARI</v>
      </c>
      <c r="E164" s="5">
        <f>IFERROR(__xludf.DUMMYFUNCTION("""COMPUTED_VALUE"""),0.0)</f>
        <v>0</v>
      </c>
      <c r="F164" s="5">
        <f>IFERROR(__xludf.DUMMYFUNCTION("""COMPUTED_VALUE"""),0.0)</f>
        <v>0</v>
      </c>
    </row>
    <row r="165">
      <c r="A165" s="5" t="str">
        <f>IFERROR(__xludf.DUMMYFUNCTION("""COMPUTED_VALUE"""),"SUI15")</f>
        <v>SUI15</v>
      </c>
      <c r="B165" s="5" t="str">
        <f>IFERROR(__xludf.DUMMYFUNCTION("""COMPUTED_VALUE"""),"SWITZERLAND")</f>
        <v>SWITZERLAND</v>
      </c>
      <c r="C165" s="5" t="str">
        <f>IFERROR(__xludf.DUMMYFUNCTION("""COMPUTED_VALUE"""),"NORMAL")</f>
        <v>NORMAL</v>
      </c>
      <c r="D165" s="5" t="str">
        <f>IFERROR(__xludf.DUMMYFUNCTION("""COMPUTED_VALUE"""),"JOHAN MANZAMBI")</f>
        <v>JOHAN MANZAMBI</v>
      </c>
      <c r="E165" s="5">
        <f>IFERROR(__xludf.DUMMYFUNCTION("""COMPUTED_VALUE"""),0.0)</f>
        <v>0</v>
      </c>
      <c r="F165" s="5">
        <f>IFERROR(__xludf.DUMMYFUNCTION("""COMPUTED_VALUE"""),0.0)</f>
        <v>0</v>
      </c>
    </row>
    <row r="166">
      <c r="A166" s="5" t="str">
        <f>IFERROR(__xludf.DUMMYFUNCTION("""COMPUTED_VALUE"""),"SUI16")</f>
        <v>SUI16</v>
      </c>
      <c r="B166" s="5" t="str">
        <f>IFERROR(__xludf.DUMMYFUNCTION("""COMPUTED_VALUE"""),"SWITZERLAND")</f>
        <v>SWITZERLAND</v>
      </c>
      <c r="C166" s="5" t="str">
        <f>IFERROR(__xludf.DUMMYFUNCTION("""COMPUTED_VALUE"""),"NORMAL")</f>
        <v>NORMAL</v>
      </c>
      <c r="D166" s="5" t="str">
        <f>IFERROR(__xludf.DUMMYFUNCTION("""COMPUTED_VALUE"""),"MICHEL AEBISCHER")</f>
        <v>MICHEL AEBISCHER</v>
      </c>
      <c r="E166" s="5">
        <f>IFERROR(__xludf.DUMMYFUNCTION("""COMPUTED_VALUE"""),0.0)</f>
        <v>0</v>
      </c>
      <c r="F166" s="5">
        <f>IFERROR(__xludf.DUMMYFUNCTION("""COMPUTED_VALUE"""),0.0)</f>
        <v>0</v>
      </c>
    </row>
    <row r="167">
      <c r="A167" s="5" t="str">
        <f>IFERROR(__xludf.DUMMYFUNCTION("""COMPUTED_VALUE"""),"SUI17")</f>
        <v>SUI17</v>
      </c>
      <c r="B167" s="5" t="str">
        <f>IFERROR(__xludf.DUMMYFUNCTION("""COMPUTED_VALUE"""),"SWITZERLAND")</f>
        <v>SWITZERLAND</v>
      </c>
      <c r="C167" s="5" t="str">
        <f>IFERROR(__xludf.DUMMYFUNCTION("""COMPUTED_VALUE"""),"NORMAL")</f>
        <v>NORMAL</v>
      </c>
      <c r="D167" s="5" t="str">
        <f>IFERROR(__xludf.DUMMYFUNCTION("""COMPUTED_VALUE"""),"BREEL EMBOLO")</f>
        <v>BREEL EMBOLO</v>
      </c>
      <c r="E167" s="5">
        <f>IFERROR(__xludf.DUMMYFUNCTION("""COMPUTED_VALUE"""),0.0)</f>
        <v>0</v>
      </c>
      <c r="F167" s="5">
        <f>IFERROR(__xludf.DUMMYFUNCTION("""COMPUTED_VALUE"""),0.0)</f>
        <v>0</v>
      </c>
    </row>
    <row r="168">
      <c r="A168" s="5" t="str">
        <f>IFERROR(__xludf.DUMMYFUNCTION("""COMPUTED_VALUE"""),"SUI18")</f>
        <v>SUI18</v>
      </c>
      <c r="B168" s="5" t="str">
        <f>IFERROR(__xludf.DUMMYFUNCTION("""COMPUTED_VALUE"""),"SWITZERLAND")</f>
        <v>SWITZERLAND</v>
      </c>
      <c r="C168" s="5" t="str">
        <f>IFERROR(__xludf.DUMMYFUNCTION("""COMPUTED_VALUE"""),"NORMAL")</f>
        <v>NORMAL</v>
      </c>
      <c r="D168" s="5" t="str">
        <f>IFERROR(__xludf.DUMMYFUNCTION("""COMPUTED_VALUE"""),"RUBEN VARGAS")</f>
        <v>RUBEN VARGAS</v>
      </c>
      <c r="E168" s="5">
        <f>IFERROR(__xludf.DUMMYFUNCTION("""COMPUTED_VALUE"""),0.0)</f>
        <v>0</v>
      </c>
      <c r="F168" s="5">
        <f>IFERROR(__xludf.DUMMYFUNCTION("""COMPUTED_VALUE"""),0.0)</f>
        <v>0</v>
      </c>
    </row>
    <row r="169">
      <c r="A169" s="5" t="str">
        <f>IFERROR(__xludf.DUMMYFUNCTION("""COMPUTED_VALUE"""),"SUI19")</f>
        <v>SUI19</v>
      </c>
      <c r="B169" s="5" t="str">
        <f>IFERROR(__xludf.DUMMYFUNCTION("""COMPUTED_VALUE"""),"SWITZERLAND")</f>
        <v>SWITZERLAND</v>
      </c>
      <c r="C169" s="5" t="str">
        <f>IFERROR(__xludf.DUMMYFUNCTION("""COMPUTED_VALUE"""),"NORMAL")</f>
        <v>NORMAL</v>
      </c>
      <c r="D169" s="5" t="str">
        <f>IFERROR(__xludf.DUMMYFUNCTION("""COMPUTED_VALUE"""),"DAN NDOVE")</f>
        <v>DAN NDOVE</v>
      </c>
      <c r="E169" s="5">
        <f>IFERROR(__xludf.DUMMYFUNCTION("""COMPUTED_VALUE"""),0.0)</f>
        <v>0</v>
      </c>
      <c r="F169" s="5">
        <f>IFERROR(__xludf.DUMMYFUNCTION("""COMPUTED_VALUE"""),0.0)</f>
        <v>0</v>
      </c>
    </row>
    <row r="170">
      <c r="A170" s="5" t="str">
        <f>IFERROR(__xludf.DUMMYFUNCTION("""COMPUTED_VALUE"""),"SUI20")</f>
        <v>SUI20</v>
      </c>
      <c r="B170" s="5" t="str">
        <f>IFERROR(__xludf.DUMMYFUNCTION("""COMPUTED_VALUE"""),"SWITZERLAND")</f>
        <v>SWITZERLAND</v>
      </c>
      <c r="C170" s="5" t="str">
        <f>IFERROR(__xludf.DUMMYFUNCTION("""COMPUTED_VALUE"""),"NORMAL")</f>
        <v>NORMAL</v>
      </c>
      <c r="D170" s="5" t="str">
        <f>IFERROR(__xludf.DUMMYFUNCTION("""COMPUTED_VALUE"""),"ZEKI AMDOUNI")</f>
        <v>ZEKI AMDOUNI</v>
      </c>
      <c r="E170" s="5">
        <f>IFERROR(__xludf.DUMMYFUNCTION("""COMPUTED_VALUE"""),0.0)</f>
        <v>0</v>
      </c>
      <c r="F170" s="5">
        <f>IFERROR(__xludf.DUMMYFUNCTION("""COMPUTED_VALUE"""),0.0)</f>
        <v>0</v>
      </c>
    </row>
    <row r="171">
      <c r="A171" s="5" t="str">
        <f>IFERROR(__xludf.DUMMYFUNCTION("""COMPUTED_VALUE"""),"BRA01")</f>
        <v>BRA01</v>
      </c>
      <c r="B171" s="5" t="str">
        <f>IFERROR(__xludf.DUMMYFUNCTION("""COMPUTED_VALUE"""),"BRAZIL")</f>
        <v>BRAZIL</v>
      </c>
      <c r="C171" s="5" t="str">
        <f>IFERROR(__xludf.DUMMYFUNCTION("""COMPUTED_VALUE"""),"BADGE")</f>
        <v>BADGE</v>
      </c>
      <c r="D171" s="5" t="str">
        <f>IFERROR(__xludf.DUMMYFUNCTION("""COMPUTED_VALUE"""),"BRAZIL NATIONAL TEAM")</f>
        <v>BRAZIL NATIONAL TEAM</v>
      </c>
      <c r="E171" s="5">
        <f>IFERROR(__xludf.DUMMYFUNCTION("""COMPUTED_VALUE"""),0.0)</f>
        <v>0</v>
      </c>
      <c r="F171" s="5">
        <f>IFERROR(__xludf.DUMMYFUNCTION("""COMPUTED_VALUE"""),0.0)</f>
        <v>0</v>
      </c>
    </row>
    <row r="172">
      <c r="A172" s="5" t="str">
        <f>IFERROR(__xludf.DUMMYFUNCTION("""COMPUTED_VALUE"""),"BRA02")</f>
        <v>BRA02</v>
      </c>
      <c r="B172" s="5" t="str">
        <f>IFERROR(__xludf.DUMMYFUNCTION("""COMPUTED_VALUE"""),"BRAZIL")</f>
        <v>BRAZIL</v>
      </c>
      <c r="C172" s="5" t="str">
        <f>IFERROR(__xludf.DUMMYFUNCTION("""COMPUTED_VALUE"""),"NORMAL")</f>
        <v>NORMAL</v>
      </c>
      <c r="D172" s="5" t="str">
        <f>IFERROR(__xludf.DUMMYFUNCTION("""COMPUTED_VALUE"""),"ALISSON")</f>
        <v>ALISSON</v>
      </c>
      <c r="E172" s="5">
        <f>IFERROR(__xludf.DUMMYFUNCTION("""COMPUTED_VALUE"""),0.0)</f>
        <v>0</v>
      </c>
      <c r="F172" s="5">
        <f>IFERROR(__xludf.DUMMYFUNCTION("""COMPUTED_VALUE"""),0.0)</f>
        <v>0</v>
      </c>
    </row>
    <row r="173">
      <c r="A173" s="5" t="str">
        <f>IFERROR(__xludf.DUMMYFUNCTION("""COMPUTED_VALUE"""),"BRA03")</f>
        <v>BRA03</v>
      </c>
      <c r="B173" s="5" t="str">
        <f>IFERROR(__xludf.DUMMYFUNCTION("""COMPUTED_VALUE"""),"BRAZIL")</f>
        <v>BRAZIL</v>
      </c>
      <c r="C173" s="5" t="str">
        <f>IFERROR(__xludf.DUMMYFUNCTION("""COMPUTED_VALUE"""),"NORMAL")</f>
        <v>NORMAL</v>
      </c>
      <c r="D173" s="5" t="str">
        <f>IFERROR(__xludf.DUMMYFUNCTION("""COMPUTED_VALUE"""),"BENTO")</f>
        <v>BENTO</v>
      </c>
      <c r="E173" s="5">
        <f>IFERROR(__xludf.DUMMYFUNCTION("""COMPUTED_VALUE"""),0.0)</f>
        <v>0</v>
      </c>
      <c r="F173" s="5">
        <f>IFERROR(__xludf.DUMMYFUNCTION("""COMPUTED_VALUE"""),0.0)</f>
        <v>0</v>
      </c>
    </row>
    <row r="174">
      <c r="A174" s="5" t="str">
        <f>IFERROR(__xludf.DUMMYFUNCTION("""COMPUTED_VALUE"""),"BRA04")</f>
        <v>BRA04</v>
      </c>
      <c r="B174" s="5" t="str">
        <f>IFERROR(__xludf.DUMMYFUNCTION("""COMPUTED_VALUE"""),"BRAZIL")</f>
        <v>BRAZIL</v>
      </c>
      <c r="C174" s="5" t="str">
        <f>IFERROR(__xludf.DUMMYFUNCTION("""COMPUTED_VALUE"""),"NORMAL")</f>
        <v>NORMAL</v>
      </c>
      <c r="D174" s="5" t="str">
        <f>IFERROR(__xludf.DUMMYFUNCTION("""COMPUTED_VALUE"""),"MARQUINOS")</f>
        <v>MARQUINOS</v>
      </c>
      <c r="E174" s="5">
        <f>IFERROR(__xludf.DUMMYFUNCTION("""COMPUTED_VALUE"""),0.0)</f>
        <v>0</v>
      </c>
      <c r="F174" s="5">
        <f>IFERROR(__xludf.DUMMYFUNCTION("""COMPUTED_VALUE"""),0.0)</f>
        <v>0</v>
      </c>
    </row>
    <row r="175">
      <c r="A175" s="5" t="str">
        <f>IFERROR(__xludf.DUMMYFUNCTION("""COMPUTED_VALUE"""),"BRA05")</f>
        <v>BRA05</v>
      </c>
      <c r="B175" s="5" t="str">
        <f>IFERROR(__xludf.DUMMYFUNCTION("""COMPUTED_VALUE"""),"BRAZIL")</f>
        <v>BRAZIL</v>
      </c>
      <c r="C175" s="5" t="str">
        <f>IFERROR(__xludf.DUMMYFUNCTION("""COMPUTED_VALUE"""),"NORMAL")</f>
        <v>NORMAL</v>
      </c>
      <c r="D175" s="5" t="str">
        <f>IFERROR(__xludf.DUMMYFUNCTION("""COMPUTED_VALUE"""),"EDER MILITAO")</f>
        <v>EDER MILITAO</v>
      </c>
      <c r="E175" s="5">
        <f>IFERROR(__xludf.DUMMYFUNCTION("""COMPUTED_VALUE"""),0.0)</f>
        <v>0</v>
      </c>
      <c r="F175" s="5">
        <f>IFERROR(__xludf.DUMMYFUNCTION("""COMPUTED_VALUE"""),0.0)</f>
        <v>0</v>
      </c>
    </row>
    <row r="176">
      <c r="A176" s="5" t="str">
        <f>IFERROR(__xludf.DUMMYFUNCTION("""COMPUTED_VALUE"""),"BRA06")</f>
        <v>BRA06</v>
      </c>
      <c r="B176" s="5" t="str">
        <f>IFERROR(__xludf.DUMMYFUNCTION("""COMPUTED_VALUE"""),"BRAZIL")</f>
        <v>BRAZIL</v>
      </c>
      <c r="C176" s="5" t="str">
        <f>IFERROR(__xludf.DUMMYFUNCTION("""COMPUTED_VALUE"""),"NORMAL")</f>
        <v>NORMAL</v>
      </c>
      <c r="D176" s="5" t="str">
        <f>IFERROR(__xludf.DUMMYFUNCTION("""COMPUTED_VALUE"""),"GABRIEL MAGALHAES")</f>
        <v>GABRIEL MAGALHAES</v>
      </c>
      <c r="E176" s="5">
        <f>IFERROR(__xludf.DUMMYFUNCTION("""COMPUTED_VALUE"""),0.0)</f>
        <v>0</v>
      </c>
      <c r="F176" s="5">
        <f>IFERROR(__xludf.DUMMYFUNCTION("""COMPUTED_VALUE"""),0.0)</f>
        <v>0</v>
      </c>
    </row>
    <row r="177">
      <c r="A177" s="5" t="str">
        <f>IFERROR(__xludf.DUMMYFUNCTION("""COMPUTED_VALUE"""),"BRA07")</f>
        <v>BRA07</v>
      </c>
      <c r="B177" s="5" t="str">
        <f>IFERROR(__xludf.DUMMYFUNCTION("""COMPUTED_VALUE"""),"BRAZIL")</f>
        <v>BRAZIL</v>
      </c>
      <c r="C177" s="5" t="str">
        <f>IFERROR(__xludf.DUMMYFUNCTION("""COMPUTED_VALUE"""),"NORMAL")</f>
        <v>NORMAL</v>
      </c>
      <c r="D177" s="5" t="str">
        <f>IFERROR(__xludf.DUMMYFUNCTION("""COMPUTED_VALUE"""),"DANILO")</f>
        <v>DANILO</v>
      </c>
      <c r="E177" s="5">
        <f>IFERROR(__xludf.DUMMYFUNCTION("""COMPUTED_VALUE"""),0.0)</f>
        <v>0</v>
      </c>
      <c r="F177" s="5">
        <f>IFERROR(__xludf.DUMMYFUNCTION("""COMPUTED_VALUE"""),0.0)</f>
        <v>0</v>
      </c>
    </row>
    <row r="178">
      <c r="A178" s="5" t="str">
        <f>IFERROR(__xludf.DUMMYFUNCTION("""COMPUTED_VALUE"""),"BRA08")</f>
        <v>BRA08</v>
      </c>
      <c r="B178" s="5" t="str">
        <f>IFERROR(__xludf.DUMMYFUNCTION("""COMPUTED_VALUE"""),"BRAZIL")</f>
        <v>BRAZIL</v>
      </c>
      <c r="C178" s="5" t="str">
        <f>IFERROR(__xludf.DUMMYFUNCTION("""COMPUTED_VALUE"""),"NORMAL")</f>
        <v>NORMAL</v>
      </c>
      <c r="D178" s="5" t="str">
        <f>IFERROR(__xludf.DUMMYFUNCTION("""COMPUTED_VALUE"""),"WESLEY")</f>
        <v>WESLEY</v>
      </c>
      <c r="E178" s="5">
        <f>IFERROR(__xludf.DUMMYFUNCTION("""COMPUTED_VALUE"""),0.0)</f>
        <v>0</v>
      </c>
      <c r="F178" s="5">
        <f>IFERROR(__xludf.DUMMYFUNCTION("""COMPUTED_VALUE"""),0.0)</f>
        <v>0</v>
      </c>
    </row>
    <row r="179">
      <c r="A179" s="5" t="str">
        <f>IFERROR(__xludf.DUMMYFUNCTION("""COMPUTED_VALUE"""),"BRA09")</f>
        <v>BRA09</v>
      </c>
      <c r="B179" s="5" t="str">
        <f>IFERROR(__xludf.DUMMYFUNCTION("""COMPUTED_VALUE"""),"BRAZIL")</f>
        <v>BRAZIL</v>
      </c>
      <c r="C179" s="5" t="str">
        <f>IFERROR(__xludf.DUMMYFUNCTION("""COMPUTED_VALUE"""),"NORMAL")</f>
        <v>NORMAL</v>
      </c>
      <c r="D179" s="5" t="str">
        <f>IFERROR(__xludf.DUMMYFUNCTION("""COMPUTED_VALUE"""),"LUCAS PAQUETÁ")</f>
        <v>LUCAS PAQUETÁ</v>
      </c>
      <c r="E179" s="5">
        <f>IFERROR(__xludf.DUMMYFUNCTION("""COMPUTED_VALUE"""),0.0)</f>
        <v>0</v>
      </c>
      <c r="F179" s="5">
        <f>IFERROR(__xludf.DUMMYFUNCTION("""COMPUTED_VALUE"""),0.0)</f>
        <v>0</v>
      </c>
    </row>
    <row r="180">
      <c r="A180" s="5" t="str">
        <f>IFERROR(__xludf.DUMMYFUNCTION("""COMPUTED_VALUE"""),"BRA10")</f>
        <v>BRA10</v>
      </c>
      <c r="B180" s="5" t="str">
        <f>IFERROR(__xludf.DUMMYFUNCTION("""COMPUTED_VALUE"""),"BRAZIL")</f>
        <v>BRAZIL</v>
      </c>
      <c r="C180" s="5" t="str">
        <f>IFERROR(__xludf.DUMMYFUNCTION("""COMPUTED_VALUE"""),"NORMAL")</f>
        <v>NORMAL</v>
      </c>
      <c r="D180" s="5" t="str">
        <f>IFERROR(__xludf.DUMMYFUNCTION("""COMPUTED_VALUE"""),"CASEMIRO")</f>
        <v>CASEMIRO</v>
      </c>
      <c r="E180" s="5">
        <f>IFERROR(__xludf.DUMMYFUNCTION("""COMPUTED_VALUE"""),0.0)</f>
        <v>0</v>
      </c>
      <c r="F180" s="5">
        <f>IFERROR(__xludf.DUMMYFUNCTION("""COMPUTED_VALUE"""),0.0)</f>
        <v>0</v>
      </c>
    </row>
    <row r="181">
      <c r="A181" s="5" t="str">
        <f>IFERROR(__xludf.DUMMYFUNCTION("""COMPUTED_VALUE"""),"BRA11")</f>
        <v>BRA11</v>
      </c>
      <c r="B181" s="5" t="str">
        <f>IFERROR(__xludf.DUMMYFUNCTION("""COMPUTED_VALUE"""),"BRAZIL")</f>
        <v>BRAZIL</v>
      </c>
      <c r="C181" s="5" t="str">
        <f>IFERROR(__xludf.DUMMYFUNCTION("""COMPUTED_VALUE"""),"NORMAL")</f>
        <v>NORMAL</v>
      </c>
      <c r="D181" s="5" t="str">
        <f>IFERROR(__xludf.DUMMYFUNCTION("""COMPUTED_VALUE"""),"BRUNO GUIMARAES")</f>
        <v>BRUNO GUIMARAES</v>
      </c>
      <c r="E181" s="5">
        <f>IFERROR(__xludf.DUMMYFUNCTION("""COMPUTED_VALUE"""),0.0)</f>
        <v>0</v>
      </c>
      <c r="F181" s="5">
        <f>IFERROR(__xludf.DUMMYFUNCTION("""COMPUTED_VALUE"""),0.0)</f>
        <v>0</v>
      </c>
    </row>
    <row r="182">
      <c r="A182" s="5" t="str">
        <f>IFERROR(__xludf.DUMMYFUNCTION("""COMPUTED_VALUE"""),"BRA12")</f>
        <v>BRA12</v>
      </c>
      <c r="B182" s="5" t="str">
        <f>IFERROR(__xludf.DUMMYFUNCTION("""COMPUTED_VALUE"""),"BRAZIL")</f>
        <v>BRAZIL</v>
      </c>
      <c r="C182" s="5" t="str">
        <f>IFERROR(__xludf.DUMMYFUNCTION("""COMPUTED_VALUE"""),"NORMAL")</f>
        <v>NORMAL</v>
      </c>
      <c r="D182" s="5" t="str">
        <f>IFERROR(__xludf.DUMMYFUNCTION("""COMPUTED_VALUE"""),"LUIZ HENRIQUE")</f>
        <v>LUIZ HENRIQUE</v>
      </c>
      <c r="E182" s="5">
        <f>IFERROR(__xludf.DUMMYFUNCTION("""COMPUTED_VALUE"""),0.0)</f>
        <v>0</v>
      </c>
      <c r="F182" s="5">
        <f>IFERROR(__xludf.DUMMYFUNCTION("""COMPUTED_VALUE"""),0.0)</f>
        <v>0</v>
      </c>
    </row>
    <row r="183">
      <c r="A183" s="5" t="str">
        <f>IFERROR(__xludf.DUMMYFUNCTION("""COMPUTED_VALUE"""),"BRA13")</f>
        <v>BRA13</v>
      </c>
      <c r="B183" s="5" t="str">
        <f>IFERROR(__xludf.DUMMYFUNCTION("""COMPUTED_VALUE"""),"BRAZIL")</f>
        <v>BRAZIL</v>
      </c>
      <c r="C183" s="5" t="str">
        <f>IFERROR(__xludf.DUMMYFUNCTION("""COMPUTED_VALUE"""),"TEAM")</f>
        <v>TEAM</v>
      </c>
      <c r="D183" s="5" t="str">
        <f>IFERROR(__xludf.DUMMYFUNCTION("""COMPUTED_VALUE"""),"BRAZIL NATIONAL TEAM")</f>
        <v>BRAZIL NATIONAL TEAM</v>
      </c>
      <c r="E183" s="5">
        <f>IFERROR(__xludf.DUMMYFUNCTION("""COMPUTED_VALUE"""),0.0)</f>
        <v>0</v>
      </c>
      <c r="F183" s="5">
        <f>IFERROR(__xludf.DUMMYFUNCTION("""COMPUTED_VALUE"""),0.0)</f>
        <v>0</v>
      </c>
    </row>
    <row r="184">
      <c r="A184" s="5" t="str">
        <f>IFERROR(__xludf.DUMMYFUNCTION("""COMPUTED_VALUE"""),"BRA14")</f>
        <v>BRA14</v>
      </c>
      <c r="B184" s="5" t="str">
        <f>IFERROR(__xludf.DUMMYFUNCTION("""COMPUTED_VALUE"""),"BRAZIL")</f>
        <v>BRAZIL</v>
      </c>
      <c r="C184" s="5" t="str">
        <f>IFERROR(__xludf.DUMMYFUNCTION("""COMPUTED_VALUE"""),"NORMAL")</f>
        <v>NORMAL</v>
      </c>
      <c r="D184" s="5" t="str">
        <f>IFERROR(__xludf.DUMMYFUNCTION("""COMPUTED_VALUE"""),"VINICIUS JUNIOR")</f>
        <v>VINICIUS JUNIOR</v>
      </c>
      <c r="E184" s="5">
        <f>IFERROR(__xludf.DUMMYFUNCTION("""COMPUTED_VALUE"""),0.0)</f>
        <v>0</v>
      </c>
      <c r="F184" s="5">
        <f>IFERROR(__xludf.DUMMYFUNCTION("""COMPUTED_VALUE"""),0.0)</f>
        <v>0</v>
      </c>
    </row>
    <row r="185">
      <c r="A185" s="5" t="str">
        <f>IFERROR(__xludf.DUMMYFUNCTION("""COMPUTED_VALUE"""),"BRA15")</f>
        <v>BRA15</v>
      </c>
      <c r="B185" s="5" t="str">
        <f>IFERROR(__xludf.DUMMYFUNCTION("""COMPUTED_VALUE"""),"BRAZIL")</f>
        <v>BRAZIL</v>
      </c>
      <c r="C185" s="5" t="str">
        <f>IFERROR(__xludf.DUMMYFUNCTION("""COMPUTED_VALUE"""),"NORMAL")</f>
        <v>NORMAL</v>
      </c>
      <c r="D185" s="5" t="str">
        <f>IFERROR(__xludf.DUMMYFUNCTION("""COMPUTED_VALUE"""),"RODRYGO")</f>
        <v>RODRYGO</v>
      </c>
      <c r="E185" s="5">
        <f>IFERROR(__xludf.DUMMYFUNCTION("""COMPUTED_VALUE"""),0.0)</f>
        <v>0</v>
      </c>
      <c r="F185" s="5">
        <f>IFERROR(__xludf.DUMMYFUNCTION("""COMPUTED_VALUE"""),0.0)</f>
        <v>0</v>
      </c>
    </row>
    <row r="186">
      <c r="A186" s="5" t="str">
        <f>IFERROR(__xludf.DUMMYFUNCTION("""COMPUTED_VALUE"""),"BRA16")</f>
        <v>BRA16</v>
      </c>
      <c r="B186" s="5" t="str">
        <f>IFERROR(__xludf.DUMMYFUNCTION("""COMPUTED_VALUE"""),"BRAZIL")</f>
        <v>BRAZIL</v>
      </c>
      <c r="C186" s="5" t="str">
        <f>IFERROR(__xludf.DUMMYFUNCTION("""COMPUTED_VALUE"""),"NORMAL")</f>
        <v>NORMAL</v>
      </c>
      <c r="D186" s="5" t="str">
        <f>IFERROR(__xludf.DUMMYFUNCTION("""COMPUTED_VALUE"""),"JOAO PEDRO")</f>
        <v>JOAO PEDRO</v>
      </c>
      <c r="E186" s="5">
        <f>IFERROR(__xludf.DUMMYFUNCTION("""COMPUTED_VALUE"""),0.0)</f>
        <v>0</v>
      </c>
      <c r="F186" s="5">
        <f>IFERROR(__xludf.DUMMYFUNCTION("""COMPUTED_VALUE"""),0.0)</f>
        <v>0</v>
      </c>
    </row>
    <row r="187">
      <c r="A187" s="5" t="str">
        <f>IFERROR(__xludf.DUMMYFUNCTION("""COMPUTED_VALUE"""),"BRA17")</f>
        <v>BRA17</v>
      </c>
      <c r="B187" s="5" t="str">
        <f>IFERROR(__xludf.DUMMYFUNCTION("""COMPUTED_VALUE"""),"BRAZIL")</f>
        <v>BRAZIL</v>
      </c>
      <c r="C187" s="5" t="str">
        <f>IFERROR(__xludf.DUMMYFUNCTION("""COMPUTED_VALUE"""),"NORMAL")</f>
        <v>NORMAL</v>
      </c>
      <c r="D187" s="5" t="str">
        <f>IFERROR(__xludf.DUMMYFUNCTION("""COMPUTED_VALUE"""),"MATHEUS CUNHA")</f>
        <v>MATHEUS CUNHA</v>
      </c>
      <c r="E187" s="5">
        <f>IFERROR(__xludf.DUMMYFUNCTION("""COMPUTED_VALUE"""),0.0)</f>
        <v>0</v>
      </c>
      <c r="F187" s="5">
        <f>IFERROR(__xludf.DUMMYFUNCTION("""COMPUTED_VALUE"""),0.0)</f>
        <v>0</v>
      </c>
    </row>
    <row r="188">
      <c r="A188" s="5" t="str">
        <f>IFERROR(__xludf.DUMMYFUNCTION("""COMPUTED_VALUE"""),"BRA18")</f>
        <v>BRA18</v>
      </c>
      <c r="B188" s="5" t="str">
        <f>IFERROR(__xludf.DUMMYFUNCTION("""COMPUTED_VALUE"""),"BRAZIL")</f>
        <v>BRAZIL</v>
      </c>
      <c r="C188" s="5" t="str">
        <f>IFERROR(__xludf.DUMMYFUNCTION("""COMPUTED_VALUE"""),"NORMAL")</f>
        <v>NORMAL</v>
      </c>
      <c r="D188" s="5" t="str">
        <f>IFERROR(__xludf.DUMMYFUNCTION("""COMPUTED_VALUE"""),"GABRIEL MARTINELLI")</f>
        <v>GABRIEL MARTINELLI</v>
      </c>
      <c r="E188" s="5">
        <f>IFERROR(__xludf.DUMMYFUNCTION("""COMPUTED_VALUE"""),0.0)</f>
        <v>0</v>
      </c>
      <c r="F188" s="5">
        <f>IFERROR(__xludf.DUMMYFUNCTION("""COMPUTED_VALUE"""),0.0)</f>
        <v>0</v>
      </c>
    </row>
    <row r="189">
      <c r="A189" s="5" t="str">
        <f>IFERROR(__xludf.DUMMYFUNCTION("""COMPUTED_VALUE"""),"BRA19")</f>
        <v>BRA19</v>
      </c>
      <c r="B189" s="5" t="str">
        <f>IFERROR(__xludf.DUMMYFUNCTION("""COMPUTED_VALUE"""),"BRAZIL")</f>
        <v>BRAZIL</v>
      </c>
      <c r="C189" s="5" t="str">
        <f>IFERROR(__xludf.DUMMYFUNCTION("""COMPUTED_VALUE"""),"NORMAL")</f>
        <v>NORMAL</v>
      </c>
      <c r="D189" s="5" t="str">
        <f>IFERROR(__xludf.DUMMYFUNCTION("""COMPUTED_VALUE"""),"RAPHINHA")</f>
        <v>RAPHINHA</v>
      </c>
      <c r="E189" s="5">
        <f>IFERROR(__xludf.DUMMYFUNCTION("""COMPUTED_VALUE"""),0.0)</f>
        <v>0</v>
      </c>
      <c r="F189" s="5">
        <f>IFERROR(__xludf.DUMMYFUNCTION("""COMPUTED_VALUE"""),0.0)</f>
        <v>0</v>
      </c>
    </row>
    <row r="190">
      <c r="A190" s="5" t="str">
        <f>IFERROR(__xludf.DUMMYFUNCTION("""COMPUTED_VALUE"""),"BRA20")</f>
        <v>BRA20</v>
      </c>
      <c r="B190" s="5" t="str">
        <f>IFERROR(__xludf.DUMMYFUNCTION("""COMPUTED_VALUE"""),"BRAZIL")</f>
        <v>BRAZIL</v>
      </c>
      <c r="C190" s="5" t="str">
        <f>IFERROR(__xludf.DUMMYFUNCTION("""COMPUTED_VALUE"""),"NORMAL")</f>
        <v>NORMAL</v>
      </c>
      <c r="D190" s="5" t="str">
        <f>IFERROR(__xludf.DUMMYFUNCTION("""COMPUTED_VALUE"""),"ESTEVAO")</f>
        <v>ESTEVAO</v>
      </c>
      <c r="E190" s="5">
        <f>IFERROR(__xludf.DUMMYFUNCTION("""COMPUTED_VALUE"""),0.0)</f>
        <v>0</v>
      </c>
      <c r="F190" s="5">
        <f>IFERROR(__xludf.DUMMYFUNCTION("""COMPUTED_VALUE"""),0.0)</f>
        <v>0</v>
      </c>
    </row>
    <row r="191">
      <c r="A191" s="7" t="str">
        <f>IFERROR(__xludf.DUMMYFUNCTION("""COMPUTED_VALUE"""),"MAR01")</f>
        <v>MAR01</v>
      </c>
      <c r="B191" s="5" t="str">
        <f>IFERROR(__xludf.DUMMYFUNCTION("""COMPUTED_VALUE"""),"MOROCCO")</f>
        <v>MOROCCO</v>
      </c>
      <c r="C191" s="5" t="str">
        <f>IFERROR(__xludf.DUMMYFUNCTION("""COMPUTED_VALUE"""),"BADGE")</f>
        <v>BADGE</v>
      </c>
      <c r="D191" s="5" t="str">
        <f>IFERROR(__xludf.DUMMYFUNCTION("""COMPUTED_VALUE"""),"MOROCCO NATIONAL TEAM")</f>
        <v>MOROCCO NATIONAL TEAM</v>
      </c>
      <c r="E191" s="5">
        <f>IFERROR(__xludf.DUMMYFUNCTION("""COMPUTED_VALUE"""),0.0)</f>
        <v>0</v>
      </c>
      <c r="F191" s="5">
        <f>IFERROR(__xludf.DUMMYFUNCTION("""COMPUTED_VALUE"""),0.0)</f>
        <v>0</v>
      </c>
    </row>
    <row r="192">
      <c r="A192" s="7" t="str">
        <f>IFERROR(__xludf.DUMMYFUNCTION("""COMPUTED_VALUE"""),"MAR02")</f>
        <v>MAR02</v>
      </c>
      <c r="B192" s="5" t="str">
        <f>IFERROR(__xludf.DUMMYFUNCTION("""COMPUTED_VALUE"""),"MOROCCO")</f>
        <v>MOROCCO</v>
      </c>
      <c r="C192" s="5" t="str">
        <f>IFERROR(__xludf.DUMMYFUNCTION("""COMPUTED_VALUE"""),"NORMAL")</f>
        <v>NORMAL</v>
      </c>
      <c r="D192" s="5" t="str">
        <f>IFERROR(__xludf.DUMMYFUNCTION("""COMPUTED_VALUE"""),"YASSINE BOUNOU")</f>
        <v>YASSINE BOUNOU</v>
      </c>
      <c r="E192" s="5">
        <f>IFERROR(__xludf.DUMMYFUNCTION("""COMPUTED_VALUE"""),0.0)</f>
        <v>0</v>
      </c>
      <c r="F192" s="5">
        <f>IFERROR(__xludf.DUMMYFUNCTION("""COMPUTED_VALUE"""),0.0)</f>
        <v>0</v>
      </c>
    </row>
    <row r="193">
      <c r="A193" s="7" t="str">
        <f>IFERROR(__xludf.DUMMYFUNCTION("""COMPUTED_VALUE"""),"MAR03")</f>
        <v>MAR03</v>
      </c>
      <c r="B193" s="5" t="str">
        <f>IFERROR(__xludf.DUMMYFUNCTION("""COMPUTED_VALUE"""),"MOROCCO")</f>
        <v>MOROCCO</v>
      </c>
      <c r="C193" s="5" t="str">
        <f>IFERROR(__xludf.DUMMYFUNCTION("""COMPUTED_VALUE"""),"NORMAL")</f>
        <v>NORMAL</v>
      </c>
      <c r="D193" s="5" t="str">
        <f>IFERROR(__xludf.DUMMYFUNCTION("""COMPUTED_VALUE"""),"MUNIR EL KAJOUR")</f>
        <v>MUNIR EL KAJOUR</v>
      </c>
      <c r="E193" s="5">
        <f>IFERROR(__xludf.DUMMYFUNCTION("""COMPUTED_VALUE"""),0.0)</f>
        <v>0</v>
      </c>
      <c r="F193" s="5">
        <f>IFERROR(__xludf.DUMMYFUNCTION("""COMPUTED_VALUE"""),0.0)</f>
        <v>0</v>
      </c>
    </row>
    <row r="194">
      <c r="A194" s="7" t="str">
        <f>IFERROR(__xludf.DUMMYFUNCTION("""COMPUTED_VALUE"""),"MAR04")</f>
        <v>MAR04</v>
      </c>
      <c r="B194" s="5" t="str">
        <f>IFERROR(__xludf.DUMMYFUNCTION("""COMPUTED_VALUE"""),"MOROCCO")</f>
        <v>MOROCCO</v>
      </c>
      <c r="C194" s="5" t="str">
        <f>IFERROR(__xludf.DUMMYFUNCTION("""COMPUTED_VALUE"""),"NORMAL")</f>
        <v>NORMAL</v>
      </c>
      <c r="D194" s="5" t="str">
        <f>IFERROR(__xludf.DUMMYFUNCTION("""COMPUTED_VALUE"""),"ACHRAF HAKIMI")</f>
        <v>ACHRAF HAKIMI</v>
      </c>
      <c r="E194" s="5">
        <f>IFERROR(__xludf.DUMMYFUNCTION("""COMPUTED_VALUE"""),0.0)</f>
        <v>0</v>
      </c>
      <c r="F194" s="5">
        <f>IFERROR(__xludf.DUMMYFUNCTION("""COMPUTED_VALUE"""),0.0)</f>
        <v>0</v>
      </c>
    </row>
    <row r="195">
      <c r="A195" s="7" t="str">
        <f>IFERROR(__xludf.DUMMYFUNCTION("""COMPUTED_VALUE"""),"MAR05")</f>
        <v>MAR05</v>
      </c>
      <c r="B195" s="5" t="str">
        <f>IFERROR(__xludf.DUMMYFUNCTION("""COMPUTED_VALUE"""),"MOROCCO")</f>
        <v>MOROCCO</v>
      </c>
      <c r="C195" s="5" t="str">
        <f>IFERROR(__xludf.DUMMYFUNCTION("""COMPUTED_VALUE"""),"NORMAL")</f>
        <v>NORMAL</v>
      </c>
      <c r="D195" s="5" t="str">
        <f>IFERROR(__xludf.DUMMYFUNCTION("""COMPUTED_VALUE"""),"NOUSSAIR MAZRAOUI")</f>
        <v>NOUSSAIR MAZRAOUI</v>
      </c>
      <c r="E195" s="5">
        <f>IFERROR(__xludf.DUMMYFUNCTION("""COMPUTED_VALUE"""),0.0)</f>
        <v>0</v>
      </c>
      <c r="F195" s="5">
        <f>IFERROR(__xludf.DUMMYFUNCTION("""COMPUTED_VALUE"""),0.0)</f>
        <v>0</v>
      </c>
    </row>
    <row r="196">
      <c r="A196" s="7" t="str">
        <f>IFERROR(__xludf.DUMMYFUNCTION("""COMPUTED_VALUE"""),"MAR06")</f>
        <v>MAR06</v>
      </c>
      <c r="B196" s="5" t="str">
        <f>IFERROR(__xludf.DUMMYFUNCTION("""COMPUTED_VALUE"""),"MOROCCO")</f>
        <v>MOROCCO</v>
      </c>
      <c r="C196" s="5" t="str">
        <f>IFERROR(__xludf.DUMMYFUNCTION("""COMPUTED_VALUE"""),"NORMAL")</f>
        <v>NORMAL</v>
      </c>
      <c r="D196" s="5" t="str">
        <f>IFERROR(__xludf.DUMMYFUNCTION("""COMPUTED_VALUE"""),"NAYEF AGUERD")</f>
        <v>NAYEF AGUERD</v>
      </c>
      <c r="E196" s="5">
        <f>IFERROR(__xludf.DUMMYFUNCTION("""COMPUTED_VALUE"""),0.0)</f>
        <v>0</v>
      </c>
      <c r="F196" s="5">
        <f>IFERROR(__xludf.DUMMYFUNCTION("""COMPUTED_VALUE"""),0.0)</f>
        <v>0</v>
      </c>
    </row>
    <row r="197">
      <c r="A197" s="7" t="str">
        <f>IFERROR(__xludf.DUMMYFUNCTION("""COMPUTED_VALUE"""),"MAR07")</f>
        <v>MAR07</v>
      </c>
      <c r="B197" s="5" t="str">
        <f>IFERROR(__xludf.DUMMYFUNCTION("""COMPUTED_VALUE"""),"MOROCCO")</f>
        <v>MOROCCO</v>
      </c>
      <c r="C197" s="5" t="str">
        <f>IFERROR(__xludf.DUMMYFUNCTION("""COMPUTED_VALUE"""),"NORMAL")</f>
        <v>NORMAL</v>
      </c>
      <c r="D197" s="5" t="str">
        <f>IFERROR(__xludf.DUMMYFUNCTION("""COMPUTED_VALUE"""),"ROMAIN SAISS")</f>
        <v>ROMAIN SAISS</v>
      </c>
      <c r="E197" s="5">
        <f>IFERROR(__xludf.DUMMYFUNCTION("""COMPUTED_VALUE"""),0.0)</f>
        <v>0</v>
      </c>
      <c r="F197" s="5">
        <f>IFERROR(__xludf.DUMMYFUNCTION("""COMPUTED_VALUE"""),0.0)</f>
        <v>0</v>
      </c>
    </row>
    <row r="198">
      <c r="A198" s="7" t="str">
        <f>IFERROR(__xludf.DUMMYFUNCTION("""COMPUTED_VALUE"""),"MAR08")</f>
        <v>MAR08</v>
      </c>
      <c r="B198" s="5" t="str">
        <f>IFERROR(__xludf.DUMMYFUNCTION("""COMPUTED_VALUE"""),"MOROCCO")</f>
        <v>MOROCCO</v>
      </c>
      <c r="C198" s="5" t="str">
        <f>IFERROR(__xludf.DUMMYFUNCTION("""COMPUTED_VALUE"""),"NORMAL")</f>
        <v>NORMAL</v>
      </c>
      <c r="D198" s="5" t="str">
        <f>IFERROR(__xludf.DUMMYFUNCTION("""COMPUTED_VALUE"""),"JAWAD EL YAMIQ")</f>
        <v>JAWAD EL YAMIQ</v>
      </c>
      <c r="E198" s="5">
        <f>IFERROR(__xludf.DUMMYFUNCTION("""COMPUTED_VALUE"""),0.0)</f>
        <v>0</v>
      </c>
      <c r="F198" s="5">
        <f>IFERROR(__xludf.DUMMYFUNCTION("""COMPUTED_VALUE"""),0.0)</f>
        <v>0</v>
      </c>
    </row>
    <row r="199">
      <c r="A199" s="7" t="str">
        <f>IFERROR(__xludf.DUMMYFUNCTION("""COMPUTED_VALUE"""),"MAR09")</f>
        <v>MAR09</v>
      </c>
      <c r="B199" s="5" t="str">
        <f>IFERROR(__xludf.DUMMYFUNCTION("""COMPUTED_VALUE"""),"MOROCCO")</f>
        <v>MOROCCO</v>
      </c>
      <c r="C199" s="5" t="str">
        <f>IFERROR(__xludf.DUMMYFUNCTION("""COMPUTED_VALUE"""),"NORMAL")</f>
        <v>NORMAL</v>
      </c>
      <c r="D199" s="5" t="str">
        <f>IFERROR(__xludf.DUMMYFUNCTION("""COMPUTED_VALUE"""),"ADAM MASINA")</f>
        <v>ADAM MASINA</v>
      </c>
      <c r="E199" s="5">
        <f>IFERROR(__xludf.DUMMYFUNCTION("""COMPUTED_VALUE"""),0.0)</f>
        <v>0</v>
      </c>
      <c r="F199" s="5">
        <f>IFERROR(__xludf.DUMMYFUNCTION("""COMPUTED_VALUE"""),0.0)</f>
        <v>0</v>
      </c>
    </row>
    <row r="200">
      <c r="A200" s="7" t="str">
        <f>IFERROR(__xludf.DUMMYFUNCTION("""COMPUTED_VALUE"""),"MAR10")</f>
        <v>MAR10</v>
      </c>
      <c r="B200" s="5" t="str">
        <f>IFERROR(__xludf.DUMMYFUNCTION("""COMPUTED_VALUE"""),"MOROCCO")</f>
        <v>MOROCCO</v>
      </c>
      <c r="C200" s="5" t="str">
        <f>IFERROR(__xludf.DUMMYFUNCTION("""COMPUTED_VALUE"""),"NORMAL")</f>
        <v>NORMAL</v>
      </c>
      <c r="D200" s="5" t="str">
        <f>IFERROR(__xludf.DUMMYFUNCTION("""COMPUTED_VALUE"""),"SOFYAN AMRABAT")</f>
        <v>SOFYAN AMRABAT</v>
      </c>
      <c r="E200" s="5">
        <f>IFERROR(__xludf.DUMMYFUNCTION("""COMPUTED_VALUE"""),0.0)</f>
        <v>0</v>
      </c>
      <c r="F200" s="5">
        <f>IFERROR(__xludf.DUMMYFUNCTION("""COMPUTED_VALUE"""),0.0)</f>
        <v>0</v>
      </c>
    </row>
    <row r="201">
      <c r="A201" s="7" t="str">
        <f>IFERROR(__xludf.DUMMYFUNCTION("""COMPUTED_VALUE"""),"MAR11")</f>
        <v>MAR11</v>
      </c>
      <c r="B201" s="5" t="str">
        <f>IFERROR(__xludf.DUMMYFUNCTION("""COMPUTED_VALUE"""),"MOROCCO")</f>
        <v>MOROCCO</v>
      </c>
      <c r="C201" s="5" t="str">
        <f>IFERROR(__xludf.DUMMYFUNCTION("""COMPUTED_VALUE"""),"NORMAL")</f>
        <v>NORMAL</v>
      </c>
      <c r="D201" s="5" t="str">
        <f>IFERROR(__xludf.DUMMYFUNCTION("""COMPUTED_VALUE"""),"AZZEDINE OUNAHI")</f>
        <v>AZZEDINE OUNAHI</v>
      </c>
      <c r="E201" s="5">
        <f>IFERROR(__xludf.DUMMYFUNCTION("""COMPUTED_VALUE"""),0.0)</f>
        <v>0</v>
      </c>
      <c r="F201" s="5">
        <f>IFERROR(__xludf.DUMMYFUNCTION("""COMPUTED_VALUE"""),0.0)</f>
        <v>0</v>
      </c>
    </row>
    <row r="202">
      <c r="A202" s="7" t="str">
        <f>IFERROR(__xludf.DUMMYFUNCTION("""COMPUTED_VALUE"""),"MAR12")</f>
        <v>MAR12</v>
      </c>
      <c r="B202" s="5" t="str">
        <f>IFERROR(__xludf.DUMMYFUNCTION("""COMPUTED_VALUE"""),"MOROCCO")</f>
        <v>MOROCCO</v>
      </c>
      <c r="C202" s="5" t="str">
        <f>IFERROR(__xludf.DUMMYFUNCTION("""COMPUTED_VALUE"""),"NORMAL")</f>
        <v>NORMAL</v>
      </c>
      <c r="D202" s="5" t="str">
        <f>IFERROR(__xludf.DUMMYFUNCTION("""COMPUTED_VALUE"""),"ELIESSE BEN SEGHIR")</f>
        <v>ELIESSE BEN SEGHIR</v>
      </c>
      <c r="E202" s="5">
        <f>IFERROR(__xludf.DUMMYFUNCTION("""COMPUTED_VALUE"""),0.0)</f>
        <v>0</v>
      </c>
      <c r="F202" s="5">
        <f>IFERROR(__xludf.DUMMYFUNCTION("""COMPUTED_VALUE"""),0.0)</f>
        <v>0</v>
      </c>
    </row>
    <row r="203">
      <c r="A203" s="7" t="str">
        <f>IFERROR(__xludf.DUMMYFUNCTION("""COMPUTED_VALUE"""),"MAR13")</f>
        <v>MAR13</v>
      </c>
      <c r="B203" s="5" t="str">
        <f>IFERROR(__xludf.DUMMYFUNCTION("""COMPUTED_VALUE"""),"MOROCCO")</f>
        <v>MOROCCO</v>
      </c>
      <c r="C203" s="5" t="str">
        <f>IFERROR(__xludf.DUMMYFUNCTION("""COMPUTED_VALUE"""),"TEAM")</f>
        <v>TEAM</v>
      </c>
      <c r="D203" s="5" t="str">
        <f>IFERROR(__xludf.DUMMYFUNCTION("""COMPUTED_VALUE"""),"MOROCCO NATIONAL TEAM")</f>
        <v>MOROCCO NATIONAL TEAM</v>
      </c>
      <c r="E203" s="5">
        <f>IFERROR(__xludf.DUMMYFUNCTION("""COMPUTED_VALUE"""),0.0)</f>
        <v>0</v>
      </c>
      <c r="F203" s="5">
        <f>IFERROR(__xludf.DUMMYFUNCTION("""COMPUTED_VALUE"""),0.0)</f>
        <v>0</v>
      </c>
    </row>
    <row r="204">
      <c r="A204" s="7" t="str">
        <f>IFERROR(__xludf.DUMMYFUNCTION("""COMPUTED_VALUE"""),"MAR14")</f>
        <v>MAR14</v>
      </c>
      <c r="B204" s="5" t="str">
        <f>IFERROR(__xludf.DUMMYFUNCTION("""COMPUTED_VALUE"""),"MOROCCO")</f>
        <v>MOROCCO</v>
      </c>
      <c r="C204" s="5" t="str">
        <f>IFERROR(__xludf.DUMMYFUNCTION("""COMPUTED_VALUE"""),"NORMAL")</f>
        <v>NORMAL</v>
      </c>
      <c r="D204" s="5" t="str">
        <f>IFERROR(__xludf.DUMMYFUNCTION("""COMPUTED_VALUE"""),"BILAL EL KHANNOUSS")</f>
        <v>BILAL EL KHANNOUSS</v>
      </c>
      <c r="E204" s="5">
        <f>IFERROR(__xludf.DUMMYFUNCTION("""COMPUTED_VALUE"""),0.0)</f>
        <v>0</v>
      </c>
      <c r="F204" s="5">
        <f>IFERROR(__xludf.DUMMYFUNCTION("""COMPUTED_VALUE"""),0.0)</f>
        <v>0</v>
      </c>
    </row>
    <row r="205">
      <c r="A205" s="7" t="str">
        <f>IFERROR(__xludf.DUMMYFUNCTION("""COMPUTED_VALUE"""),"MAR15")</f>
        <v>MAR15</v>
      </c>
      <c r="B205" s="5" t="str">
        <f>IFERROR(__xludf.DUMMYFUNCTION("""COMPUTED_VALUE"""),"MOROCCO")</f>
        <v>MOROCCO</v>
      </c>
      <c r="C205" s="5" t="str">
        <f>IFERROR(__xludf.DUMMYFUNCTION("""COMPUTED_VALUE"""),"NORMAL")</f>
        <v>NORMAL</v>
      </c>
      <c r="D205" s="5" t="str">
        <f>IFERROR(__xludf.DUMMYFUNCTION("""COMPUTED_VALUE"""),"ISMAEL SAIBARI")</f>
        <v>ISMAEL SAIBARI</v>
      </c>
      <c r="E205" s="5">
        <f>IFERROR(__xludf.DUMMYFUNCTION("""COMPUTED_VALUE"""),0.0)</f>
        <v>0</v>
      </c>
      <c r="F205" s="5">
        <f>IFERROR(__xludf.DUMMYFUNCTION("""COMPUTED_VALUE"""),0.0)</f>
        <v>0</v>
      </c>
    </row>
    <row r="206">
      <c r="A206" s="7" t="str">
        <f>IFERROR(__xludf.DUMMYFUNCTION("""COMPUTED_VALUE"""),"MAR16")</f>
        <v>MAR16</v>
      </c>
      <c r="B206" s="5" t="str">
        <f>IFERROR(__xludf.DUMMYFUNCTION("""COMPUTED_VALUE"""),"MOROCCO")</f>
        <v>MOROCCO</v>
      </c>
      <c r="C206" s="5" t="str">
        <f>IFERROR(__xludf.DUMMYFUNCTION("""COMPUTED_VALUE"""),"NORMAL")</f>
        <v>NORMAL</v>
      </c>
      <c r="D206" s="5" t="str">
        <f>IFERROR(__xludf.DUMMYFUNCTION("""COMPUTED_VALUE"""),"YOUSSEF EN-NESYRI")</f>
        <v>YOUSSEF EN-NESYRI</v>
      </c>
      <c r="E206" s="5">
        <f>IFERROR(__xludf.DUMMYFUNCTION("""COMPUTED_VALUE"""),0.0)</f>
        <v>0</v>
      </c>
      <c r="F206" s="5">
        <f>IFERROR(__xludf.DUMMYFUNCTION("""COMPUTED_VALUE"""),0.0)</f>
        <v>0</v>
      </c>
    </row>
    <row r="207">
      <c r="A207" s="7" t="str">
        <f>IFERROR(__xludf.DUMMYFUNCTION("""COMPUTED_VALUE"""),"MAR17")</f>
        <v>MAR17</v>
      </c>
      <c r="B207" s="5" t="str">
        <f>IFERROR(__xludf.DUMMYFUNCTION("""COMPUTED_VALUE"""),"MOROCCO")</f>
        <v>MOROCCO</v>
      </c>
      <c r="C207" s="5" t="str">
        <f>IFERROR(__xludf.DUMMYFUNCTION("""COMPUTED_VALUE"""),"NORMAL")</f>
        <v>NORMAL</v>
      </c>
      <c r="D207" s="5" t="str">
        <f>IFERROR(__xludf.DUMMYFUNCTION("""COMPUTED_VALUE"""),"ABDE EZZALZOULI")</f>
        <v>ABDE EZZALZOULI</v>
      </c>
      <c r="E207" s="5">
        <f>IFERROR(__xludf.DUMMYFUNCTION("""COMPUTED_VALUE"""),0.0)</f>
        <v>0</v>
      </c>
      <c r="F207" s="5">
        <f>IFERROR(__xludf.DUMMYFUNCTION("""COMPUTED_VALUE"""),0.0)</f>
        <v>0</v>
      </c>
    </row>
    <row r="208">
      <c r="A208" s="7" t="str">
        <f>IFERROR(__xludf.DUMMYFUNCTION("""COMPUTED_VALUE"""),"MAR18")</f>
        <v>MAR18</v>
      </c>
      <c r="B208" s="5" t="str">
        <f>IFERROR(__xludf.DUMMYFUNCTION("""COMPUTED_VALUE"""),"MOROCCO")</f>
        <v>MOROCCO</v>
      </c>
      <c r="C208" s="5" t="str">
        <f>IFERROR(__xludf.DUMMYFUNCTION("""COMPUTED_VALUE"""),"NORMAL")</f>
        <v>NORMAL</v>
      </c>
      <c r="D208" s="5" t="str">
        <f>IFERROR(__xludf.DUMMYFUNCTION("""COMPUTED_VALUE"""),"SOUFIANE RAHIMI")</f>
        <v>SOUFIANE RAHIMI</v>
      </c>
      <c r="E208" s="5">
        <f>IFERROR(__xludf.DUMMYFUNCTION("""COMPUTED_VALUE"""),0.0)</f>
        <v>0</v>
      </c>
      <c r="F208" s="5">
        <f>IFERROR(__xludf.DUMMYFUNCTION("""COMPUTED_VALUE"""),0.0)</f>
        <v>0</v>
      </c>
    </row>
    <row r="209">
      <c r="A209" s="7" t="str">
        <f>IFERROR(__xludf.DUMMYFUNCTION("""COMPUTED_VALUE"""),"MAR19")</f>
        <v>MAR19</v>
      </c>
      <c r="B209" s="5" t="str">
        <f>IFERROR(__xludf.DUMMYFUNCTION("""COMPUTED_VALUE"""),"MOROCCO")</f>
        <v>MOROCCO</v>
      </c>
      <c r="C209" s="5" t="str">
        <f>IFERROR(__xludf.DUMMYFUNCTION("""COMPUTED_VALUE"""),"NORMAL")</f>
        <v>NORMAL</v>
      </c>
      <c r="D209" s="5" t="str">
        <f>IFERROR(__xludf.DUMMYFUNCTION("""COMPUTED_VALUE"""),"BRAHIM DIAZ")</f>
        <v>BRAHIM DIAZ</v>
      </c>
      <c r="E209" s="5">
        <f>IFERROR(__xludf.DUMMYFUNCTION("""COMPUTED_VALUE"""),0.0)</f>
        <v>0</v>
      </c>
      <c r="F209" s="5">
        <f>IFERROR(__xludf.DUMMYFUNCTION("""COMPUTED_VALUE"""),0.0)</f>
        <v>0</v>
      </c>
    </row>
    <row r="210">
      <c r="A210" s="7" t="str">
        <f>IFERROR(__xludf.DUMMYFUNCTION("""COMPUTED_VALUE"""),"MAR20")</f>
        <v>MAR20</v>
      </c>
      <c r="B210" s="5" t="str">
        <f>IFERROR(__xludf.DUMMYFUNCTION("""COMPUTED_VALUE"""),"MOROCCO")</f>
        <v>MOROCCO</v>
      </c>
      <c r="C210" s="5" t="str">
        <f>IFERROR(__xludf.DUMMYFUNCTION("""COMPUTED_VALUE"""),"NORMAL")</f>
        <v>NORMAL</v>
      </c>
      <c r="D210" s="5" t="str">
        <f>IFERROR(__xludf.DUMMYFUNCTION("""COMPUTED_VALUE"""),"AYOUB EL KAABI")</f>
        <v>AYOUB EL KAABI</v>
      </c>
      <c r="E210" s="5">
        <f>IFERROR(__xludf.DUMMYFUNCTION("""COMPUTED_VALUE"""),0.0)</f>
        <v>0</v>
      </c>
      <c r="F210" s="5">
        <f>IFERROR(__xludf.DUMMYFUNCTION("""COMPUTED_VALUE"""),0.0)</f>
        <v>0</v>
      </c>
    </row>
    <row r="211">
      <c r="A211" s="5" t="str">
        <f>IFERROR(__xludf.DUMMYFUNCTION("""COMPUTED_VALUE"""),"HAI 01")</f>
        <v>HAI 01</v>
      </c>
      <c r="B211" s="5" t="str">
        <f>IFERROR(__xludf.DUMMYFUNCTION("""COMPUTED_VALUE"""),"HAITI")</f>
        <v>HAITI</v>
      </c>
      <c r="C211" s="5" t="str">
        <f>IFERROR(__xludf.DUMMYFUNCTION("""COMPUTED_VALUE"""),"BADGE")</f>
        <v>BADGE</v>
      </c>
      <c r="D211" s="5" t="str">
        <f>IFERROR(__xludf.DUMMYFUNCTION("""COMPUTED_VALUE"""),"HAITI NATIONAL TEAM")</f>
        <v>HAITI NATIONAL TEAM</v>
      </c>
      <c r="E211" s="5">
        <f>IFERROR(__xludf.DUMMYFUNCTION("""COMPUTED_VALUE"""),0.0)</f>
        <v>0</v>
      </c>
      <c r="F211" s="5">
        <f>IFERROR(__xludf.DUMMYFUNCTION("""COMPUTED_VALUE"""),0.0)</f>
        <v>0</v>
      </c>
    </row>
    <row r="212">
      <c r="A212" s="5" t="str">
        <f>IFERROR(__xludf.DUMMYFUNCTION("""COMPUTED_VALUE"""),"HAI 02")</f>
        <v>HAI 02</v>
      </c>
      <c r="B212" s="5" t="str">
        <f>IFERROR(__xludf.DUMMYFUNCTION("""COMPUTED_VALUE"""),"HAITI")</f>
        <v>HAITI</v>
      </c>
      <c r="C212" s="5" t="str">
        <f>IFERROR(__xludf.DUMMYFUNCTION("""COMPUTED_VALUE"""),"NORMAL")</f>
        <v>NORMAL</v>
      </c>
      <c r="D212" s="5" t="str">
        <f>IFERROR(__xludf.DUMMYFUNCTION("""COMPUTED_VALUE"""),"JOHNY PLACIDE")</f>
        <v>JOHNY PLACIDE</v>
      </c>
      <c r="E212" s="5">
        <f>IFERROR(__xludf.DUMMYFUNCTION("""COMPUTED_VALUE"""),0.0)</f>
        <v>0</v>
      </c>
      <c r="F212" s="5">
        <f>IFERROR(__xludf.DUMMYFUNCTION("""COMPUTED_VALUE"""),0.0)</f>
        <v>0</v>
      </c>
    </row>
    <row r="213">
      <c r="A213" s="5" t="str">
        <f>IFERROR(__xludf.DUMMYFUNCTION("""COMPUTED_VALUE"""),"HAI 03")</f>
        <v>HAI 03</v>
      </c>
      <c r="B213" s="5" t="str">
        <f>IFERROR(__xludf.DUMMYFUNCTION("""COMPUTED_VALUE"""),"HAITI")</f>
        <v>HAITI</v>
      </c>
      <c r="C213" s="5" t="str">
        <f>IFERROR(__xludf.DUMMYFUNCTION("""COMPUTED_VALUE"""),"NORMAL")</f>
        <v>NORMAL</v>
      </c>
      <c r="D213" s="5" t="str">
        <f>IFERROR(__xludf.DUMMYFUNCTION("""COMPUTED_VALUE"""),"CARLENS ARCUS")</f>
        <v>CARLENS ARCUS</v>
      </c>
      <c r="E213" s="5">
        <f>IFERROR(__xludf.DUMMYFUNCTION("""COMPUTED_VALUE"""),0.0)</f>
        <v>0</v>
      </c>
      <c r="F213" s="5">
        <f>IFERROR(__xludf.DUMMYFUNCTION("""COMPUTED_VALUE"""),0.0)</f>
        <v>0</v>
      </c>
    </row>
    <row r="214">
      <c r="A214" s="5" t="str">
        <f>IFERROR(__xludf.DUMMYFUNCTION("""COMPUTED_VALUE"""),"HAI 04")</f>
        <v>HAI 04</v>
      </c>
      <c r="B214" s="5" t="str">
        <f>IFERROR(__xludf.DUMMYFUNCTION("""COMPUTED_VALUE"""),"HAITI")</f>
        <v>HAITI</v>
      </c>
      <c r="C214" s="5" t="str">
        <f>IFERROR(__xludf.DUMMYFUNCTION("""COMPUTED_VALUE"""),"NORMAL")</f>
        <v>NORMAL</v>
      </c>
      <c r="D214" s="5" t="str">
        <f>IFERROR(__xludf.DUMMYFUNCTION("""COMPUTED_VALUE"""),"MARTIN EXPERIENCE")</f>
        <v>MARTIN EXPERIENCE</v>
      </c>
      <c r="E214" s="5">
        <f>IFERROR(__xludf.DUMMYFUNCTION("""COMPUTED_VALUE"""),0.0)</f>
        <v>0</v>
      </c>
      <c r="F214" s="5">
        <f>IFERROR(__xludf.DUMMYFUNCTION("""COMPUTED_VALUE"""),0.0)</f>
        <v>0</v>
      </c>
    </row>
    <row r="215">
      <c r="A215" s="5" t="str">
        <f>IFERROR(__xludf.DUMMYFUNCTION("""COMPUTED_VALUE"""),"HAI 05")</f>
        <v>HAI 05</v>
      </c>
      <c r="B215" s="5" t="str">
        <f>IFERROR(__xludf.DUMMYFUNCTION("""COMPUTED_VALUE"""),"HAITI")</f>
        <v>HAITI</v>
      </c>
      <c r="C215" s="5" t="str">
        <f>IFERROR(__xludf.DUMMYFUNCTION("""COMPUTED_VALUE"""),"NORMAL")</f>
        <v>NORMAL</v>
      </c>
      <c r="D215" s="5" t="str">
        <f>IFERROR(__xludf.DUMMYFUNCTION("""COMPUTED_VALUE"""),"JEAN KEVIN DUVERNE")</f>
        <v>JEAN KEVIN DUVERNE</v>
      </c>
      <c r="E215" s="5">
        <f>IFERROR(__xludf.DUMMYFUNCTION("""COMPUTED_VALUE"""),0.0)</f>
        <v>0</v>
      </c>
      <c r="F215" s="5">
        <f>IFERROR(__xludf.DUMMYFUNCTION("""COMPUTED_VALUE"""),0.0)</f>
        <v>0</v>
      </c>
    </row>
    <row r="216">
      <c r="A216" s="5" t="str">
        <f>IFERROR(__xludf.DUMMYFUNCTION("""COMPUTED_VALUE"""),"HAI 06")</f>
        <v>HAI 06</v>
      </c>
      <c r="B216" s="5" t="str">
        <f>IFERROR(__xludf.DUMMYFUNCTION("""COMPUTED_VALUE"""),"HAITI")</f>
        <v>HAITI</v>
      </c>
      <c r="C216" s="5" t="str">
        <f>IFERROR(__xludf.DUMMYFUNCTION("""COMPUTED_VALUE"""),"NORMAL")</f>
        <v>NORMAL</v>
      </c>
      <c r="D216" s="5" t="str">
        <f>IFERROR(__xludf.DUMMYFUNCTION("""COMPUTED_VALUE"""),"RICARDO ADÉ")</f>
        <v>RICARDO ADÉ</v>
      </c>
      <c r="E216" s="5">
        <f>IFERROR(__xludf.DUMMYFUNCTION("""COMPUTED_VALUE"""),0.0)</f>
        <v>0</v>
      </c>
      <c r="F216" s="5">
        <f>IFERROR(__xludf.DUMMYFUNCTION("""COMPUTED_VALUE"""),0.0)</f>
        <v>0</v>
      </c>
    </row>
    <row r="217">
      <c r="A217" s="5" t="str">
        <f>IFERROR(__xludf.DUMMYFUNCTION("""COMPUTED_VALUE"""),"HAI 07")</f>
        <v>HAI 07</v>
      </c>
      <c r="B217" s="5" t="str">
        <f>IFERROR(__xludf.DUMMYFUNCTION("""COMPUTED_VALUE"""),"HAITI")</f>
        <v>HAITI</v>
      </c>
      <c r="C217" s="5" t="str">
        <f>IFERROR(__xludf.DUMMYFUNCTION("""COMPUTED_VALUE"""),"NORMAL")</f>
        <v>NORMAL</v>
      </c>
      <c r="D217" s="5" t="str">
        <f>IFERROR(__xludf.DUMMYFUNCTION("""COMPUTED_VALUE"""),"DUKE LACROIX")</f>
        <v>DUKE LACROIX</v>
      </c>
      <c r="E217" s="5">
        <f>IFERROR(__xludf.DUMMYFUNCTION("""COMPUTED_VALUE"""),0.0)</f>
        <v>0</v>
      </c>
      <c r="F217" s="5">
        <f>IFERROR(__xludf.DUMMYFUNCTION("""COMPUTED_VALUE"""),0.0)</f>
        <v>0</v>
      </c>
    </row>
    <row r="218">
      <c r="A218" s="5" t="str">
        <f>IFERROR(__xludf.DUMMYFUNCTION("""COMPUTED_VALUE"""),"HAI 08")</f>
        <v>HAI 08</v>
      </c>
      <c r="B218" s="5" t="str">
        <f>IFERROR(__xludf.DUMMYFUNCTION("""COMPUTED_VALUE"""),"HAITI")</f>
        <v>HAITI</v>
      </c>
      <c r="C218" s="5" t="str">
        <f>IFERROR(__xludf.DUMMYFUNCTION("""COMPUTED_VALUE"""),"NORMAL")</f>
        <v>NORMAL</v>
      </c>
      <c r="D218" s="5" t="str">
        <f>IFERROR(__xludf.DUMMYFUNCTION("""COMPUTED_VALUE"""),"GARVEN METUSALA")</f>
        <v>GARVEN METUSALA</v>
      </c>
      <c r="E218" s="5">
        <f>IFERROR(__xludf.DUMMYFUNCTION("""COMPUTED_VALUE"""),0.0)</f>
        <v>0</v>
      </c>
      <c r="F218" s="5">
        <f>IFERROR(__xludf.DUMMYFUNCTION("""COMPUTED_VALUE"""),0.0)</f>
        <v>0</v>
      </c>
    </row>
    <row r="219">
      <c r="A219" s="5" t="str">
        <f>IFERROR(__xludf.DUMMYFUNCTION("""COMPUTED_VALUE"""),"HAI 09")</f>
        <v>HAI 09</v>
      </c>
      <c r="B219" s="5" t="str">
        <f>IFERROR(__xludf.DUMMYFUNCTION("""COMPUTED_VALUE"""),"HAITI")</f>
        <v>HAITI</v>
      </c>
      <c r="C219" s="5" t="str">
        <f>IFERROR(__xludf.DUMMYFUNCTION("""COMPUTED_VALUE"""),"NORMAL")</f>
        <v>NORMAL</v>
      </c>
      <c r="D219" s="5" t="str">
        <f>IFERROR(__xludf.DUMMYFUNCTION("""COMPUTED_VALUE"""),"HANNES DEL CROIX")</f>
        <v>HANNES DEL CROIX</v>
      </c>
      <c r="E219" s="5">
        <f>IFERROR(__xludf.DUMMYFUNCTION("""COMPUTED_VALUE"""),0.0)</f>
        <v>0</v>
      </c>
      <c r="F219" s="5">
        <f>IFERROR(__xludf.DUMMYFUNCTION("""COMPUTED_VALUE"""),0.0)</f>
        <v>0</v>
      </c>
    </row>
    <row r="220">
      <c r="A220" s="5" t="str">
        <f>IFERROR(__xludf.DUMMYFUNCTION("""COMPUTED_VALUE"""),"HAI 10")</f>
        <v>HAI 10</v>
      </c>
      <c r="B220" s="5" t="str">
        <f>IFERROR(__xludf.DUMMYFUNCTION("""COMPUTED_VALUE"""),"HAITI")</f>
        <v>HAITI</v>
      </c>
      <c r="C220" s="5" t="str">
        <f>IFERROR(__xludf.DUMMYFUNCTION("""COMPUTED_VALUE"""),"NORMAL")</f>
        <v>NORMAL</v>
      </c>
      <c r="D220" s="5" t="str">
        <f>IFERROR(__xludf.DUMMYFUNCTION("""COMPUTED_VALUE"""),"LEVERTON PIERRE")</f>
        <v>LEVERTON PIERRE</v>
      </c>
      <c r="E220" s="5">
        <f>IFERROR(__xludf.DUMMYFUNCTION("""COMPUTED_VALUE"""),0.0)</f>
        <v>0</v>
      </c>
      <c r="F220" s="5">
        <f>IFERROR(__xludf.DUMMYFUNCTION("""COMPUTED_VALUE"""),0.0)</f>
        <v>0</v>
      </c>
    </row>
    <row r="221">
      <c r="A221" s="5" t="str">
        <f>IFERROR(__xludf.DUMMYFUNCTION("""COMPUTED_VALUE"""),"HAI 11")</f>
        <v>HAI 11</v>
      </c>
      <c r="B221" s="5" t="str">
        <f>IFERROR(__xludf.DUMMYFUNCTION("""COMPUTED_VALUE"""),"HAITI")</f>
        <v>HAITI</v>
      </c>
      <c r="C221" s="5" t="str">
        <f>IFERROR(__xludf.DUMMYFUNCTION("""COMPUTED_VALUE"""),"NORMAL")</f>
        <v>NORMAL</v>
      </c>
      <c r="D221" s="5" t="str">
        <f>IFERROR(__xludf.DUMMYFUNCTION("""COMPUTED_VALUE"""),"DANLEY JEAN JACQUES")</f>
        <v>DANLEY JEAN JACQUES</v>
      </c>
      <c r="E221" s="5">
        <f>IFERROR(__xludf.DUMMYFUNCTION("""COMPUTED_VALUE"""),0.0)</f>
        <v>0</v>
      </c>
      <c r="F221" s="5">
        <f>IFERROR(__xludf.DUMMYFUNCTION("""COMPUTED_VALUE"""),0.0)</f>
        <v>0</v>
      </c>
    </row>
    <row r="222">
      <c r="A222" s="5" t="str">
        <f>IFERROR(__xludf.DUMMYFUNCTION("""COMPUTED_VALUE"""),"HAI 12")</f>
        <v>HAI 12</v>
      </c>
      <c r="B222" s="5" t="str">
        <f>IFERROR(__xludf.DUMMYFUNCTION("""COMPUTED_VALUE"""),"HAITI")</f>
        <v>HAITI</v>
      </c>
      <c r="C222" s="5" t="str">
        <f>IFERROR(__xludf.DUMMYFUNCTION("""COMPUTED_VALUE"""),"NORMAL")</f>
        <v>NORMAL</v>
      </c>
      <c r="D222" s="5" t="str">
        <f>IFERROR(__xludf.DUMMYFUNCTION("""COMPUTED_VALUE"""),"JEAN RICNER BELLEGARDE")</f>
        <v>JEAN RICNER BELLEGARDE</v>
      </c>
      <c r="E222" s="5">
        <f>IFERROR(__xludf.DUMMYFUNCTION("""COMPUTED_VALUE"""),0.0)</f>
        <v>0</v>
      </c>
      <c r="F222" s="5">
        <f>IFERROR(__xludf.DUMMYFUNCTION("""COMPUTED_VALUE"""),0.0)</f>
        <v>0</v>
      </c>
    </row>
    <row r="223">
      <c r="A223" s="5" t="str">
        <f>IFERROR(__xludf.DUMMYFUNCTION("""COMPUTED_VALUE"""),"HAI 13")</f>
        <v>HAI 13</v>
      </c>
      <c r="B223" s="5" t="str">
        <f>IFERROR(__xludf.DUMMYFUNCTION("""COMPUTED_VALUE"""),"HAITI")</f>
        <v>HAITI</v>
      </c>
      <c r="C223" s="5" t="str">
        <f>IFERROR(__xludf.DUMMYFUNCTION("""COMPUTED_VALUE"""),"TEAM")</f>
        <v>TEAM</v>
      </c>
      <c r="D223" s="5" t="str">
        <f>IFERROR(__xludf.DUMMYFUNCTION("""COMPUTED_VALUE"""),"HAITI NATIONAL TEAM")</f>
        <v>HAITI NATIONAL TEAM</v>
      </c>
      <c r="E223" s="5">
        <f>IFERROR(__xludf.DUMMYFUNCTION("""COMPUTED_VALUE"""),0.0)</f>
        <v>0</v>
      </c>
      <c r="F223" s="5">
        <f>IFERROR(__xludf.DUMMYFUNCTION("""COMPUTED_VALUE"""),0.0)</f>
        <v>0</v>
      </c>
    </row>
    <row r="224">
      <c r="A224" s="5" t="str">
        <f>IFERROR(__xludf.DUMMYFUNCTION("""COMPUTED_VALUE"""),"HAI 14")</f>
        <v>HAI 14</v>
      </c>
      <c r="B224" s="5" t="str">
        <f>IFERROR(__xludf.DUMMYFUNCTION("""COMPUTED_VALUE"""),"HAITI")</f>
        <v>HAITI</v>
      </c>
      <c r="C224" s="5" t="str">
        <f>IFERROR(__xludf.DUMMYFUNCTION("""COMPUTED_VALUE"""),"NORMAL")</f>
        <v>NORMAL</v>
      </c>
      <c r="D224" s="5" t="str">
        <f>IFERROR(__xludf.DUMMYFUNCTION("""COMPUTED_VALUE"""),"CHRISTOPHER ATTYS")</f>
        <v>CHRISTOPHER ATTYS</v>
      </c>
      <c r="E224" s="5">
        <f>IFERROR(__xludf.DUMMYFUNCTION("""COMPUTED_VALUE"""),0.0)</f>
        <v>0</v>
      </c>
      <c r="F224" s="5">
        <f>IFERROR(__xludf.DUMMYFUNCTION("""COMPUTED_VALUE"""),0.0)</f>
        <v>0</v>
      </c>
    </row>
    <row r="225">
      <c r="A225" s="5" t="str">
        <f>IFERROR(__xludf.DUMMYFUNCTION("""COMPUTED_VALUE"""),"HAI 15")</f>
        <v>HAI 15</v>
      </c>
      <c r="B225" s="5" t="str">
        <f>IFERROR(__xludf.DUMMYFUNCTION("""COMPUTED_VALUE"""),"HAITI")</f>
        <v>HAITI</v>
      </c>
      <c r="C225" s="5" t="str">
        <f>IFERROR(__xludf.DUMMYFUNCTION("""COMPUTED_VALUE"""),"NORMAL")</f>
        <v>NORMAL</v>
      </c>
      <c r="D225" s="5" t="str">
        <f>IFERROR(__xludf.DUMMYFUNCTION("""COMPUTED_VALUE"""),"DERRICK ETIENNER JR.")</f>
        <v>DERRICK ETIENNER JR.</v>
      </c>
      <c r="E225" s="5">
        <f>IFERROR(__xludf.DUMMYFUNCTION("""COMPUTED_VALUE"""),0.0)</f>
        <v>0</v>
      </c>
      <c r="F225" s="5">
        <f>IFERROR(__xludf.DUMMYFUNCTION("""COMPUTED_VALUE"""),0.0)</f>
        <v>0</v>
      </c>
    </row>
    <row r="226">
      <c r="A226" s="5" t="str">
        <f>IFERROR(__xludf.DUMMYFUNCTION("""COMPUTED_VALUE"""),"HAI 16")</f>
        <v>HAI 16</v>
      </c>
      <c r="B226" s="5" t="str">
        <f>IFERROR(__xludf.DUMMYFUNCTION("""COMPUTED_VALUE"""),"HAITI")</f>
        <v>HAITI</v>
      </c>
      <c r="C226" s="5" t="str">
        <f>IFERROR(__xludf.DUMMYFUNCTION("""COMPUTED_VALUE"""),"NORMAL")</f>
        <v>NORMAL</v>
      </c>
      <c r="D226" s="5" t="str">
        <f>IFERROR(__xludf.DUMMYFUNCTION("""COMPUTED_VALUE"""),"JOSUÉ CASIMIR")</f>
        <v>JOSUÉ CASIMIR</v>
      </c>
      <c r="E226" s="5">
        <f>IFERROR(__xludf.DUMMYFUNCTION("""COMPUTED_VALUE"""),0.0)</f>
        <v>0</v>
      </c>
      <c r="F226" s="5">
        <f>IFERROR(__xludf.DUMMYFUNCTION("""COMPUTED_VALUE"""),0.0)</f>
        <v>0</v>
      </c>
    </row>
    <row r="227">
      <c r="A227" s="5" t="str">
        <f>IFERROR(__xludf.DUMMYFUNCTION("""COMPUTED_VALUE"""),"HAI 17")</f>
        <v>HAI 17</v>
      </c>
      <c r="B227" s="5" t="str">
        <f>IFERROR(__xludf.DUMMYFUNCTION("""COMPUTED_VALUE"""),"HAITI")</f>
        <v>HAITI</v>
      </c>
      <c r="C227" s="5" t="str">
        <f>IFERROR(__xludf.DUMMYFUNCTION("""COMPUTED_VALUE"""),"NORMAL")</f>
        <v>NORMAL</v>
      </c>
      <c r="D227" s="5" t="str">
        <f>IFERROR(__xludf.DUMMYFUNCTION("""COMPUTED_VALUE"""),"RUBEN PROVIDENCE")</f>
        <v>RUBEN PROVIDENCE</v>
      </c>
      <c r="E227" s="5">
        <f>IFERROR(__xludf.DUMMYFUNCTION("""COMPUTED_VALUE"""),0.0)</f>
        <v>0</v>
      </c>
      <c r="F227" s="5">
        <f>IFERROR(__xludf.DUMMYFUNCTION("""COMPUTED_VALUE"""),0.0)</f>
        <v>0</v>
      </c>
    </row>
    <row r="228">
      <c r="A228" s="5" t="str">
        <f>IFERROR(__xludf.DUMMYFUNCTION("""COMPUTED_VALUE"""),"HAI 18")</f>
        <v>HAI 18</v>
      </c>
      <c r="B228" s="5" t="str">
        <f>IFERROR(__xludf.DUMMYFUNCTION("""COMPUTED_VALUE"""),"HAITI")</f>
        <v>HAITI</v>
      </c>
      <c r="C228" s="5" t="str">
        <f>IFERROR(__xludf.DUMMYFUNCTION("""COMPUTED_VALUE"""),"NORMAL")</f>
        <v>NORMAL</v>
      </c>
      <c r="D228" s="5" t="str">
        <f>IFERROR(__xludf.DUMMYFUNCTION("""COMPUTED_VALUE"""),"DUCKENS NAZON")</f>
        <v>DUCKENS NAZON</v>
      </c>
      <c r="E228" s="5">
        <f>IFERROR(__xludf.DUMMYFUNCTION("""COMPUTED_VALUE"""),0.0)</f>
        <v>0</v>
      </c>
      <c r="F228" s="5">
        <f>IFERROR(__xludf.DUMMYFUNCTION("""COMPUTED_VALUE"""),0.0)</f>
        <v>0</v>
      </c>
    </row>
    <row r="229">
      <c r="A229" s="5" t="str">
        <f>IFERROR(__xludf.DUMMYFUNCTION("""COMPUTED_VALUE"""),"HAI 19")</f>
        <v>HAI 19</v>
      </c>
      <c r="B229" s="5" t="str">
        <f>IFERROR(__xludf.DUMMYFUNCTION("""COMPUTED_VALUE"""),"HAITI")</f>
        <v>HAITI</v>
      </c>
      <c r="C229" s="5" t="str">
        <f>IFERROR(__xludf.DUMMYFUNCTION("""COMPUTED_VALUE"""),"NORMAL")</f>
        <v>NORMAL</v>
      </c>
      <c r="D229" s="5" t="str">
        <f>IFERROR(__xludf.DUMMYFUNCTION("""COMPUTED_VALUE"""),"LOUICIUS DEEDSON")</f>
        <v>LOUICIUS DEEDSON</v>
      </c>
      <c r="E229" s="5">
        <f>IFERROR(__xludf.DUMMYFUNCTION("""COMPUTED_VALUE"""),0.0)</f>
        <v>0</v>
      </c>
      <c r="F229" s="5">
        <f>IFERROR(__xludf.DUMMYFUNCTION("""COMPUTED_VALUE"""),0.0)</f>
        <v>0</v>
      </c>
    </row>
    <row r="230">
      <c r="A230" s="5" t="str">
        <f>IFERROR(__xludf.DUMMYFUNCTION("""COMPUTED_VALUE"""),"HAI 20")</f>
        <v>HAI 20</v>
      </c>
      <c r="B230" s="5" t="str">
        <f>IFERROR(__xludf.DUMMYFUNCTION("""COMPUTED_VALUE"""),"HAITI")</f>
        <v>HAITI</v>
      </c>
      <c r="C230" s="5" t="str">
        <f>IFERROR(__xludf.DUMMYFUNCTION("""COMPUTED_VALUE"""),"NORMAL")</f>
        <v>NORMAL</v>
      </c>
      <c r="D230" s="5" t="str">
        <f>IFERROR(__xludf.DUMMYFUNCTION("""COMPUTED_VALUE"""),"FRANTZDY PIERROT")</f>
        <v>FRANTZDY PIERROT</v>
      </c>
      <c r="E230" s="5">
        <f>IFERROR(__xludf.DUMMYFUNCTION("""COMPUTED_VALUE"""),0.0)</f>
        <v>0</v>
      </c>
      <c r="F230" s="5">
        <f>IFERROR(__xludf.DUMMYFUNCTION("""COMPUTED_VALUE"""),0.0)</f>
        <v>0</v>
      </c>
    </row>
    <row r="231">
      <c r="A231" s="5" t="str">
        <f>IFERROR(__xludf.DUMMYFUNCTION("""COMPUTED_VALUE"""),"SCO01")</f>
        <v>SCO01</v>
      </c>
      <c r="B231" s="5" t="str">
        <f>IFERROR(__xludf.DUMMYFUNCTION("""COMPUTED_VALUE"""),"SCOTLAND")</f>
        <v>SCOTLAND</v>
      </c>
      <c r="C231" s="5" t="str">
        <f>IFERROR(__xludf.DUMMYFUNCTION("""COMPUTED_VALUE"""),"BADGE")</f>
        <v>BADGE</v>
      </c>
      <c r="D231" s="5" t="str">
        <f>IFERROR(__xludf.DUMMYFUNCTION("""COMPUTED_VALUE"""),"SCOTLAND NATIONAL TEAM")</f>
        <v>SCOTLAND NATIONAL TEAM</v>
      </c>
      <c r="E231" s="5">
        <f>IFERROR(__xludf.DUMMYFUNCTION("""COMPUTED_VALUE"""),0.0)</f>
        <v>0</v>
      </c>
      <c r="F231" s="5">
        <f>IFERROR(__xludf.DUMMYFUNCTION("""COMPUTED_VALUE"""),0.0)</f>
        <v>0</v>
      </c>
    </row>
    <row r="232">
      <c r="A232" s="5" t="str">
        <f>IFERROR(__xludf.DUMMYFUNCTION("""COMPUTED_VALUE"""),"SCO02")</f>
        <v>SCO02</v>
      </c>
      <c r="B232" s="5" t="str">
        <f>IFERROR(__xludf.DUMMYFUNCTION("""COMPUTED_VALUE"""),"SCOTLAND")</f>
        <v>SCOTLAND</v>
      </c>
      <c r="C232" s="5" t="str">
        <f>IFERROR(__xludf.DUMMYFUNCTION("""COMPUTED_VALUE"""),"NORMAL")</f>
        <v>NORMAL</v>
      </c>
      <c r="D232" s="5" t="str">
        <f>IFERROR(__xludf.DUMMYFUNCTION("""COMPUTED_VALUE"""),"ANGUS GUNN")</f>
        <v>ANGUS GUNN</v>
      </c>
      <c r="E232" s="5">
        <f>IFERROR(__xludf.DUMMYFUNCTION("""COMPUTED_VALUE"""),0.0)</f>
        <v>0</v>
      </c>
      <c r="F232" s="5">
        <f>IFERROR(__xludf.DUMMYFUNCTION("""COMPUTED_VALUE"""),0.0)</f>
        <v>0</v>
      </c>
    </row>
    <row r="233">
      <c r="A233" s="5" t="str">
        <f>IFERROR(__xludf.DUMMYFUNCTION("""COMPUTED_VALUE"""),"SCO03")</f>
        <v>SCO03</v>
      </c>
      <c r="B233" s="5" t="str">
        <f>IFERROR(__xludf.DUMMYFUNCTION("""COMPUTED_VALUE"""),"SCOTLAND")</f>
        <v>SCOTLAND</v>
      </c>
      <c r="C233" s="5" t="str">
        <f>IFERROR(__xludf.DUMMYFUNCTION("""COMPUTED_VALUE"""),"NORMAL")</f>
        <v>NORMAL</v>
      </c>
      <c r="D233" s="5" t="str">
        <f>IFERROR(__xludf.DUMMYFUNCTION("""COMPUTED_VALUE"""),"JACK HENDRY")</f>
        <v>JACK HENDRY</v>
      </c>
      <c r="E233" s="5">
        <f>IFERROR(__xludf.DUMMYFUNCTION("""COMPUTED_VALUE"""),0.0)</f>
        <v>0</v>
      </c>
      <c r="F233" s="5">
        <f>IFERROR(__xludf.DUMMYFUNCTION("""COMPUTED_VALUE"""),0.0)</f>
        <v>0</v>
      </c>
    </row>
    <row r="234">
      <c r="A234" s="5" t="str">
        <f>IFERROR(__xludf.DUMMYFUNCTION("""COMPUTED_VALUE"""),"SCO04")</f>
        <v>SCO04</v>
      </c>
      <c r="B234" s="5" t="str">
        <f>IFERROR(__xludf.DUMMYFUNCTION("""COMPUTED_VALUE"""),"SCOTLAND")</f>
        <v>SCOTLAND</v>
      </c>
      <c r="C234" s="5" t="str">
        <f>IFERROR(__xludf.DUMMYFUNCTION("""COMPUTED_VALUE"""),"NORMAL")</f>
        <v>NORMAL</v>
      </c>
      <c r="D234" s="5" t="str">
        <f>IFERROR(__xludf.DUMMYFUNCTION("""COMPUTED_VALUE"""),"KIERAN TIERNEY")</f>
        <v>KIERAN TIERNEY</v>
      </c>
      <c r="E234" s="5">
        <f>IFERROR(__xludf.DUMMYFUNCTION("""COMPUTED_VALUE"""),0.0)</f>
        <v>0</v>
      </c>
      <c r="F234" s="5">
        <f>IFERROR(__xludf.DUMMYFUNCTION("""COMPUTED_VALUE"""),0.0)</f>
        <v>0</v>
      </c>
    </row>
    <row r="235">
      <c r="A235" s="5" t="str">
        <f>IFERROR(__xludf.DUMMYFUNCTION("""COMPUTED_VALUE"""),"SCO05")</f>
        <v>SCO05</v>
      </c>
      <c r="B235" s="5" t="str">
        <f>IFERROR(__xludf.DUMMYFUNCTION("""COMPUTED_VALUE"""),"SCOTLAND")</f>
        <v>SCOTLAND</v>
      </c>
      <c r="C235" s="5" t="str">
        <f>IFERROR(__xludf.DUMMYFUNCTION("""COMPUTED_VALUE"""),"NORMAL")</f>
        <v>NORMAL</v>
      </c>
      <c r="D235" s="5" t="str">
        <f>IFERROR(__xludf.DUMMYFUNCTION("""COMPUTED_VALUE"""),"AARON HICKEY")</f>
        <v>AARON HICKEY</v>
      </c>
      <c r="E235" s="5">
        <f>IFERROR(__xludf.DUMMYFUNCTION("""COMPUTED_VALUE"""),0.0)</f>
        <v>0</v>
      </c>
      <c r="F235" s="5">
        <f>IFERROR(__xludf.DUMMYFUNCTION("""COMPUTED_VALUE"""),0.0)</f>
        <v>0</v>
      </c>
    </row>
    <row r="236">
      <c r="A236" s="5" t="str">
        <f>IFERROR(__xludf.DUMMYFUNCTION("""COMPUTED_VALUE"""),"SCO06")</f>
        <v>SCO06</v>
      </c>
      <c r="B236" s="5" t="str">
        <f>IFERROR(__xludf.DUMMYFUNCTION("""COMPUTED_VALUE"""),"SCOTLAND")</f>
        <v>SCOTLAND</v>
      </c>
      <c r="C236" s="5" t="str">
        <f>IFERROR(__xludf.DUMMYFUNCTION("""COMPUTED_VALUE"""),"NORMAL")</f>
        <v>NORMAL</v>
      </c>
      <c r="D236" s="5" t="str">
        <f>IFERROR(__xludf.DUMMYFUNCTION("""COMPUTED_VALUE"""),"ANDREW ROBERTSON")</f>
        <v>ANDREW ROBERTSON</v>
      </c>
      <c r="E236" s="5">
        <f>IFERROR(__xludf.DUMMYFUNCTION("""COMPUTED_VALUE"""),0.0)</f>
        <v>0</v>
      </c>
      <c r="F236" s="5">
        <f>IFERROR(__xludf.DUMMYFUNCTION("""COMPUTED_VALUE"""),0.0)</f>
        <v>0</v>
      </c>
    </row>
    <row r="237">
      <c r="A237" s="5" t="str">
        <f>IFERROR(__xludf.DUMMYFUNCTION("""COMPUTED_VALUE"""),"SCO07")</f>
        <v>SCO07</v>
      </c>
      <c r="B237" s="5" t="str">
        <f>IFERROR(__xludf.DUMMYFUNCTION("""COMPUTED_VALUE"""),"SCOTLAND")</f>
        <v>SCOTLAND</v>
      </c>
      <c r="C237" s="5" t="str">
        <f>IFERROR(__xludf.DUMMYFUNCTION("""COMPUTED_VALUE"""),"NORMAL")</f>
        <v>NORMAL</v>
      </c>
      <c r="D237" s="5" t="str">
        <f>IFERROR(__xludf.DUMMYFUNCTION("""COMPUTED_VALUE"""),"SCOTT MCKENNA")</f>
        <v>SCOTT MCKENNA</v>
      </c>
      <c r="E237" s="5">
        <f>IFERROR(__xludf.DUMMYFUNCTION("""COMPUTED_VALUE"""),0.0)</f>
        <v>0</v>
      </c>
      <c r="F237" s="5">
        <f>IFERROR(__xludf.DUMMYFUNCTION("""COMPUTED_VALUE"""),0.0)</f>
        <v>0</v>
      </c>
    </row>
    <row r="238">
      <c r="A238" s="5" t="str">
        <f>IFERROR(__xludf.DUMMYFUNCTION("""COMPUTED_VALUE"""),"SCO08")</f>
        <v>SCO08</v>
      </c>
      <c r="B238" s="5" t="str">
        <f>IFERROR(__xludf.DUMMYFUNCTION("""COMPUTED_VALUE"""),"SCOTLAND")</f>
        <v>SCOTLAND</v>
      </c>
      <c r="C238" s="5" t="str">
        <f>IFERROR(__xludf.DUMMYFUNCTION("""COMPUTED_VALUE"""),"NORMAL")</f>
        <v>NORMAL</v>
      </c>
      <c r="D238" s="5" t="str">
        <f>IFERROR(__xludf.DUMMYFUNCTION("""COMPUTED_VALUE"""),"JOHN SOUTTAR")</f>
        <v>JOHN SOUTTAR</v>
      </c>
      <c r="E238" s="5">
        <f>IFERROR(__xludf.DUMMYFUNCTION("""COMPUTED_VALUE"""),0.0)</f>
        <v>0</v>
      </c>
      <c r="F238" s="5">
        <f>IFERROR(__xludf.DUMMYFUNCTION("""COMPUTED_VALUE"""),0.0)</f>
        <v>0</v>
      </c>
    </row>
    <row r="239">
      <c r="A239" s="5" t="str">
        <f>IFERROR(__xludf.DUMMYFUNCTION("""COMPUTED_VALUE"""),"SCO09")</f>
        <v>SCO09</v>
      </c>
      <c r="B239" s="5" t="str">
        <f>IFERROR(__xludf.DUMMYFUNCTION("""COMPUTED_VALUE"""),"SCOTLAND")</f>
        <v>SCOTLAND</v>
      </c>
      <c r="C239" s="5" t="str">
        <f>IFERROR(__xludf.DUMMYFUNCTION("""COMPUTED_VALUE"""),"NORMAL")</f>
        <v>NORMAL</v>
      </c>
      <c r="D239" s="5" t="str">
        <f>IFERROR(__xludf.DUMMYFUNCTION("""COMPUTED_VALUE"""),"ANTHONY RALSTON")</f>
        <v>ANTHONY RALSTON</v>
      </c>
      <c r="E239" s="5">
        <f>IFERROR(__xludf.DUMMYFUNCTION("""COMPUTED_VALUE"""),0.0)</f>
        <v>0</v>
      </c>
      <c r="F239" s="5">
        <f>IFERROR(__xludf.DUMMYFUNCTION("""COMPUTED_VALUE"""),0.0)</f>
        <v>0</v>
      </c>
    </row>
    <row r="240">
      <c r="A240" s="5" t="str">
        <f>IFERROR(__xludf.DUMMYFUNCTION("""COMPUTED_VALUE"""),"SCO10")</f>
        <v>SCO10</v>
      </c>
      <c r="B240" s="5" t="str">
        <f>IFERROR(__xludf.DUMMYFUNCTION("""COMPUTED_VALUE"""),"SCOTLAND")</f>
        <v>SCOTLAND</v>
      </c>
      <c r="C240" s="5" t="str">
        <f>IFERROR(__xludf.DUMMYFUNCTION("""COMPUTED_VALUE"""),"NORMAL")</f>
        <v>NORMAL</v>
      </c>
      <c r="D240" s="5" t="str">
        <f>IFERROR(__xludf.DUMMYFUNCTION("""COMPUTED_VALUE"""),"GRANT HANLEY")</f>
        <v>GRANT HANLEY</v>
      </c>
      <c r="E240" s="5">
        <f>IFERROR(__xludf.DUMMYFUNCTION("""COMPUTED_VALUE"""),0.0)</f>
        <v>0</v>
      </c>
      <c r="F240" s="5">
        <f>IFERROR(__xludf.DUMMYFUNCTION("""COMPUTED_VALUE"""),0.0)</f>
        <v>0</v>
      </c>
    </row>
    <row r="241">
      <c r="A241" s="5" t="str">
        <f>IFERROR(__xludf.DUMMYFUNCTION("""COMPUTED_VALUE"""),"SCO11")</f>
        <v>SCO11</v>
      </c>
      <c r="B241" s="5" t="str">
        <f>IFERROR(__xludf.DUMMYFUNCTION("""COMPUTED_VALUE"""),"SCOTLAND")</f>
        <v>SCOTLAND</v>
      </c>
      <c r="C241" s="5" t="str">
        <f>IFERROR(__xludf.DUMMYFUNCTION("""COMPUTED_VALUE"""),"NORMAL")</f>
        <v>NORMAL</v>
      </c>
      <c r="D241" s="5" t="str">
        <f>IFERROR(__xludf.DUMMYFUNCTION("""COMPUTED_VALUE"""),"SCOTT MCTOMMINAY")</f>
        <v>SCOTT MCTOMMINAY</v>
      </c>
      <c r="E241" s="5">
        <f>IFERROR(__xludf.DUMMYFUNCTION("""COMPUTED_VALUE"""),0.0)</f>
        <v>0</v>
      </c>
      <c r="F241" s="5">
        <f>IFERROR(__xludf.DUMMYFUNCTION("""COMPUTED_VALUE"""),0.0)</f>
        <v>0</v>
      </c>
    </row>
    <row r="242">
      <c r="A242" s="5" t="str">
        <f>IFERROR(__xludf.DUMMYFUNCTION("""COMPUTED_VALUE"""),"SCO12")</f>
        <v>SCO12</v>
      </c>
      <c r="B242" s="5" t="str">
        <f>IFERROR(__xludf.DUMMYFUNCTION("""COMPUTED_VALUE"""),"SCOTLAND")</f>
        <v>SCOTLAND</v>
      </c>
      <c r="C242" s="5" t="str">
        <f>IFERROR(__xludf.DUMMYFUNCTION("""COMPUTED_VALUE"""),"NORMAL")</f>
        <v>NORMAL</v>
      </c>
      <c r="D242" s="5" t="str">
        <f>IFERROR(__xludf.DUMMYFUNCTION("""COMPUTED_VALUE"""),"BILLY GILMOUR")</f>
        <v>BILLY GILMOUR</v>
      </c>
      <c r="E242" s="5">
        <f>IFERROR(__xludf.DUMMYFUNCTION("""COMPUTED_VALUE"""),0.0)</f>
        <v>0</v>
      </c>
      <c r="F242" s="5">
        <f>IFERROR(__xludf.DUMMYFUNCTION("""COMPUTED_VALUE"""),0.0)</f>
        <v>0</v>
      </c>
    </row>
    <row r="243">
      <c r="A243" s="5" t="str">
        <f>IFERROR(__xludf.DUMMYFUNCTION("""COMPUTED_VALUE"""),"SCO13")</f>
        <v>SCO13</v>
      </c>
      <c r="B243" s="5" t="str">
        <f>IFERROR(__xludf.DUMMYFUNCTION("""COMPUTED_VALUE"""),"SCOTLAND")</f>
        <v>SCOTLAND</v>
      </c>
      <c r="C243" s="5" t="str">
        <f>IFERROR(__xludf.DUMMYFUNCTION("""COMPUTED_VALUE"""),"TEAM")</f>
        <v>TEAM</v>
      </c>
      <c r="D243" s="5" t="str">
        <f>IFERROR(__xludf.DUMMYFUNCTION("""COMPUTED_VALUE"""),"SCOTLAND NATIONAL TEAM")</f>
        <v>SCOTLAND NATIONAL TEAM</v>
      </c>
      <c r="E243" s="5">
        <f>IFERROR(__xludf.DUMMYFUNCTION("""COMPUTED_VALUE"""),0.0)</f>
        <v>0</v>
      </c>
      <c r="F243" s="5">
        <f>IFERROR(__xludf.DUMMYFUNCTION("""COMPUTED_VALUE"""),0.0)</f>
        <v>0</v>
      </c>
    </row>
    <row r="244">
      <c r="A244" s="5" t="str">
        <f>IFERROR(__xludf.DUMMYFUNCTION("""COMPUTED_VALUE"""),"SCO14")</f>
        <v>SCO14</v>
      </c>
      <c r="B244" s="5" t="str">
        <f>IFERROR(__xludf.DUMMYFUNCTION("""COMPUTED_VALUE"""),"SCOTLAND")</f>
        <v>SCOTLAND</v>
      </c>
      <c r="C244" s="5" t="str">
        <f>IFERROR(__xludf.DUMMYFUNCTION("""COMPUTED_VALUE"""),"NORMAL")</f>
        <v>NORMAL</v>
      </c>
      <c r="D244" s="5" t="str">
        <f>IFERROR(__xludf.DUMMYFUNCTION("""COMPUTED_VALUE"""),"LEWIS FERGUSON")</f>
        <v>LEWIS FERGUSON</v>
      </c>
      <c r="E244" s="5">
        <f>IFERROR(__xludf.DUMMYFUNCTION("""COMPUTED_VALUE"""),0.0)</f>
        <v>0</v>
      </c>
      <c r="F244" s="5">
        <f>IFERROR(__xludf.DUMMYFUNCTION("""COMPUTED_VALUE"""),0.0)</f>
        <v>0</v>
      </c>
    </row>
    <row r="245">
      <c r="A245" s="5" t="str">
        <f>IFERROR(__xludf.DUMMYFUNCTION("""COMPUTED_VALUE"""),"SCO15")</f>
        <v>SCO15</v>
      </c>
      <c r="B245" s="5" t="str">
        <f>IFERROR(__xludf.DUMMYFUNCTION("""COMPUTED_VALUE"""),"SCOTLAND")</f>
        <v>SCOTLAND</v>
      </c>
      <c r="C245" s="5" t="str">
        <f>IFERROR(__xludf.DUMMYFUNCTION("""COMPUTED_VALUE"""),"NORMAL")</f>
        <v>NORMAL</v>
      </c>
      <c r="D245" s="5" t="str">
        <f>IFERROR(__xludf.DUMMYFUNCTION("""COMPUTED_VALUE"""),"RYAN CHRISTIE")</f>
        <v>RYAN CHRISTIE</v>
      </c>
      <c r="E245" s="5">
        <f>IFERROR(__xludf.DUMMYFUNCTION("""COMPUTED_VALUE"""),0.0)</f>
        <v>0</v>
      </c>
      <c r="F245" s="5">
        <f>IFERROR(__xludf.DUMMYFUNCTION("""COMPUTED_VALUE"""),0.0)</f>
        <v>0</v>
      </c>
    </row>
    <row r="246">
      <c r="A246" s="5" t="str">
        <f>IFERROR(__xludf.DUMMYFUNCTION("""COMPUTED_VALUE"""),"SCO16")</f>
        <v>SCO16</v>
      </c>
      <c r="B246" s="5" t="str">
        <f>IFERROR(__xludf.DUMMYFUNCTION("""COMPUTED_VALUE"""),"SCOTLAND")</f>
        <v>SCOTLAND</v>
      </c>
      <c r="C246" s="5" t="str">
        <f>IFERROR(__xludf.DUMMYFUNCTION("""COMPUTED_VALUE"""),"NORMAL")</f>
        <v>NORMAL</v>
      </c>
      <c r="D246" s="5" t="str">
        <f>IFERROR(__xludf.DUMMYFUNCTION("""COMPUTED_VALUE"""),"KENNY MCLEAN")</f>
        <v>KENNY MCLEAN</v>
      </c>
      <c r="E246" s="5">
        <f>IFERROR(__xludf.DUMMYFUNCTION("""COMPUTED_VALUE"""),0.0)</f>
        <v>0</v>
      </c>
      <c r="F246" s="5">
        <f>IFERROR(__xludf.DUMMYFUNCTION("""COMPUTED_VALUE"""),0.0)</f>
        <v>0</v>
      </c>
    </row>
    <row r="247">
      <c r="A247" s="5" t="str">
        <f>IFERROR(__xludf.DUMMYFUNCTION("""COMPUTED_VALUE"""),"SCO17")</f>
        <v>SCO17</v>
      </c>
      <c r="B247" s="5" t="str">
        <f>IFERROR(__xludf.DUMMYFUNCTION("""COMPUTED_VALUE"""),"SCOTLAND")</f>
        <v>SCOTLAND</v>
      </c>
      <c r="C247" s="5" t="str">
        <f>IFERROR(__xludf.DUMMYFUNCTION("""COMPUTED_VALUE"""),"NORMAL")</f>
        <v>NORMAL</v>
      </c>
      <c r="D247" s="5" t="str">
        <f>IFERROR(__xludf.DUMMYFUNCTION("""COMPUTED_VALUE"""),"JOHN MCGINN")</f>
        <v>JOHN MCGINN</v>
      </c>
      <c r="E247" s="5">
        <f>IFERROR(__xludf.DUMMYFUNCTION("""COMPUTED_VALUE"""),0.0)</f>
        <v>0</v>
      </c>
      <c r="F247" s="5">
        <f>IFERROR(__xludf.DUMMYFUNCTION("""COMPUTED_VALUE"""),0.0)</f>
        <v>0</v>
      </c>
    </row>
    <row r="248">
      <c r="A248" s="5" t="str">
        <f>IFERROR(__xludf.DUMMYFUNCTION("""COMPUTED_VALUE"""),"SCO18")</f>
        <v>SCO18</v>
      </c>
      <c r="B248" s="5" t="str">
        <f>IFERROR(__xludf.DUMMYFUNCTION("""COMPUTED_VALUE"""),"SCOTLAND")</f>
        <v>SCOTLAND</v>
      </c>
      <c r="C248" s="5" t="str">
        <f>IFERROR(__xludf.DUMMYFUNCTION("""COMPUTED_VALUE"""),"NORMAL")</f>
        <v>NORMAL</v>
      </c>
      <c r="D248" s="5" t="str">
        <f>IFERROR(__xludf.DUMMYFUNCTION("""COMPUTED_VALUE"""),"LYNDON DYKES")</f>
        <v>LYNDON DYKES</v>
      </c>
      <c r="E248" s="5">
        <f>IFERROR(__xludf.DUMMYFUNCTION("""COMPUTED_VALUE"""),0.0)</f>
        <v>0</v>
      </c>
      <c r="F248" s="5">
        <f>IFERROR(__xludf.DUMMYFUNCTION("""COMPUTED_VALUE"""),0.0)</f>
        <v>0</v>
      </c>
    </row>
    <row r="249">
      <c r="A249" s="5" t="str">
        <f>IFERROR(__xludf.DUMMYFUNCTION("""COMPUTED_VALUE"""),"SCO19")</f>
        <v>SCO19</v>
      </c>
      <c r="B249" s="5" t="str">
        <f>IFERROR(__xludf.DUMMYFUNCTION("""COMPUTED_VALUE"""),"SCOTLAND")</f>
        <v>SCOTLAND</v>
      </c>
      <c r="C249" s="5" t="str">
        <f>IFERROR(__xludf.DUMMYFUNCTION("""COMPUTED_VALUE"""),"NORMAL")</f>
        <v>NORMAL</v>
      </c>
      <c r="D249" s="5" t="str">
        <f>IFERROR(__xludf.DUMMYFUNCTION("""COMPUTED_VALUE"""),"CHE ADAMS")</f>
        <v>CHE ADAMS</v>
      </c>
      <c r="E249" s="5">
        <f>IFERROR(__xludf.DUMMYFUNCTION("""COMPUTED_VALUE"""),0.0)</f>
        <v>0</v>
      </c>
      <c r="F249" s="5">
        <f>IFERROR(__xludf.DUMMYFUNCTION("""COMPUTED_VALUE"""),0.0)</f>
        <v>0</v>
      </c>
    </row>
    <row r="250">
      <c r="A250" s="5" t="str">
        <f>IFERROR(__xludf.DUMMYFUNCTION("""COMPUTED_VALUE"""),"SCO20")</f>
        <v>SCO20</v>
      </c>
      <c r="B250" s="5" t="str">
        <f>IFERROR(__xludf.DUMMYFUNCTION("""COMPUTED_VALUE"""),"SCOTLAND")</f>
        <v>SCOTLAND</v>
      </c>
      <c r="C250" s="5" t="str">
        <f>IFERROR(__xludf.DUMMYFUNCTION("""COMPUTED_VALUE"""),"NORMAL")</f>
        <v>NORMAL</v>
      </c>
      <c r="D250" s="5" t="str">
        <f>IFERROR(__xludf.DUMMYFUNCTION("""COMPUTED_VALUE"""),"BEN GANNON-DOAK")</f>
        <v>BEN GANNON-DOAK</v>
      </c>
      <c r="E250" s="5">
        <f>IFERROR(__xludf.DUMMYFUNCTION("""COMPUTED_VALUE"""),0.0)</f>
        <v>0</v>
      </c>
      <c r="F250" s="5">
        <f>IFERROR(__xludf.DUMMYFUNCTION("""COMPUTED_VALUE"""),0.0)</f>
        <v>0</v>
      </c>
    </row>
    <row r="251">
      <c r="A251" s="5" t="str">
        <f>IFERROR(__xludf.DUMMYFUNCTION("""COMPUTED_VALUE"""),"USA01")</f>
        <v>USA01</v>
      </c>
      <c r="B251" s="5" t="str">
        <f>IFERROR(__xludf.DUMMYFUNCTION("""COMPUTED_VALUE"""),"UNITED STATES")</f>
        <v>UNITED STATES</v>
      </c>
      <c r="C251" s="5" t="str">
        <f>IFERROR(__xludf.DUMMYFUNCTION("""COMPUTED_VALUE"""),"BADGE")</f>
        <v>BADGE</v>
      </c>
      <c r="D251" s="5" t="str">
        <f>IFERROR(__xludf.DUMMYFUNCTION("""COMPUTED_VALUE"""),"UNITED STATES NATIONAL TEAM")</f>
        <v>UNITED STATES NATIONAL TEAM</v>
      </c>
      <c r="E251" s="5">
        <f>IFERROR(__xludf.DUMMYFUNCTION("""COMPUTED_VALUE"""),0.0)</f>
        <v>0</v>
      </c>
      <c r="F251" s="5">
        <f>IFERROR(__xludf.DUMMYFUNCTION("""COMPUTED_VALUE"""),0.0)</f>
        <v>0</v>
      </c>
    </row>
    <row r="252">
      <c r="A252" s="5" t="str">
        <f>IFERROR(__xludf.DUMMYFUNCTION("""COMPUTED_VALUE"""),"USA02")</f>
        <v>USA02</v>
      </c>
      <c r="B252" s="5" t="str">
        <f>IFERROR(__xludf.DUMMYFUNCTION("""COMPUTED_VALUE"""),"UNITED STATES")</f>
        <v>UNITED STATES</v>
      </c>
      <c r="C252" s="5" t="str">
        <f>IFERROR(__xludf.DUMMYFUNCTION("""COMPUTED_VALUE"""),"NORMAL")</f>
        <v>NORMAL</v>
      </c>
      <c r="D252" s="5" t="str">
        <f>IFERROR(__xludf.DUMMYFUNCTION("""COMPUTED_VALUE"""),"MATT FREESE")</f>
        <v>MATT FREESE</v>
      </c>
      <c r="E252" s="5">
        <f>IFERROR(__xludf.DUMMYFUNCTION("""COMPUTED_VALUE"""),0.0)</f>
        <v>0</v>
      </c>
      <c r="F252" s="5">
        <f>IFERROR(__xludf.DUMMYFUNCTION("""COMPUTED_VALUE"""),0.0)</f>
        <v>0</v>
      </c>
    </row>
    <row r="253">
      <c r="A253" s="5" t="str">
        <f>IFERROR(__xludf.DUMMYFUNCTION("""COMPUTED_VALUE"""),"USA03")</f>
        <v>USA03</v>
      </c>
      <c r="B253" s="5" t="str">
        <f>IFERROR(__xludf.DUMMYFUNCTION("""COMPUTED_VALUE"""),"UNITED STATES")</f>
        <v>UNITED STATES</v>
      </c>
      <c r="C253" s="5" t="str">
        <f>IFERROR(__xludf.DUMMYFUNCTION("""COMPUTED_VALUE"""),"NORMAL")</f>
        <v>NORMAL</v>
      </c>
      <c r="D253" s="5" t="str">
        <f>IFERROR(__xludf.DUMMYFUNCTION("""COMPUTED_VALUE"""),"CHRIS RICHARDS")</f>
        <v>CHRIS RICHARDS</v>
      </c>
      <c r="E253" s="5">
        <f>IFERROR(__xludf.DUMMYFUNCTION("""COMPUTED_VALUE"""),0.0)</f>
        <v>0</v>
      </c>
      <c r="F253" s="5">
        <f>IFERROR(__xludf.DUMMYFUNCTION("""COMPUTED_VALUE"""),0.0)</f>
        <v>0</v>
      </c>
    </row>
    <row r="254">
      <c r="A254" s="5" t="str">
        <f>IFERROR(__xludf.DUMMYFUNCTION("""COMPUTED_VALUE"""),"USA04")</f>
        <v>USA04</v>
      </c>
      <c r="B254" s="5" t="str">
        <f>IFERROR(__xludf.DUMMYFUNCTION("""COMPUTED_VALUE"""),"UNITED STATES")</f>
        <v>UNITED STATES</v>
      </c>
      <c r="C254" s="5" t="str">
        <f>IFERROR(__xludf.DUMMYFUNCTION("""COMPUTED_VALUE"""),"NORMAL")</f>
        <v>NORMAL</v>
      </c>
      <c r="D254" s="5" t="str">
        <f>IFERROR(__xludf.DUMMYFUNCTION("""COMPUTED_VALUE"""),"TIM REAM")</f>
        <v>TIM REAM</v>
      </c>
      <c r="E254" s="5">
        <f>IFERROR(__xludf.DUMMYFUNCTION("""COMPUTED_VALUE"""),0.0)</f>
        <v>0</v>
      </c>
      <c r="F254" s="5">
        <f>IFERROR(__xludf.DUMMYFUNCTION("""COMPUTED_VALUE"""),0.0)</f>
        <v>0</v>
      </c>
    </row>
    <row r="255">
      <c r="A255" s="5" t="str">
        <f>IFERROR(__xludf.DUMMYFUNCTION("""COMPUTED_VALUE"""),"USA05")</f>
        <v>USA05</v>
      </c>
      <c r="B255" s="5" t="str">
        <f>IFERROR(__xludf.DUMMYFUNCTION("""COMPUTED_VALUE"""),"UNITED STATES")</f>
        <v>UNITED STATES</v>
      </c>
      <c r="C255" s="5" t="str">
        <f>IFERROR(__xludf.DUMMYFUNCTION("""COMPUTED_VALUE"""),"NORMAL")</f>
        <v>NORMAL</v>
      </c>
      <c r="D255" s="5" t="str">
        <f>IFERROR(__xludf.DUMMYFUNCTION("""COMPUTED_VALUE"""),"MARK MCKENZIE")</f>
        <v>MARK MCKENZIE</v>
      </c>
      <c r="E255" s="5">
        <f>IFERROR(__xludf.DUMMYFUNCTION("""COMPUTED_VALUE"""),0.0)</f>
        <v>0</v>
      </c>
      <c r="F255" s="5">
        <f>IFERROR(__xludf.DUMMYFUNCTION("""COMPUTED_VALUE"""),0.0)</f>
        <v>0</v>
      </c>
    </row>
    <row r="256">
      <c r="A256" s="5" t="str">
        <f>IFERROR(__xludf.DUMMYFUNCTION("""COMPUTED_VALUE"""),"USA06")</f>
        <v>USA06</v>
      </c>
      <c r="B256" s="5" t="str">
        <f>IFERROR(__xludf.DUMMYFUNCTION("""COMPUTED_VALUE"""),"UNITED STATES")</f>
        <v>UNITED STATES</v>
      </c>
      <c r="C256" s="5" t="str">
        <f>IFERROR(__xludf.DUMMYFUNCTION("""COMPUTED_VALUE"""),"NORMAL")</f>
        <v>NORMAL</v>
      </c>
      <c r="D256" s="5" t="str">
        <f>IFERROR(__xludf.DUMMYFUNCTION("""COMPUTED_VALUE"""),"ALEX FREEMAN")</f>
        <v>ALEX FREEMAN</v>
      </c>
      <c r="E256" s="5">
        <f>IFERROR(__xludf.DUMMYFUNCTION("""COMPUTED_VALUE"""),0.0)</f>
        <v>0</v>
      </c>
      <c r="F256" s="5">
        <f>IFERROR(__xludf.DUMMYFUNCTION("""COMPUTED_VALUE"""),0.0)</f>
        <v>0</v>
      </c>
    </row>
    <row r="257">
      <c r="A257" s="5" t="str">
        <f>IFERROR(__xludf.DUMMYFUNCTION("""COMPUTED_VALUE"""),"USA07")</f>
        <v>USA07</v>
      </c>
      <c r="B257" s="5" t="str">
        <f>IFERROR(__xludf.DUMMYFUNCTION("""COMPUTED_VALUE"""),"UNITED STATES")</f>
        <v>UNITED STATES</v>
      </c>
      <c r="C257" s="5" t="str">
        <f>IFERROR(__xludf.DUMMYFUNCTION("""COMPUTED_VALUE"""),"NORMAL")</f>
        <v>NORMAL</v>
      </c>
      <c r="D257" s="5" t="str">
        <f>IFERROR(__xludf.DUMMYFUNCTION("""COMPUTED_VALUE"""),"ANTONEE ROBINSON")</f>
        <v>ANTONEE ROBINSON</v>
      </c>
      <c r="E257" s="5">
        <f>IFERROR(__xludf.DUMMYFUNCTION("""COMPUTED_VALUE"""),0.0)</f>
        <v>0</v>
      </c>
      <c r="F257" s="5">
        <f>IFERROR(__xludf.DUMMYFUNCTION("""COMPUTED_VALUE"""),0.0)</f>
        <v>0</v>
      </c>
    </row>
    <row r="258">
      <c r="A258" s="5" t="str">
        <f>IFERROR(__xludf.DUMMYFUNCTION("""COMPUTED_VALUE"""),"USA08")</f>
        <v>USA08</v>
      </c>
      <c r="B258" s="5" t="str">
        <f>IFERROR(__xludf.DUMMYFUNCTION("""COMPUTED_VALUE"""),"UNITED STATES")</f>
        <v>UNITED STATES</v>
      </c>
      <c r="C258" s="5" t="str">
        <f>IFERROR(__xludf.DUMMYFUNCTION("""COMPUTED_VALUE"""),"NORMAL")</f>
        <v>NORMAL</v>
      </c>
      <c r="D258" s="5" t="str">
        <f>IFERROR(__xludf.DUMMYFUNCTION("""COMPUTED_VALUE"""),"TYLER ADAMS")</f>
        <v>TYLER ADAMS</v>
      </c>
      <c r="E258" s="5">
        <f>IFERROR(__xludf.DUMMYFUNCTION("""COMPUTED_VALUE"""),0.0)</f>
        <v>0</v>
      </c>
      <c r="F258" s="5">
        <f>IFERROR(__xludf.DUMMYFUNCTION("""COMPUTED_VALUE"""),0.0)</f>
        <v>0</v>
      </c>
    </row>
    <row r="259">
      <c r="A259" s="5" t="str">
        <f>IFERROR(__xludf.DUMMYFUNCTION("""COMPUTED_VALUE"""),"USA09")</f>
        <v>USA09</v>
      </c>
      <c r="B259" s="5" t="str">
        <f>IFERROR(__xludf.DUMMYFUNCTION("""COMPUTED_VALUE"""),"UNITED STATES")</f>
        <v>UNITED STATES</v>
      </c>
      <c r="C259" s="5" t="str">
        <f>IFERROR(__xludf.DUMMYFUNCTION("""COMPUTED_VALUE"""),"NORMAL")</f>
        <v>NORMAL</v>
      </c>
      <c r="D259" s="5" t="str">
        <f>IFERROR(__xludf.DUMMYFUNCTION("""COMPUTED_VALUE"""),"TANNER TESSMANN")</f>
        <v>TANNER TESSMANN</v>
      </c>
      <c r="E259" s="5">
        <f>IFERROR(__xludf.DUMMYFUNCTION("""COMPUTED_VALUE"""),0.0)</f>
        <v>0</v>
      </c>
      <c r="F259" s="5">
        <f>IFERROR(__xludf.DUMMYFUNCTION("""COMPUTED_VALUE"""),0.0)</f>
        <v>0</v>
      </c>
    </row>
    <row r="260">
      <c r="A260" s="5" t="str">
        <f>IFERROR(__xludf.DUMMYFUNCTION("""COMPUTED_VALUE"""),"USA10")</f>
        <v>USA10</v>
      </c>
      <c r="B260" s="5" t="str">
        <f>IFERROR(__xludf.DUMMYFUNCTION("""COMPUTED_VALUE"""),"UNITED STATES")</f>
        <v>UNITED STATES</v>
      </c>
      <c r="C260" s="5" t="str">
        <f>IFERROR(__xludf.DUMMYFUNCTION("""COMPUTED_VALUE"""),"NORMAL")</f>
        <v>NORMAL</v>
      </c>
      <c r="D260" s="5" t="str">
        <f>IFERROR(__xludf.DUMMYFUNCTION("""COMPUTED_VALUE"""),"WESTON MCKENNIE")</f>
        <v>WESTON MCKENNIE</v>
      </c>
      <c r="E260" s="5">
        <f>IFERROR(__xludf.DUMMYFUNCTION("""COMPUTED_VALUE"""),0.0)</f>
        <v>0</v>
      </c>
      <c r="F260" s="5">
        <f>IFERROR(__xludf.DUMMYFUNCTION("""COMPUTED_VALUE"""),0.0)</f>
        <v>0</v>
      </c>
    </row>
    <row r="261">
      <c r="A261" s="5" t="str">
        <f>IFERROR(__xludf.DUMMYFUNCTION("""COMPUTED_VALUE"""),"USA11")</f>
        <v>USA11</v>
      </c>
      <c r="B261" s="5" t="str">
        <f>IFERROR(__xludf.DUMMYFUNCTION("""COMPUTED_VALUE"""),"UNITED STATES")</f>
        <v>UNITED STATES</v>
      </c>
      <c r="C261" s="5" t="str">
        <f>IFERROR(__xludf.DUMMYFUNCTION("""COMPUTED_VALUE"""),"NORMAL")</f>
        <v>NORMAL</v>
      </c>
      <c r="D261" s="5" t="str">
        <f>IFERROR(__xludf.DUMMYFUNCTION("""COMPUTED_VALUE"""),"CRISTIAN ROLDAN")</f>
        <v>CRISTIAN ROLDAN</v>
      </c>
      <c r="E261" s="5">
        <f>IFERROR(__xludf.DUMMYFUNCTION("""COMPUTED_VALUE"""),0.0)</f>
        <v>0</v>
      </c>
      <c r="F261" s="5">
        <f>IFERROR(__xludf.DUMMYFUNCTION("""COMPUTED_VALUE"""),0.0)</f>
        <v>0</v>
      </c>
    </row>
    <row r="262">
      <c r="A262" s="5" t="str">
        <f>IFERROR(__xludf.DUMMYFUNCTION("""COMPUTED_VALUE"""),"USA12")</f>
        <v>USA12</v>
      </c>
      <c r="B262" s="5" t="str">
        <f>IFERROR(__xludf.DUMMYFUNCTION("""COMPUTED_VALUE"""),"UNITED STATES")</f>
        <v>UNITED STATES</v>
      </c>
      <c r="C262" s="5" t="str">
        <f>IFERROR(__xludf.DUMMYFUNCTION("""COMPUTED_VALUE"""),"NORMAL")</f>
        <v>NORMAL</v>
      </c>
      <c r="D262" s="5" t="str">
        <f>IFERROR(__xludf.DUMMYFUNCTION("""COMPUTED_VALUE"""),"TIMOTHY WEAH")</f>
        <v>TIMOTHY WEAH</v>
      </c>
      <c r="E262" s="5">
        <f>IFERROR(__xludf.DUMMYFUNCTION("""COMPUTED_VALUE"""),0.0)</f>
        <v>0</v>
      </c>
      <c r="F262" s="5">
        <f>IFERROR(__xludf.DUMMYFUNCTION("""COMPUTED_VALUE"""),0.0)</f>
        <v>0</v>
      </c>
    </row>
    <row r="263">
      <c r="A263" s="5" t="str">
        <f>IFERROR(__xludf.DUMMYFUNCTION("""COMPUTED_VALUE"""),"USA13")</f>
        <v>USA13</v>
      </c>
      <c r="B263" s="5" t="str">
        <f>IFERROR(__xludf.DUMMYFUNCTION("""COMPUTED_VALUE"""),"UNITED STATES")</f>
        <v>UNITED STATES</v>
      </c>
      <c r="C263" s="5" t="str">
        <f>IFERROR(__xludf.DUMMYFUNCTION("""COMPUTED_VALUE"""),"TEAM")</f>
        <v>TEAM</v>
      </c>
      <c r="D263" s="5" t="str">
        <f>IFERROR(__xludf.DUMMYFUNCTION("""COMPUTED_VALUE"""),"UNITED STATES NATIONAL TEAM")</f>
        <v>UNITED STATES NATIONAL TEAM</v>
      </c>
      <c r="E263" s="5">
        <f>IFERROR(__xludf.DUMMYFUNCTION("""COMPUTED_VALUE"""),0.0)</f>
        <v>0</v>
      </c>
      <c r="F263" s="5">
        <f>IFERROR(__xludf.DUMMYFUNCTION("""COMPUTED_VALUE"""),0.0)</f>
        <v>0</v>
      </c>
    </row>
    <row r="264">
      <c r="A264" s="5" t="str">
        <f>IFERROR(__xludf.DUMMYFUNCTION("""COMPUTED_VALUE"""),"USA14")</f>
        <v>USA14</v>
      </c>
      <c r="B264" s="5" t="str">
        <f>IFERROR(__xludf.DUMMYFUNCTION("""COMPUTED_VALUE"""),"UNITED STATES")</f>
        <v>UNITED STATES</v>
      </c>
      <c r="C264" s="5" t="str">
        <f>IFERROR(__xludf.DUMMYFUNCTION("""COMPUTED_VALUE"""),"NORMAL")</f>
        <v>NORMAL</v>
      </c>
      <c r="D264" s="5" t="str">
        <f>IFERROR(__xludf.DUMMYFUNCTION("""COMPUTED_VALUE"""),"DIEGO LUNA")</f>
        <v>DIEGO LUNA</v>
      </c>
      <c r="E264" s="5">
        <f>IFERROR(__xludf.DUMMYFUNCTION("""COMPUTED_VALUE"""),0.0)</f>
        <v>0</v>
      </c>
      <c r="F264" s="5">
        <f>IFERROR(__xludf.DUMMYFUNCTION("""COMPUTED_VALUE"""),0.0)</f>
        <v>0</v>
      </c>
    </row>
    <row r="265">
      <c r="A265" s="5" t="str">
        <f>IFERROR(__xludf.DUMMYFUNCTION("""COMPUTED_VALUE"""),"USA15")</f>
        <v>USA15</v>
      </c>
      <c r="B265" s="5" t="str">
        <f>IFERROR(__xludf.DUMMYFUNCTION("""COMPUTED_VALUE"""),"UNITED STATES")</f>
        <v>UNITED STATES</v>
      </c>
      <c r="C265" s="5" t="str">
        <f>IFERROR(__xludf.DUMMYFUNCTION("""COMPUTED_VALUE"""),"NORMAL")</f>
        <v>NORMAL</v>
      </c>
      <c r="D265" s="5" t="str">
        <f>IFERROR(__xludf.DUMMYFUNCTION("""COMPUTED_VALUE"""),"MALIK TILLMAN")</f>
        <v>MALIK TILLMAN</v>
      </c>
      <c r="E265" s="5">
        <f>IFERROR(__xludf.DUMMYFUNCTION("""COMPUTED_VALUE"""),0.0)</f>
        <v>0</v>
      </c>
      <c r="F265" s="5">
        <f>IFERROR(__xludf.DUMMYFUNCTION("""COMPUTED_VALUE"""),0.0)</f>
        <v>0</v>
      </c>
    </row>
    <row r="266">
      <c r="A266" s="5" t="str">
        <f>IFERROR(__xludf.DUMMYFUNCTION("""COMPUTED_VALUE"""),"USA16")</f>
        <v>USA16</v>
      </c>
      <c r="B266" s="5" t="str">
        <f>IFERROR(__xludf.DUMMYFUNCTION("""COMPUTED_VALUE"""),"UNITED STATES")</f>
        <v>UNITED STATES</v>
      </c>
      <c r="C266" s="5" t="str">
        <f>IFERROR(__xludf.DUMMYFUNCTION("""COMPUTED_VALUE"""),"NORMAL")</f>
        <v>NORMAL</v>
      </c>
      <c r="D266" s="5" t="str">
        <f>IFERROR(__xludf.DUMMYFUNCTION("""COMPUTED_VALUE"""),"CHRISTIAN PULISIC")</f>
        <v>CHRISTIAN PULISIC</v>
      </c>
      <c r="E266" s="5">
        <f>IFERROR(__xludf.DUMMYFUNCTION("""COMPUTED_VALUE"""),0.0)</f>
        <v>0</v>
      </c>
      <c r="F266" s="5">
        <f>IFERROR(__xludf.DUMMYFUNCTION("""COMPUTED_VALUE"""),0.0)</f>
        <v>0</v>
      </c>
    </row>
    <row r="267">
      <c r="A267" s="5" t="str">
        <f>IFERROR(__xludf.DUMMYFUNCTION("""COMPUTED_VALUE"""),"USA17")</f>
        <v>USA17</v>
      </c>
      <c r="B267" s="5" t="str">
        <f>IFERROR(__xludf.DUMMYFUNCTION("""COMPUTED_VALUE"""),"UNITED STATES")</f>
        <v>UNITED STATES</v>
      </c>
      <c r="C267" s="5" t="str">
        <f>IFERROR(__xludf.DUMMYFUNCTION("""COMPUTED_VALUE"""),"NORMAL")</f>
        <v>NORMAL</v>
      </c>
      <c r="D267" s="5" t="str">
        <f>IFERROR(__xludf.DUMMYFUNCTION("""COMPUTED_VALUE"""),"BRENDEN AARONSON")</f>
        <v>BRENDEN AARONSON</v>
      </c>
      <c r="E267" s="5">
        <f>IFERROR(__xludf.DUMMYFUNCTION("""COMPUTED_VALUE"""),0.0)</f>
        <v>0</v>
      </c>
      <c r="F267" s="5">
        <f>IFERROR(__xludf.DUMMYFUNCTION("""COMPUTED_VALUE"""),0.0)</f>
        <v>0</v>
      </c>
    </row>
    <row r="268">
      <c r="A268" s="5" t="str">
        <f>IFERROR(__xludf.DUMMYFUNCTION("""COMPUTED_VALUE"""),"USA18")</f>
        <v>USA18</v>
      </c>
      <c r="B268" s="5" t="str">
        <f>IFERROR(__xludf.DUMMYFUNCTION("""COMPUTED_VALUE"""),"UNITED STATES")</f>
        <v>UNITED STATES</v>
      </c>
      <c r="C268" s="5" t="str">
        <f>IFERROR(__xludf.DUMMYFUNCTION("""COMPUTED_VALUE"""),"NORMAL")</f>
        <v>NORMAL</v>
      </c>
      <c r="D268" s="5" t="str">
        <f>IFERROR(__xludf.DUMMYFUNCTION("""COMPUTED_VALUE"""),"RICARDO PEPI")</f>
        <v>RICARDO PEPI</v>
      </c>
      <c r="E268" s="5">
        <f>IFERROR(__xludf.DUMMYFUNCTION("""COMPUTED_VALUE"""),0.0)</f>
        <v>0</v>
      </c>
      <c r="F268" s="5">
        <f>IFERROR(__xludf.DUMMYFUNCTION("""COMPUTED_VALUE"""),0.0)</f>
        <v>0</v>
      </c>
    </row>
    <row r="269">
      <c r="A269" s="5" t="str">
        <f>IFERROR(__xludf.DUMMYFUNCTION("""COMPUTED_VALUE"""),"USA19")</f>
        <v>USA19</v>
      </c>
      <c r="B269" s="5" t="str">
        <f>IFERROR(__xludf.DUMMYFUNCTION("""COMPUTED_VALUE"""),"UNITED STATES")</f>
        <v>UNITED STATES</v>
      </c>
      <c r="C269" s="5" t="str">
        <f>IFERROR(__xludf.DUMMYFUNCTION("""COMPUTED_VALUE"""),"NORMAL")</f>
        <v>NORMAL</v>
      </c>
      <c r="D269" s="5" t="str">
        <f>IFERROR(__xludf.DUMMYFUNCTION("""COMPUTED_VALUE"""),"HAJI WRIGHT")</f>
        <v>HAJI WRIGHT</v>
      </c>
      <c r="E269" s="5">
        <f>IFERROR(__xludf.DUMMYFUNCTION("""COMPUTED_VALUE"""),0.0)</f>
        <v>0</v>
      </c>
      <c r="F269" s="5">
        <f>IFERROR(__xludf.DUMMYFUNCTION("""COMPUTED_VALUE"""),0.0)</f>
        <v>0</v>
      </c>
    </row>
    <row r="270">
      <c r="A270" s="5" t="str">
        <f>IFERROR(__xludf.DUMMYFUNCTION("""COMPUTED_VALUE"""),"USA20")</f>
        <v>USA20</v>
      </c>
      <c r="B270" s="5" t="str">
        <f>IFERROR(__xludf.DUMMYFUNCTION("""COMPUTED_VALUE"""),"UNITED STATES")</f>
        <v>UNITED STATES</v>
      </c>
      <c r="C270" s="5" t="str">
        <f>IFERROR(__xludf.DUMMYFUNCTION("""COMPUTED_VALUE"""),"NORMAL")</f>
        <v>NORMAL</v>
      </c>
      <c r="D270" s="5" t="str">
        <f>IFERROR(__xludf.DUMMYFUNCTION("""COMPUTED_VALUE"""),"FOLARIN BALOGUN")</f>
        <v>FOLARIN BALOGUN</v>
      </c>
      <c r="E270" s="5">
        <f>IFERROR(__xludf.DUMMYFUNCTION("""COMPUTED_VALUE"""),0.0)</f>
        <v>0</v>
      </c>
      <c r="F270" s="5">
        <f>IFERROR(__xludf.DUMMYFUNCTION("""COMPUTED_VALUE"""),0.0)</f>
        <v>0</v>
      </c>
    </row>
    <row r="271">
      <c r="A271" s="7" t="str">
        <f>IFERROR(__xludf.DUMMYFUNCTION("""COMPUTED_VALUE"""),"PAR01")</f>
        <v>PAR01</v>
      </c>
      <c r="B271" s="5" t="str">
        <f>IFERROR(__xludf.DUMMYFUNCTION("""COMPUTED_VALUE"""),"PARAGUAY")</f>
        <v>PARAGUAY</v>
      </c>
      <c r="C271" s="5" t="str">
        <f>IFERROR(__xludf.DUMMYFUNCTION("""COMPUTED_VALUE"""),"BADGE")</f>
        <v>BADGE</v>
      </c>
      <c r="D271" s="5" t="str">
        <f>IFERROR(__xludf.DUMMYFUNCTION("""COMPUTED_VALUE"""),"PARAGUAY NATIONAL TEAM")</f>
        <v>PARAGUAY NATIONAL TEAM</v>
      </c>
      <c r="E271" s="5">
        <f>IFERROR(__xludf.DUMMYFUNCTION("""COMPUTED_VALUE"""),0.0)</f>
        <v>0</v>
      </c>
      <c r="F271" s="5">
        <f>IFERROR(__xludf.DUMMYFUNCTION("""COMPUTED_VALUE"""),0.0)</f>
        <v>0</v>
      </c>
    </row>
    <row r="272">
      <c r="A272" s="7" t="str">
        <f>IFERROR(__xludf.DUMMYFUNCTION("""COMPUTED_VALUE"""),"PAR02")</f>
        <v>PAR02</v>
      </c>
      <c r="B272" s="5" t="str">
        <f>IFERROR(__xludf.DUMMYFUNCTION("""COMPUTED_VALUE"""),"PARAGUAY")</f>
        <v>PARAGUAY</v>
      </c>
      <c r="C272" s="5" t="str">
        <f>IFERROR(__xludf.DUMMYFUNCTION("""COMPUTED_VALUE"""),"NORMAL")</f>
        <v>NORMAL</v>
      </c>
      <c r="D272" s="5" t="str">
        <f>IFERROR(__xludf.DUMMYFUNCTION("""COMPUTED_VALUE"""),"ROBERTO FERNANDEZ")</f>
        <v>ROBERTO FERNANDEZ</v>
      </c>
      <c r="E272" s="5">
        <f>IFERROR(__xludf.DUMMYFUNCTION("""COMPUTED_VALUE"""),0.0)</f>
        <v>0</v>
      </c>
      <c r="F272" s="5">
        <f>IFERROR(__xludf.DUMMYFUNCTION("""COMPUTED_VALUE"""),0.0)</f>
        <v>0</v>
      </c>
    </row>
    <row r="273">
      <c r="A273" s="7" t="str">
        <f>IFERROR(__xludf.DUMMYFUNCTION("""COMPUTED_VALUE"""),"PAR03")</f>
        <v>PAR03</v>
      </c>
      <c r="B273" s="5" t="str">
        <f>IFERROR(__xludf.DUMMYFUNCTION("""COMPUTED_VALUE"""),"PARAGUAY")</f>
        <v>PARAGUAY</v>
      </c>
      <c r="C273" s="5" t="str">
        <f>IFERROR(__xludf.DUMMYFUNCTION("""COMPUTED_VALUE"""),"NORMAL")</f>
        <v>NORMAL</v>
      </c>
      <c r="D273" s="5" t="str">
        <f>IFERROR(__xludf.DUMMYFUNCTION("""COMPUTED_VALUE"""),"ORLANDO GILL")</f>
        <v>ORLANDO GILL</v>
      </c>
      <c r="E273" s="5">
        <f>IFERROR(__xludf.DUMMYFUNCTION("""COMPUTED_VALUE"""),0.0)</f>
        <v>0</v>
      </c>
      <c r="F273" s="5">
        <f>IFERROR(__xludf.DUMMYFUNCTION("""COMPUTED_VALUE"""),0.0)</f>
        <v>0</v>
      </c>
    </row>
    <row r="274">
      <c r="A274" s="7" t="str">
        <f>IFERROR(__xludf.DUMMYFUNCTION("""COMPUTED_VALUE"""),"PAR04")</f>
        <v>PAR04</v>
      </c>
      <c r="B274" s="5" t="str">
        <f>IFERROR(__xludf.DUMMYFUNCTION("""COMPUTED_VALUE"""),"PARAGUAY")</f>
        <v>PARAGUAY</v>
      </c>
      <c r="C274" s="5" t="str">
        <f>IFERROR(__xludf.DUMMYFUNCTION("""COMPUTED_VALUE"""),"NORMAL")</f>
        <v>NORMAL</v>
      </c>
      <c r="D274" s="5" t="str">
        <f>IFERROR(__xludf.DUMMYFUNCTION("""COMPUTED_VALUE"""),"GUSTAVO GOMEZ")</f>
        <v>GUSTAVO GOMEZ</v>
      </c>
      <c r="E274" s="5">
        <f>IFERROR(__xludf.DUMMYFUNCTION("""COMPUTED_VALUE"""),0.0)</f>
        <v>0</v>
      </c>
      <c r="F274" s="5">
        <f>IFERROR(__xludf.DUMMYFUNCTION("""COMPUTED_VALUE"""),0.0)</f>
        <v>0</v>
      </c>
    </row>
    <row r="275">
      <c r="A275" s="7" t="str">
        <f>IFERROR(__xludf.DUMMYFUNCTION("""COMPUTED_VALUE"""),"PAR05")</f>
        <v>PAR05</v>
      </c>
      <c r="B275" s="5" t="str">
        <f>IFERROR(__xludf.DUMMYFUNCTION("""COMPUTED_VALUE"""),"PARAGUAY")</f>
        <v>PARAGUAY</v>
      </c>
      <c r="C275" s="5" t="str">
        <f>IFERROR(__xludf.DUMMYFUNCTION("""COMPUTED_VALUE"""),"NORMAL")</f>
        <v>NORMAL</v>
      </c>
      <c r="D275" s="5" t="str">
        <f>IFERROR(__xludf.DUMMYFUNCTION("""COMPUTED_VALUE"""),"FABIAN BALBUENA")</f>
        <v>FABIAN BALBUENA</v>
      </c>
      <c r="E275" s="5">
        <f>IFERROR(__xludf.DUMMYFUNCTION("""COMPUTED_VALUE"""),0.0)</f>
        <v>0</v>
      </c>
      <c r="F275" s="5">
        <f>IFERROR(__xludf.DUMMYFUNCTION("""COMPUTED_VALUE"""),0.0)</f>
        <v>0</v>
      </c>
    </row>
    <row r="276">
      <c r="A276" s="7" t="str">
        <f>IFERROR(__xludf.DUMMYFUNCTION("""COMPUTED_VALUE"""),"PAR06")</f>
        <v>PAR06</v>
      </c>
      <c r="B276" s="5" t="str">
        <f>IFERROR(__xludf.DUMMYFUNCTION("""COMPUTED_VALUE"""),"PARAGUAY")</f>
        <v>PARAGUAY</v>
      </c>
      <c r="C276" s="5" t="str">
        <f>IFERROR(__xludf.DUMMYFUNCTION("""COMPUTED_VALUE"""),"NORMAL")</f>
        <v>NORMAL</v>
      </c>
      <c r="D276" s="5" t="str">
        <f>IFERROR(__xludf.DUMMYFUNCTION("""COMPUTED_VALUE"""),"JUAN JOSE CACERES")</f>
        <v>JUAN JOSE CACERES</v>
      </c>
      <c r="E276" s="5">
        <f>IFERROR(__xludf.DUMMYFUNCTION("""COMPUTED_VALUE"""),0.0)</f>
        <v>0</v>
      </c>
      <c r="F276" s="5">
        <f>IFERROR(__xludf.DUMMYFUNCTION("""COMPUTED_VALUE"""),0.0)</f>
        <v>0</v>
      </c>
    </row>
    <row r="277">
      <c r="A277" s="7" t="str">
        <f>IFERROR(__xludf.DUMMYFUNCTION("""COMPUTED_VALUE"""),"PAR07")</f>
        <v>PAR07</v>
      </c>
      <c r="B277" s="5" t="str">
        <f>IFERROR(__xludf.DUMMYFUNCTION("""COMPUTED_VALUE"""),"PARAGUAY")</f>
        <v>PARAGUAY</v>
      </c>
      <c r="C277" s="5" t="str">
        <f>IFERROR(__xludf.DUMMYFUNCTION("""COMPUTED_VALUE"""),"NORMAL")</f>
        <v>NORMAL</v>
      </c>
      <c r="D277" s="5" t="str">
        <f>IFERROR(__xludf.DUMMYFUNCTION("""COMPUTED_VALUE"""),"OMAR ALDRETE")</f>
        <v>OMAR ALDRETE</v>
      </c>
      <c r="E277" s="5">
        <f>IFERROR(__xludf.DUMMYFUNCTION("""COMPUTED_VALUE"""),0.0)</f>
        <v>0</v>
      </c>
      <c r="F277" s="5">
        <f>IFERROR(__xludf.DUMMYFUNCTION("""COMPUTED_VALUE"""),0.0)</f>
        <v>0</v>
      </c>
    </row>
    <row r="278">
      <c r="A278" s="7" t="str">
        <f>IFERROR(__xludf.DUMMYFUNCTION("""COMPUTED_VALUE"""),"PAR08")</f>
        <v>PAR08</v>
      </c>
      <c r="B278" s="5" t="str">
        <f>IFERROR(__xludf.DUMMYFUNCTION("""COMPUTED_VALUE"""),"PARAGUAY")</f>
        <v>PARAGUAY</v>
      </c>
      <c r="C278" s="5" t="str">
        <f>IFERROR(__xludf.DUMMYFUNCTION("""COMPUTED_VALUE"""),"NORMAL")</f>
        <v>NORMAL</v>
      </c>
      <c r="D278" s="5" t="str">
        <f>IFERROR(__xludf.DUMMYFUNCTION("""COMPUTED_VALUE"""),"JUNIOR ALONSO")</f>
        <v>JUNIOR ALONSO</v>
      </c>
      <c r="E278" s="5">
        <f>IFERROR(__xludf.DUMMYFUNCTION("""COMPUTED_VALUE"""),0.0)</f>
        <v>0</v>
      </c>
      <c r="F278" s="5">
        <f>IFERROR(__xludf.DUMMYFUNCTION("""COMPUTED_VALUE"""),0.0)</f>
        <v>0</v>
      </c>
    </row>
    <row r="279">
      <c r="A279" s="7" t="str">
        <f>IFERROR(__xludf.DUMMYFUNCTION("""COMPUTED_VALUE"""),"PAR09")</f>
        <v>PAR09</v>
      </c>
      <c r="B279" s="5" t="str">
        <f>IFERROR(__xludf.DUMMYFUNCTION("""COMPUTED_VALUE"""),"PARAGUAY")</f>
        <v>PARAGUAY</v>
      </c>
      <c r="C279" s="5" t="str">
        <f>IFERROR(__xludf.DUMMYFUNCTION("""COMPUTED_VALUE"""),"NORMAL")</f>
        <v>NORMAL</v>
      </c>
      <c r="D279" s="5" t="str">
        <f>IFERROR(__xludf.DUMMYFUNCTION("""COMPUTED_VALUE"""),"MATHIAS VILLASANTI")</f>
        <v>MATHIAS VILLASANTI</v>
      </c>
      <c r="E279" s="5">
        <f>IFERROR(__xludf.DUMMYFUNCTION("""COMPUTED_VALUE"""),0.0)</f>
        <v>0</v>
      </c>
      <c r="F279" s="5">
        <f>IFERROR(__xludf.DUMMYFUNCTION("""COMPUTED_VALUE"""),0.0)</f>
        <v>0</v>
      </c>
    </row>
    <row r="280">
      <c r="A280" s="7" t="str">
        <f>IFERROR(__xludf.DUMMYFUNCTION("""COMPUTED_VALUE"""),"PAR10")</f>
        <v>PAR10</v>
      </c>
      <c r="B280" s="5" t="str">
        <f>IFERROR(__xludf.DUMMYFUNCTION("""COMPUTED_VALUE"""),"PARAGUAY")</f>
        <v>PARAGUAY</v>
      </c>
      <c r="C280" s="5" t="str">
        <f>IFERROR(__xludf.DUMMYFUNCTION("""COMPUTED_VALUE"""),"NORMAL")</f>
        <v>NORMAL</v>
      </c>
      <c r="D280" s="5" t="str">
        <f>IFERROR(__xludf.DUMMYFUNCTION("""COMPUTED_VALUE"""),"DIEGO GOMEZ")</f>
        <v>DIEGO GOMEZ</v>
      </c>
      <c r="E280" s="5">
        <f>IFERROR(__xludf.DUMMYFUNCTION("""COMPUTED_VALUE"""),0.0)</f>
        <v>0</v>
      </c>
      <c r="F280" s="5">
        <f>IFERROR(__xludf.DUMMYFUNCTION("""COMPUTED_VALUE"""),0.0)</f>
        <v>0</v>
      </c>
    </row>
    <row r="281">
      <c r="A281" s="7" t="str">
        <f>IFERROR(__xludf.DUMMYFUNCTION("""COMPUTED_VALUE"""),"PAR11")</f>
        <v>PAR11</v>
      </c>
      <c r="B281" s="5" t="str">
        <f>IFERROR(__xludf.DUMMYFUNCTION("""COMPUTED_VALUE"""),"PARAGUAY")</f>
        <v>PARAGUAY</v>
      </c>
      <c r="C281" s="5" t="str">
        <f>IFERROR(__xludf.DUMMYFUNCTION("""COMPUTED_VALUE"""),"NORMAL")</f>
        <v>NORMAL</v>
      </c>
      <c r="D281" s="5" t="str">
        <f>IFERROR(__xludf.DUMMYFUNCTION("""COMPUTED_VALUE"""),"DAMIAN BOBADILLA")</f>
        <v>DAMIAN BOBADILLA</v>
      </c>
      <c r="E281" s="5">
        <f>IFERROR(__xludf.DUMMYFUNCTION("""COMPUTED_VALUE"""),0.0)</f>
        <v>0</v>
      </c>
      <c r="F281" s="5">
        <f>IFERROR(__xludf.DUMMYFUNCTION("""COMPUTED_VALUE"""),0.0)</f>
        <v>0</v>
      </c>
    </row>
    <row r="282">
      <c r="A282" s="7" t="str">
        <f>IFERROR(__xludf.DUMMYFUNCTION("""COMPUTED_VALUE"""),"PAR12")</f>
        <v>PAR12</v>
      </c>
      <c r="B282" s="5" t="str">
        <f>IFERROR(__xludf.DUMMYFUNCTION("""COMPUTED_VALUE"""),"PARAGUAY")</f>
        <v>PARAGUAY</v>
      </c>
      <c r="C282" s="5" t="str">
        <f>IFERROR(__xludf.DUMMYFUNCTION("""COMPUTED_VALUE"""),"NORMAL")</f>
        <v>NORMAL</v>
      </c>
      <c r="D282" s="5" t="str">
        <f>IFERROR(__xludf.DUMMYFUNCTION("""COMPUTED_VALUE"""),"ANDRÉS CUBAS")</f>
        <v>ANDRÉS CUBAS</v>
      </c>
      <c r="E282" s="5">
        <f>IFERROR(__xludf.DUMMYFUNCTION("""COMPUTED_VALUE"""),0.0)</f>
        <v>0</v>
      </c>
      <c r="F282" s="5">
        <f>IFERROR(__xludf.DUMMYFUNCTION("""COMPUTED_VALUE"""),0.0)</f>
        <v>0</v>
      </c>
    </row>
    <row r="283">
      <c r="A283" s="7" t="str">
        <f>IFERROR(__xludf.DUMMYFUNCTION("""COMPUTED_VALUE"""),"PAR13")</f>
        <v>PAR13</v>
      </c>
      <c r="B283" s="5" t="str">
        <f>IFERROR(__xludf.DUMMYFUNCTION("""COMPUTED_VALUE"""),"PARAGUAY")</f>
        <v>PARAGUAY</v>
      </c>
      <c r="C283" s="5" t="str">
        <f>IFERROR(__xludf.DUMMYFUNCTION("""COMPUTED_VALUE"""),"TEAM")</f>
        <v>TEAM</v>
      </c>
      <c r="D283" s="5" t="str">
        <f>IFERROR(__xludf.DUMMYFUNCTION("""COMPUTED_VALUE"""),"PARAGUAY NATIONAL TEAM")</f>
        <v>PARAGUAY NATIONAL TEAM</v>
      </c>
      <c r="E283" s="5">
        <f>IFERROR(__xludf.DUMMYFUNCTION("""COMPUTED_VALUE"""),0.0)</f>
        <v>0</v>
      </c>
      <c r="F283" s="5">
        <f>IFERROR(__xludf.DUMMYFUNCTION("""COMPUTED_VALUE"""),0.0)</f>
        <v>0</v>
      </c>
    </row>
    <row r="284">
      <c r="A284" s="7" t="str">
        <f>IFERROR(__xludf.DUMMYFUNCTION("""COMPUTED_VALUE"""),"PAR14")</f>
        <v>PAR14</v>
      </c>
      <c r="B284" s="5" t="str">
        <f>IFERROR(__xludf.DUMMYFUNCTION("""COMPUTED_VALUE"""),"PARAGUAY")</f>
        <v>PARAGUAY</v>
      </c>
      <c r="C284" s="5" t="str">
        <f>IFERROR(__xludf.DUMMYFUNCTION("""COMPUTED_VALUE"""),"NORMAL")</f>
        <v>NORMAL</v>
      </c>
      <c r="D284" s="5" t="str">
        <f>IFERROR(__xludf.DUMMYFUNCTION("""COMPUTED_VALUE"""),"MATIAS GALARZA FONDA")</f>
        <v>MATIAS GALARZA FONDA</v>
      </c>
      <c r="E284" s="5">
        <f>IFERROR(__xludf.DUMMYFUNCTION("""COMPUTED_VALUE"""),0.0)</f>
        <v>0</v>
      </c>
      <c r="F284" s="5">
        <f>IFERROR(__xludf.DUMMYFUNCTION("""COMPUTED_VALUE"""),0.0)</f>
        <v>0</v>
      </c>
    </row>
    <row r="285">
      <c r="A285" s="7" t="str">
        <f>IFERROR(__xludf.DUMMYFUNCTION("""COMPUTED_VALUE"""),"PAR15")</f>
        <v>PAR15</v>
      </c>
      <c r="B285" s="5" t="str">
        <f>IFERROR(__xludf.DUMMYFUNCTION("""COMPUTED_VALUE"""),"PARAGUAY")</f>
        <v>PARAGUAY</v>
      </c>
      <c r="C285" s="5" t="str">
        <f>IFERROR(__xludf.DUMMYFUNCTION("""COMPUTED_VALUE"""),"NORMAL")</f>
        <v>NORMAL</v>
      </c>
      <c r="D285" s="5" t="str">
        <f>IFERROR(__xludf.DUMMYFUNCTION("""COMPUTED_VALUE"""),"JULIO ENCISO")</f>
        <v>JULIO ENCISO</v>
      </c>
      <c r="E285" s="5">
        <f>IFERROR(__xludf.DUMMYFUNCTION("""COMPUTED_VALUE"""),0.0)</f>
        <v>0</v>
      </c>
      <c r="F285" s="5">
        <f>IFERROR(__xludf.DUMMYFUNCTION("""COMPUTED_VALUE"""),0.0)</f>
        <v>0</v>
      </c>
    </row>
    <row r="286">
      <c r="A286" s="7" t="str">
        <f>IFERROR(__xludf.DUMMYFUNCTION("""COMPUTED_VALUE"""),"PAR16")</f>
        <v>PAR16</v>
      </c>
      <c r="B286" s="5" t="str">
        <f>IFERROR(__xludf.DUMMYFUNCTION("""COMPUTED_VALUE"""),"PARAGUAY")</f>
        <v>PARAGUAY</v>
      </c>
      <c r="C286" s="5" t="str">
        <f>IFERROR(__xludf.DUMMYFUNCTION("""COMPUTED_VALUE"""),"NORMAL")</f>
        <v>NORMAL</v>
      </c>
      <c r="D286" s="5" t="str">
        <f>IFERROR(__xludf.DUMMYFUNCTION("""COMPUTED_VALUE"""),"ALEJANDRO ROMERO GAMARRA")</f>
        <v>ALEJANDRO ROMERO GAMARRA</v>
      </c>
      <c r="E286" s="5">
        <f>IFERROR(__xludf.DUMMYFUNCTION("""COMPUTED_VALUE"""),0.0)</f>
        <v>0</v>
      </c>
      <c r="F286" s="5">
        <f>IFERROR(__xludf.DUMMYFUNCTION("""COMPUTED_VALUE"""),0.0)</f>
        <v>0</v>
      </c>
    </row>
    <row r="287">
      <c r="A287" s="7" t="str">
        <f>IFERROR(__xludf.DUMMYFUNCTION("""COMPUTED_VALUE"""),"PAR17")</f>
        <v>PAR17</v>
      </c>
      <c r="B287" s="5" t="str">
        <f>IFERROR(__xludf.DUMMYFUNCTION("""COMPUTED_VALUE"""),"PARAGUAY")</f>
        <v>PARAGUAY</v>
      </c>
      <c r="C287" s="5" t="str">
        <f>IFERROR(__xludf.DUMMYFUNCTION("""COMPUTED_VALUE"""),"NORMAL")</f>
        <v>NORMAL</v>
      </c>
      <c r="D287" s="5" t="str">
        <f>IFERROR(__xludf.DUMMYFUNCTION("""COMPUTED_VALUE"""),"MIGUEL ALMIRON")</f>
        <v>MIGUEL ALMIRON</v>
      </c>
      <c r="E287" s="5">
        <f>IFERROR(__xludf.DUMMYFUNCTION("""COMPUTED_VALUE"""),0.0)</f>
        <v>0</v>
      </c>
      <c r="F287" s="5">
        <f>IFERROR(__xludf.DUMMYFUNCTION("""COMPUTED_VALUE"""),0.0)</f>
        <v>0</v>
      </c>
    </row>
    <row r="288">
      <c r="A288" s="7" t="str">
        <f>IFERROR(__xludf.DUMMYFUNCTION("""COMPUTED_VALUE"""),"PAR18")</f>
        <v>PAR18</v>
      </c>
      <c r="B288" s="5" t="str">
        <f>IFERROR(__xludf.DUMMYFUNCTION("""COMPUTED_VALUE"""),"PARAGUAY")</f>
        <v>PARAGUAY</v>
      </c>
      <c r="C288" s="5" t="str">
        <f>IFERROR(__xludf.DUMMYFUNCTION("""COMPUTED_VALUE"""),"NORMAL")</f>
        <v>NORMAL</v>
      </c>
      <c r="D288" s="5" t="str">
        <f>IFERROR(__xludf.DUMMYFUNCTION("""COMPUTED_VALUE"""),"RAMON SOSA")</f>
        <v>RAMON SOSA</v>
      </c>
      <c r="E288" s="5">
        <f>IFERROR(__xludf.DUMMYFUNCTION("""COMPUTED_VALUE"""),0.0)</f>
        <v>0</v>
      </c>
      <c r="F288" s="5">
        <f>IFERROR(__xludf.DUMMYFUNCTION("""COMPUTED_VALUE"""),0.0)</f>
        <v>0</v>
      </c>
    </row>
    <row r="289">
      <c r="A289" s="7" t="str">
        <f>IFERROR(__xludf.DUMMYFUNCTION("""COMPUTED_VALUE"""),"PAR19")</f>
        <v>PAR19</v>
      </c>
      <c r="B289" s="5" t="str">
        <f>IFERROR(__xludf.DUMMYFUNCTION("""COMPUTED_VALUE"""),"PARAGUAY")</f>
        <v>PARAGUAY</v>
      </c>
      <c r="C289" s="5" t="str">
        <f>IFERROR(__xludf.DUMMYFUNCTION("""COMPUTED_VALUE"""),"NORMAL")</f>
        <v>NORMAL</v>
      </c>
      <c r="D289" s="5" t="str">
        <f>IFERROR(__xludf.DUMMYFUNCTION("""COMPUTED_VALUE"""),"ANGEL ROMERO")</f>
        <v>ANGEL ROMERO</v>
      </c>
      <c r="E289" s="5">
        <f>IFERROR(__xludf.DUMMYFUNCTION("""COMPUTED_VALUE"""),0.0)</f>
        <v>0</v>
      </c>
      <c r="F289" s="5">
        <f>IFERROR(__xludf.DUMMYFUNCTION("""COMPUTED_VALUE"""),0.0)</f>
        <v>0</v>
      </c>
    </row>
    <row r="290">
      <c r="A290" s="7" t="str">
        <f>IFERROR(__xludf.DUMMYFUNCTION("""COMPUTED_VALUE"""),"PAR20")</f>
        <v>PAR20</v>
      </c>
      <c r="B290" s="5" t="str">
        <f>IFERROR(__xludf.DUMMYFUNCTION("""COMPUTED_VALUE"""),"PARAGUAY")</f>
        <v>PARAGUAY</v>
      </c>
      <c r="C290" s="5" t="str">
        <f>IFERROR(__xludf.DUMMYFUNCTION("""COMPUTED_VALUE"""),"NORMAL")</f>
        <v>NORMAL</v>
      </c>
      <c r="D290" s="5" t="str">
        <f>IFERROR(__xludf.DUMMYFUNCTION("""COMPUTED_VALUE"""),"ANTONIO SANABRIA")</f>
        <v>ANTONIO SANABRIA</v>
      </c>
      <c r="E290" s="5">
        <f>IFERROR(__xludf.DUMMYFUNCTION("""COMPUTED_VALUE"""),0.0)</f>
        <v>0</v>
      </c>
      <c r="F290" s="5">
        <f>IFERROR(__xludf.DUMMYFUNCTION("""COMPUTED_VALUE"""),0.0)</f>
        <v>0</v>
      </c>
    </row>
    <row r="291">
      <c r="A291" s="5" t="str">
        <f>IFERROR(__xludf.DUMMYFUNCTION("""COMPUTED_VALUE"""),"AUS01")</f>
        <v>AUS01</v>
      </c>
      <c r="B291" s="5" t="str">
        <f>IFERROR(__xludf.DUMMYFUNCTION("""COMPUTED_VALUE"""),"AUSTRALIA")</f>
        <v>AUSTRALIA</v>
      </c>
      <c r="C291" s="5" t="str">
        <f>IFERROR(__xludf.DUMMYFUNCTION("""COMPUTED_VALUE"""),"BADGE")</f>
        <v>BADGE</v>
      </c>
      <c r="D291" s="5" t="str">
        <f>IFERROR(__xludf.DUMMYFUNCTION("""COMPUTED_VALUE"""),"AUSTRALIA NATIONAL TEAM")</f>
        <v>AUSTRALIA NATIONAL TEAM</v>
      </c>
      <c r="E291" s="5">
        <f>IFERROR(__xludf.DUMMYFUNCTION("""COMPUTED_VALUE"""),0.0)</f>
        <v>0</v>
      </c>
      <c r="F291" s="5">
        <f>IFERROR(__xludf.DUMMYFUNCTION("""COMPUTED_VALUE"""),0.0)</f>
        <v>0</v>
      </c>
    </row>
    <row r="292">
      <c r="A292" s="5" t="str">
        <f>IFERROR(__xludf.DUMMYFUNCTION("""COMPUTED_VALUE"""),"AUS02")</f>
        <v>AUS02</v>
      </c>
      <c r="B292" s="5" t="str">
        <f>IFERROR(__xludf.DUMMYFUNCTION("""COMPUTED_VALUE"""),"AUSTRALIA")</f>
        <v>AUSTRALIA</v>
      </c>
      <c r="C292" s="5" t="str">
        <f>IFERROR(__xludf.DUMMYFUNCTION("""COMPUTED_VALUE"""),"NORMAL")</f>
        <v>NORMAL</v>
      </c>
      <c r="D292" s="5" t="str">
        <f>IFERROR(__xludf.DUMMYFUNCTION("""COMPUTED_VALUE"""),"MATTHEW RYAN")</f>
        <v>MATTHEW RYAN</v>
      </c>
      <c r="E292" s="5">
        <f>IFERROR(__xludf.DUMMYFUNCTION("""COMPUTED_VALUE"""),0.0)</f>
        <v>0</v>
      </c>
      <c r="F292" s="5">
        <f>IFERROR(__xludf.DUMMYFUNCTION("""COMPUTED_VALUE"""),0.0)</f>
        <v>0</v>
      </c>
    </row>
    <row r="293">
      <c r="A293" s="5" t="str">
        <f>IFERROR(__xludf.DUMMYFUNCTION("""COMPUTED_VALUE"""),"AUS03")</f>
        <v>AUS03</v>
      </c>
      <c r="B293" s="5" t="str">
        <f>IFERROR(__xludf.DUMMYFUNCTION("""COMPUTED_VALUE"""),"AUSTRALIA")</f>
        <v>AUSTRALIA</v>
      </c>
      <c r="C293" s="5" t="str">
        <f>IFERROR(__xludf.DUMMYFUNCTION("""COMPUTED_VALUE"""),"NORMAL")</f>
        <v>NORMAL</v>
      </c>
      <c r="D293" s="5" t="str">
        <f>IFERROR(__xludf.DUMMYFUNCTION("""COMPUTED_VALUE"""),"JOE GAUCI")</f>
        <v>JOE GAUCI</v>
      </c>
      <c r="E293" s="5">
        <f>IFERROR(__xludf.DUMMYFUNCTION("""COMPUTED_VALUE"""),0.0)</f>
        <v>0</v>
      </c>
      <c r="F293" s="5">
        <f>IFERROR(__xludf.DUMMYFUNCTION("""COMPUTED_VALUE"""),0.0)</f>
        <v>0</v>
      </c>
    </row>
    <row r="294">
      <c r="A294" s="5" t="str">
        <f>IFERROR(__xludf.DUMMYFUNCTION("""COMPUTED_VALUE"""),"AUS04")</f>
        <v>AUS04</v>
      </c>
      <c r="B294" s="5" t="str">
        <f>IFERROR(__xludf.DUMMYFUNCTION("""COMPUTED_VALUE"""),"AUSTRALIA")</f>
        <v>AUSTRALIA</v>
      </c>
      <c r="C294" s="5" t="str">
        <f>IFERROR(__xludf.DUMMYFUNCTION("""COMPUTED_VALUE"""),"NORMAL")</f>
        <v>NORMAL</v>
      </c>
      <c r="D294" s="5" t="str">
        <f>IFERROR(__xludf.DUMMYFUNCTION("""COMPUTED_VALUE"""),"HARRY SOUTTAR")</f>
        <v>HARRY SOUTTAR</v>
      </c>
      <c r="E294" s="5">
        <f>IFERROR(__xludf.DUMMYFUNCTION("""COMPUTED_VALUE"""),0.0)</f>
        <v>0</v>
      </c>
      <c r="F294" s="5">
        <f>IFERROR(__xludf.DUMMYFUNCTION("""COMPUTED_VALUE"""),0.0)</f>
        <v>0</v>
      </c>
    </row>
    <row r="295">
      <c r="A295" s="5" t="str">
        <f>IFERROR(__xludf.DUMMYFUNCTION("""COMPUTED_VALUE"""),"AUS05")</f>
        <v>AUS05</v>
      </c>
      <c r="B295" s="5" t="str">
        <f>IFERROR(__xludf.DUMMYFUNCTION("""COMPUTED_VALUE"""),"AUSTRALIA")</f>
        <v>AUSTRALIA</v>
      </c>
      <c r="C295" s="5" t="str">
        <f>IFERROR(__xludf.DUMMYFUNCTION("""COMPUTED_VALUE"""),"NORMAL")</f>
        <v>NORMAL</v>
      </c>
      <c r="D295" s="5" t="str">
        <f>IFERROR(__xludf.DUMMYFUNCTION("""COMPUTED_VALUE"""),"ALESSANDRO CIRCATI")</f>
        <v>ALESSANDRO CIRCATI</v>
      </c>
      <c r="E295" s="5">
        <f>IFERROR(__xludf.DUMMYFUNCTION("""COMPUTED_VALUE"""),0.0)</f>
        <v>0</v>
      </c>
      <c r="F295" s="5">
        <f>IFERROR(__xludf.DUMMYFUNCTION("""COMPUTED_VALUE"""),0.0)</f>
        <v>0</v>
      </c>
    </row>
    <row r="296">
      <c r="A296" s="5" t="str">
        <f>IFERROR(__xludf.DUMMYFUNCTION("""COMPUTED_VALUE"""),"AUS06")</f>
        <v>AUS06</v>
      </c>
      <c r="B296" s="5" t="str">
        <f>IFERROR(__xludf.DUMMYFUNCTION("""COMPUTED_VALUE"""),"AUSTRALIA")</f>
        <v>AUSTRALIA</v>
      </c>
      <c r="C296" s="5" t="str">
        <f>IFERROR(__xludf.DUMMYFUNCTION("""COMPUTED_VALUE"""),"NORMAL")</f>
        <v>NORMAL</v>
      </c>
      <c r="D296" s="5" t="str">
        <f>IFERROR(__xludf.DUMMYFUNCTION("""COMPUTED_VALUE"""),"JORDAN BOS")</f>
        <v>JORDAN BOS</v>
      </c>
      <c r="E296" s="5">
        <f>IFERROR(__xludf.DUMMYFUNCTION("""COMPUTED_VALUE"""),0.0)</f>
        <v>0</v>
      </c>
      <c r="F296" s="5">
        <f>IFERROR(__xludf.DUMMYFUNCTION("""COMPUTED_VALUE"""),0.0)</f>
        <v>0</v>
      </c>
    </row>
    <row r="297">
      <c r="A297" s="5" t="str">
        <f>IFERROR(__xludf.DUMMYFUNCTION("""COMPUTED_VALUE"""),"AUS07")</f>
        <v>AUS07</v>
      </c>
      <c r="B297" s="5" t="str">
        <f>IFERROR(__xludf.DUMMYFUNCTION("""COMPUTED_VALUE"""),"AUSTRALIA")</f>
        <v>AUSTRALIA</v>
      </c>
      <c r="C297" s="5" t="str">
        <f>IFERROR(__xludf.DUMMYFUNCTION("""COMPUTED_VALUE"""),"NORMAL")</f>
        <v>NORMAL</v>
      </c>
      <c r="D297" s="5" t="str">
        <f>IFERROR(__xludf.DUMMYFUNCTION("""COMPUTED_VALUE"""),"AZIZ BEHICH")</f>
        <v>AZIZ BEHICH</v>
      </c>
      <c r="E297" s="5">
        <f>IFERROR(__xludf.DUMMYFUNCTION("""COMPUTED_VALUE"""),0.0)</f>
        <v>0</v>
      </c>
      <c r="F297" s="5">
        <f>IFERROR(__xludf.DUMMYFUNCTION("""COMPUTED_VALUE"""),0.0)</f>
        <v>0</v>
      </c>
    </row>
    <row r="298">
      <c r="A298" s="5" t="str">
        <f>IFERROR(__xludf.DUMMYFUNCTION("""COMPUTED_VALUE"""),"AUS08")</f>
        <v>AUS08</v>
      </c>
      <c r="B298" s="5" t="str">
        <f>IFERROR(__xludf.DUMMYFUNCTION("""COMPUTED_VALUE"""),"AUSTRALIA")</f>
        <v>AUSTRALIA</v>
      </c>
      <c r="C298" s="5" t="str">
        <f>IFERROR(__xludf.DUMMYFUNCTION("""COMPUTED_VALUE"""),"NORMAL")</f>
        <v>NORMAL</v>
      </c>
      <c r="D298" s="5" t="str">
        <f>IFERROR(__xludf.DUMMYFUNCTION("""COMPUTED_VALUE"""),"CAMERON BURGESS")</f>
        <v>CAMERON BURGESS</v>
      </c>
      <c r="E298" s="5">
        <f>IFERROR(__xludf.DUMMYFUNCTION("""COMPUTED_VALUE"""),0.0)</f>
        <v>0</v>
      </c>
      <c r="F298" s="5">
        <f>IFERROR(__xludf.DUMMYFUNCTION("""COMPUTED_VALUE"""),0.0)</f>
        <v>0</v>
      </c>
    </row>
    <row r="299">
      <c r="A299" s="5" t="str">
        <f>IFERROR(__xludf.DUMMYFUNCTION("""COMPUTED_VALUE"""),"AUS09")</f>
        <v>AUS09</v>
      </c>
      <c r="B299" s="5" t="str">
        <f>IFERROR(__xludf.DUMMYFUNCTION("""COMPUTED_VALUE"""),"AUSTRALIA")</f>
        <v>AUSTRALIA</v>
      </c>
      <c r="C299" s="5" t="str">
        <f>IFERROR(__xludf.DUMMYFUNCTION("""COMPUTED_VALUE"""),"NORMAL")</f>
        <v>NORMAL</v>
      </c>
      <c r="D299" s="5" t="str">
        <f>IFERROR(__xludf.DUMMYFUNCTION("""COMPUTED_VALUE"""),"LEWIS MILLER")</f>
        <v>LEWIS MILLER</v>
      </c>
      <c r="E299" s="5">
        <f>IFERROR(__xludf.DUMMYFUNCTION("""COMPUTED_VALUE"""),0.0)</f>
        <v>0</v>
      </c>
      <c r="F299" s="5">
        <f>IFERROR(__xludf.DUMMYFUNCTION("""COMPUTED_VALUE"""),0.0)</f>
        <v>0</v>
      </c>
    </row>
    <row r="300">
      <c r="A300" s="5" t="str">
        <f>IFERROR(__xludf.DUMMYFUNCTION("""COMPUTED_VALUE"""),"AUS10")</f>
        <v>AUS10</v>
      </c>
      <c r="B300" s="5" t="str">
        <f>IFERROR(__xludf.DUMMYFUNCTION("""COMPUTED_VALUE"""),"AUSTRALIA")</f>
        <v>AUSTRALIA</v>
      </c>
      <c r="C300" s="5" t="str">
        <f>IFERROR(__xludf.DUMMYFUNCTION("""COMPUTED_VALUE"""),"NORMAL")</f>
        <v>NORMAL</v>
      </c>
      <c r="D300" s="5" t="str">
        <f>IFERROR(__xludf.DUMMYFUNCTION("""COMPUTED_VALUE"""),"MILOS DEGENEK")</f>
        <v>MILOS DEGENEK</v>
      </c>
      <c r="E300" s="5">
        <f>IFERROR(__xludf.DUMMYFUNCTION("""COMPUTED_VALUE"""),0.0)</f>
        <v>0</v>
      </c>
      <c r="F300" s="5">
        <f>IFERROR(__xludf.DUMMYFUNCTION("""COMPUTED_VALUE"""),0.0)</f>
        <v>0</v>
      </c>
    </row>
    <row r="301">
      <c r="A301" s="5" t="str">
        <f>IFERROR(__xludf.DUMMYFUNCTION("""COMPUTED_VALUE"""),"AUS11")</f>
        <v>AUS11</v>
      </c>
      <c r="B301" s="5" t="str">
        <f>IFERROR(__xludf.DUMMYFUNCTION("""COMPUTED_VALUE"""),"AUSTRALIA")</f>
        <v>AUSTRALIA</v>
      </c>
      <c r="C301" s="5" t="str">
        <f>IFERROR(__xludf.DUMMYFUNCTION("""COMPUTED_VALUE"""),"NORMAL")</f>
        <v>NORMAL</v>
      </c>
      <c r="D301" s="5" t="str">
        <f>IFERROR(__xludf.DUMMYFUNCTION("""COMPUTED_VALUE"""),"JACKSON IRVINE")</f>
        <v>JACKSON IRVINE</v>
      </c>
      <c r="E301" s="5">
        <f>IFERROR(__xludf.DUMMYFUNCTION("""COMPUTED_VALUE"""),0.0)</f>
        <v>0</v>
      </c>
      <c r="F301" s="5">
        <f>IFERROR(__xludf.DUMMYFUNCTION("""COMPUTED_VALUE"""),0.0)</f>
        <v>0</v>
      </c>
    </row>
    <row r="302">
      <c r="A302" s="5" t="str">
        <f>IFERROR(__xludf.DUMMYFUNCTION("""COMPUTED_VALUE"""),"AUS12")</f>
        <v>AUS12</v>
      </c>
      <c r="B302" s="5" t="str">
        <f>IFERROR(__xludf.DUMMYFUNCTION("""COMPUTED_VALUE"""),"AUSTRALIA")</f>
        <v>AUSTRALIA</v>
      </c>
      <c r="C302" s="5" t="str">
        <f>IFERROR(__xludf.DUMMYFUNCTION("""COMPUTED_VALUE"""),"NORMAL")</f>
        <v>NORMAL</v>
      </c>
      <c r="D302" s="5" t="str">
        <f>IFERROR(__xludf.DUMMYFUNCTION("""COMPUTED_VALUE"""),"RILEY MCGREE")</f>
        <v>RILEY MCGREE</v>
      </c>
      <c r="E302" s="5">
        <f>IFERROR(__xludf.DUMMYFUNCTION("""COMPUTED_VALUE"""),0.0)</f>
        <v>0</v>
      </c>
      <c r="F302" s="5">
        <f>IFERROR(__xludf.DUMMYFUNCTION("""COMPUTED_VALUE"""),0.0)</f>
        <v>0</v>
      </c>
    </row>
    <row r="303">
      <c r="A303" s="5" t="str">
        <f>IFERROR(__xludf.DUMMYFUNCTION("""COMPUTED_VALUE"""),"AUS13")</f>
        <v>AUS13</v>
      </c>
      <c r="B303" s="5" t="str">
        <f>IFERROR(__xludf.DUMMYFUNCTION("""COMPUTED_VALUE"""),"AUSTRALIA")</f>
        <v>AUSTRALIA</v>
      </c>
      <c r="C303" s="5" t="str">
        <f>IFERROR(__xludf.DUMMYFUNCTION("""COMPUTED_VALUE"""),"TEAM")</f>
        <v>TEAM</v>
      </c>
      <c r="D303" s="5" t="str">
        <f>IFERROR(__xludf.DUMMYFUNCTION("""COMPUTED_VALUE"""),"AUSTRALIA NATIONAL TEAM")</f>
        <v>AUSTRALIA NATIONAL TEAM</v>
      </c>
      <c r="E303" s="5">
        <f>IFERROR(__xludf.DUMMYFUNCTION("""COMPUTED_VALUE"""),0.0)</f>
        <v>0</v>
      </c>
      <c r="F303" s="5">
        <f>IFERROR(__xludf.DUMMYFUNCTION("""COMPUTED_VALUE"""),0.0)</f>
        <v>0</v>
      </c>
    </row>
    <row r="304">
      <c r="A304" s="5" t="str">
        <f>IFERROR(__xludf.DUMMYFUNCTION("""COMPUTED_VALUE"""),"AUS14")</f>
        <v>AUS14</v>
      </c>
      <c r="B304" s="5" t="str">
        <f>IFERROR(__xludf.DUMMYFUNCTION("""COMPUTED_VALUE"""),"AUSTRALIA")</f>
        <v>AUSTRALIA</v>
      </c>
      <c r="C304" s="5" t="str">
        <f>IFERROR(__xludf.DUMMYFUNCTION("""COMPUTED_VALUE"""),"NORMAL")</f>
        <v>NORMAL</v>
      </c>
      <c r="D304" s="5" t="str">
        <f>IFERROR(__xludf.DUMMYFUNCTION("""COMPUTED_VALUE"""),"AIDEN O´NEILL")</f>
        <v>AIDEN O´NEILL</v>
      </c>
      <c r="E304" s="5">
        <f>IFERROR(__xludf.DUMMYFUNCTION("""COMPUTED_VALUE"""),0.0)</f>
        <v>0</v>
      </c>
      <c r="F304" s="5">
        <f>IFERROR(__xludf.DUMMYFUNCTION("""COMPUTED_VALUE"""),0.0)</f>
        <v>0</v>
      </c>
    </row>
    <row r="305">
      <c r="A305" s="5" t="str">
        <f>IFERROR(__xludf.DUMMYFUNCTION("""COMPUTED_VALUE"""),"AUS15")</f>
        <v>AUS15</v>
      </c>
      <c r="B305" s="5" t="str">
        <f>IFERROR(__xludf.DUMMYFUNCTION("""COMPUTED_VALUE"""),"AUSTRALIA")</f>
        <v>AUSTRALIA</v>
      </c>
      <c r="C305" s="5" t="str">
        <f>IFERROR(__xludf.DUMMYFUNCTION("""COMPUTED_VALUE"""),"NORMAL")</f>
        <v>NORMAL</v>
      </c>
      <c r="D305" s="5" t="str">
        <f>IFERROR(__xludf.DUMMYFUNCTION("""COMPUTED_VALUE"""),"CONNOR METCALFE")</f>
        <v>CONNOR METCALFE</v>
      </c>
      <c r="E305" s="5">
        <f>IFERROR(__xludf.DUMMYFUNCTION("""COMPUTED_VALUE"""),0.0)</f>
        <v>0</v>
      </c>
      <c r="F305" s="5">
        <f>IFERROR(__xludf.DUMMYFUNCTION("""COMPUTED_VALUE"""),0.0)</f>
        <v>0</v>
      </c>
    </row>
    <row r="306">
      <c r="A306" s="5" t="str">
        <f>IFERROR(__xludf.DUMMYFUNCTION("""COMPUTED_VALUE"""),"AUS16")</f>
        <v>AUS16</v>
      </c>
      <c r="B306" s="5" t="str">
        <f>IFERROR(__xludf.DUMMYFUNCTION("""COMPUTED_VALUE"""),"AUSTRALIA")</f>
        <v>AUSTRALIA</v>
      </c>
      <c r="C306" s="5" t="str">
        <f>IFERROR(__xludf.DUMMYFUNCTION("""COMPUTED_VALUE"""),"NORMAL")</f>
        <v>NORMAL</v>
      </c>
      <c r="D306" s="5" t="str">
        <f>IFERROR(__xludf.DUMMYFUNCTION("""COMPUTED_VALUE"""),"PATRICK YAZBECK")</f>
        <v>PATRICK YAZBECK</v>
      </c>
      <c r="E306" s="5">
        <f>IFERROR(__xludf.DUMMYFUNCTION("""COMPUTED_VALUE"""),0.0)</f>
        <v>0</v>
      </c>
      <c r="F306" s="5">
        <f>IFERROR(__xludf.DUMMYFUNCTION("""COMPUTED_VALUE"""),0.0)</f>
        <v>0</v>
      </c>
    </row>
    <row r="307">
      <c r="A307" s="5" t="str">
        <f>IFERROR(__xludf.DUMMYFUNCTION("""COMPUTED_VALUE"""),"AUS17")</f>
        <v>AUS17</v>
      </c>
      <c r="B307" s="5" t="str">
        <f>IFERROR(__xludf.DUMMYFUNCTION("""COMPUTED_VALUE"""),"AUSTRALIA")</f>
        <v>AUSTRALIA</v>
      </c>
      <c r="C307" s="5" t="str">
        <f>IFERROR(__xludf.DUMMYFUNCTION("""COMPUTED_VALUE"""),"NORMAL")</f>
        <v>NORMAL</v>
      </c>
      <c r="D307" s="5" t="str">
        <f>IFERROR(__xludf.DUMMYFUNCTION("""COMPUTED_VALUE"""),"CRAIG GOODWIN")</f>
        <v>CRAIG GOODWIN</v>
      </c>
      <c r="E307" s="5">
        <f>IFERROR(__xludf.DUMMYFUNCTION("""COMPUTED_VALUE"""),0.0)</f>
        <v>0</v>
      </c>
      <c r="F307" s="5">
        <f>IFERROR(__xludf.DUMMYFUNCTION("""COMPUTED_VALUE"""),0.0)</f>
        <v>0</v>
      </c>
    </row>
    <row r="308">
      <c r="A308" s="5" t="str">
        <f>IFERROR(__xludf.DUMMYFUNCTION("""COMPUTED_VALUE"""),"AUS18")</f>
        <v>AUS18</v>
      </c>
      <c r="B308" s="5" t="str">
        <f>IFERROR(__xludf.DUMMYFUNCTION("""COMPUTED_VALUE"""),"AUSTRALIA")</f>
        <v>AUSTRALIA</v>
      </c>
      <c r="C308" s="5" t="str">
        <f>IFERROR(__xludf.DUMMYFUNCTION("""COMPUTED_VALUE"""),"NORMAL")</f>
        <v>NORMAL</v>
      </c>
      <c r="D308" s="5" t="str">
        <f>IFERROR(__xludf.DUMMYFUNCTION("""COMPUTED_VALUE"""),"KUSINI VENGI")</f>
        <v>KUSINI VENGI</v>
      </c>
      <c r="E308" s="5">
        <f>IFERROR(__xludf.DUMMYFUNCTION("""COMPUTED_VALUE"""),0.0)</f>
        <v>0</v>
      </c>
      <c r="F308" s="5">
        <f>IFERROR(__xludf.DUMMYFUNCTION("""COMPUTED_VALUE"""),0.0)</f>
        <v>0</v>
      </c>
    </row>
    <row r="309">
      <c r="A309" s="5" t="str">
        <f>IFERROR(__xludf.DUMMYFUNCTION("""COMPUTED_VALUE"""),"AUS19")</f>
        <v>AUS19</v>
      </c>
      <c r="B309" s="5" t="str">
        <f>IFERROR(__xludf.DUMMYFUNCTION("""COMPUTED_VALUE"""),"AUSTRALIA")</f>
        <v>AUSTRALIA</v>
      </c>
      <c r="C309" s="5" t="str">
        <f>IFERROR(__xludf.DUMMYFUNCTION("""COMPUTED_VALUE"""),"NORMAL")</f>
        <v>NORMAL</v>
      </c>
      <c r="D309" s="5" t="str">
        <f>IFERROR(__xludf.DUMMYFUNCTION("""COMPUTED_VALUE"""),"NESTORY IRANKUNDA")</f>
        <v>NESTORY IRANKUNDA</v>
      </c>
      <c r="E309" s="5">
        <f>IFERROR(__xludf.DUMMYFUNCTION("""COMPUTED_VALUE"""),0.0)</f>
        <v>0</v>
      </c>
      <c r="F309" s="5">
        <f>IFERROR(__xludf.DUMMYFUNCTION("""COMPUTED_VALUE"""),0.0)</f>
        <v>0</v>
      </c>
    </row>
    <row r="310">
      <c r="A310" s="5" t="str">
        <f>IFERROR(__xludf.DUMMYFUNCTION("""COMPUTED_VALUE"""),"AUS20")</f>
        <v>AUS20</v>
      </c>
      <c r="B310" s="5" t="str">
        <f>IFERROR(__xludf.DUMMYFUNCTION("""COMPUTED_VALUE"""),"AUSTRALIA")</f>
        <v>AUSTRALIA</v>
      </c>
      <c r="C310" s="5" t="str">
        <f>IFERROR(__xludf.DUMMYFUNCTION("""COMPUTED_VALUE"""),"NORMAL")</f>
        <v>NORMAL</v>
      </c>
      <c r="D310" s="5" t="str">
        <f>IFERROR(__xludf.DUMMYFUNCTION("""COMPUTED_VALUE"""),"MOHAMED TOURE")</f>
        <v>MOHAMED TOURE</v>
      </c>
      <c r="E310" s="5">
        <f>IFERROR(__xludf.DUMMYFUNCTION("""COMPUTED_VALUE"""),0.0)</f>
        <v>0</v>
      </c>
      <c r="F310" s="5">
        <f>IFERROR(__xludf.DUMMYFUNCTION("""COMPUTED_VALUE"""),0.0)</f>
        <v>0</v>
      </c>
    </row>
    <row r="311">
      <c r="A311" s="5" t="str">
        <f>IFERROR(__xludf.DUMMYFUNCTION("""COMPUTED_VALUE"""),"TUR01")</f>
        <v>TUR01</v>
      </c>
      <c r="B311" s="5" t="str">
        <f>IFERROR(__xludf.DUMMYFUNCTION("""COMPUTED_VALUE"""),"TURKEY")</f>
        <v>TURKEY</v>
      </c>
      <c r="C311" s="5" t="str">
        <f>IFERROR(__xludf.DUMMYFUNCTION("""COMPUTED_VALUE"""),"BADGE")</f>
        <v>BADGE</v>
      </c>
      <c r="D311" s="5" t="str">
        <f>IFERROR(__xludf.DUMMYFUNCTION("""COMPUTED_VALUE"""),"TURKEY NATIONAL TEAM")</f>
        <v>TURKEY NATIONAL TEAM</v>
      </c>
      <c r="E311" s="5">
        <f>IFERROR(__xludf.DUMMYFUNCTION("""COMPUTED_VALUE"""),0.0)</f>
        <v>0</v>
      </c>
      <c r="F311" s="5">
        <f>IFERROR(__xludf.DUMMYFUNCTION("""COMPUTED_VALUE"""),0.0)</f>
        <v>0</v>
      </c>
    </row>
    <row r="312">
      <c r="A312" s="5" t="str">
        <f>IFERROR(__xludf.DUMMYFUNCTION("""COMPUTED_VALUE"""),"TUR02")</f>
        <v>TUR02</v>
      </c>
      <c r="B312" s="5" t="str">
        <f>IFERROR(__xludf.DUMMYFUNCTION("""COMPUTED_VALUE"""),"TURKEY")</f>
        <v>TURKEY</v>
      </c>
      <c r="C312" s="5" t="str">
        <f>IFERROR(__xludf.DUMMYFUNCTION("""COMPUTED_VALUE"""),"NORMAL")</f>
        <v>NORMAL</v>
      </c>
      <c r="D312" s="5" t="str">
        <f>IFERROR(__xludf.DUMMYFUNCTION("""COMPUTED_VALUE"""),"UGURCAN CAKIR")</f>
        <v>UGURCAN CAKIR</v>
      </c>
      <c r="E312" s="5">
        <f>IFERROR(__xludf.DUMMYFUNCTION("""COMPUTED_VALUE"""),0.0)</f>
        <v>0</v>
      </c>
      <c r="F312" s="5">
        <f>IFERROR(__xludf.DUMMYFUNCTION("""COMPUTED_VALUE"""),0.0)</f>
        <v>0</v>
      </c>
    </row>
    <row r="313">
      <c r="A313" s="5" t="str">
        <f>IFERROR(__xludf.DUMMYFUNCTION("""COMPUTED_VALUE"""),"TUR03")</f>
        <v>TUR03</v>
      </c>
      <c r="B313" s="5" t="str">
        <f>IFERROR(__xludf.DUMMYFUNCTION("""COMPUTED_VALUE"""),"TURKEY")</f>
        <v>TURKEY</v>
      </c>
      <c r="C313" s="5" t="str">
        <f>IFERROR(__xludf.DUMMYFUNCTION("""COMPUTED_VALUE"""),"NORMAL")</f>
        <v>NORMAL</v>
      </c>
      <c r="D313" s="5" t="str">
        <f>IFERROR(__xludf.DUMMYFUNCTION("""COMPUTED_VALUE"""),"MERT MULDUR")</f>
        <v>MERT MULDUR</v>
      </c>
      <c r="E313" s="5">
        <f>IFERROR(__xludf.DUMMYFUNCTION("""COMPUTED_VALUE"""),0.0)</f>
        <v>0</v>
      </c>
      <c r="F313" s="5">
        <f>IFERROR(__xludf.DUMMYFUNCTION("""COMPUTED_VALUE"""),0.0)</f>
        <v>0</v>
      </c>
    </row>
    <row r="314">
      <c r="A314" s="5" t="str">
        <f>IFERROR(__xludf.DUMMYFUNCTION("""COMPUTED_VALUE"""),"TUR04")</f>
        <v>TUR04</v>
      </c>
      <c r="B314" s="5" t="str">
        <f>IFERROR(__xludf.DUMMYFUNCTION("""COMPUTED_VALUE"""),"TURKEY")</f>
        <v>TURKEY</v>
      </c>
      <c r="C314" s="5" t="str">
        <f>IFERROR(__xludf.DUMMYFUNCTION("""COMPUTED_VALUE"""),"NORMAL")</f>
        <v>NORMAL</v>
      </c>
      <c r="D314" s="5" t="str">
        <f>IFERROR(__xludf.DUMMYFUNCTION("""COMPUTED_VALUE"""),"ZEKI CELIK")</f>
        <v>ZEKI CELIK</v>
      </c>
      <c r="E314" s="5">
        <f>IFERROR(__xludf.DUMMYFUNCTION("""COMPUTED_VALUE"""),0.0)</f>
        <v>0</v>
      </c>
      <c r="F314" s="5">
        <f>IFERROR(__xludf.DUMMYFUNCTION("""COMPUTED_VALUE"""),0.0)</f>
        <v>0</v>
      </c>
    </row>
    <row r="315">
      <c r="A315" s="5" t="str">
        <f>IFERROR(__xludf.DUMMYFUNCTION("""COMPUTED_VALUE"""),"TUR05")</f>
        <v>TUR05</v>
      </c>
      <c r="B315" s="5" t="str">
        <f>IFERROR(__xludf.DUMMYFUNCTION("""COMPUTED_VALUE"""),"TURKEY")</f>
        <v>TURKEY</v>
      </c>
      <c r="C315" s="5" t="str">
        <f>IFERROR(__xludf.DUMMYFUNCTION("""COMPUTED_VALUE"""),"NORMAL")</f>
        <v>NORMAL</v>
      </c>
      <c r="D315" s="5" t="str">
        <f>IFERROR(__xludf.DUMMYFUNCTION("""COMPUTED_VALUE"""),"ABDULKERIM BARDAKCI")</f>
        <v>ABDULKERIM BARDAKCI</v>
      </c>
      <c r="E315" s="5">
        <f>IFERROR(__xludf.DUMMYFUNCTION("""COMPUTED_VALUE"""),0.0)</f>
        <v>0</v>
      </c>
      <c r="F315" s="5">
        <f>IFERROR(__xludf.DUMMYFUNCTION("""COMPUTED_VALUE"""),0.0)</f>
        <v>0</v>
      </c>
    </row>
    <row r="316">
      <c r="A316" s="5" t="str">
        <f>IFERROR(__xludf.DUMMYFUNCTION("""COMPUTED_VALUE"""),"TUR06")</f>
        <v>TUR06</v>
      </c>
      <c r="B316" s="5" t="str">
        <f>IFERROR(__xludf.DUMMYFUNCTION("""COMPUTED_VALUE"""),"TURKEY")</f>
        <v>TURKEY</v>
      </c>
      <c r="C316" s="5" t="str">
        <f>IFERROR(__xludf.DUMMYFUNCTION("""COMPUTED_VALUE"""),"NORMAL")</f>
        <v>NORMAL</v>
      </c>
      <c r="D316" s="5" t="str">
        <f>IFERROR(__xludf.DUMMYFUNCTION("""COMPUTED_VALUE"""),"CAGLAR SOYUNCU")</f>
        <v>CAGLAR SOYUNCU</v>
      </c>
      <c r="E316" s="5">
        <f>IFERROR(__xludf.DUMMYFUNCTION("""COMPUTED_VALUE"""),0.0)</f>
        <v>0</v>
      </c>
      <c r="F316" s="5">
        <f>IFERROR(__xludf.DUMMYFUNCTION("""COMPUTED_VALUE"""),0.0)</f>
        <v>0</v>
      </c>
    </row>
    <row r="317">
      <c r="A317" s="5" t="str">
        <f>IFERROR(__xludf.DUMMYFUNCTION("""COMPUTED_VALUE"""),"TUR07")</f>
        <v>TUR07</v>
      </c>
      <c r="B317" s="5" t="str">
        <f>IFERROR(__xludf.DUMMYFUNCTION("""COMPUTED_VALUE"""),"TURKEY")</f>
        <v>TURKEY</v>
      </c>
      <c r="C317" s="5" t="str">
        <f>IFERROR(__xludf.DUMMYFUNCTION("""COMPUTED_VALUE"""),"NORMAL")</f>
        <v>NORMAL</v>
      </c>
      <c r="D317" s="5" t="str">
        <f>IFERROR(__xludf.DUMMYFUNCTION("""COMPUTED_VALUE"""),"MERIH DEMIRAL")</f>
        <v>MERIH DEMIRAL</v>
      </c>
      <c r="E317" s="5">
        <f>IFERROR(__xludf.DUMMYFUNCTION("""COMPUTED_VALUE"""),0.0)</f>
        <v>0</v>
      </c>
      <c r="F317" s="5">
        <f>IFERROR(__xludf.DUMMYFUNCTION("""COMPUTED_VALUE"""),0.0)</f>
        <v>0</v>
      </c>
    </row>
    <row r="318">
      <c r="A318" s="5" t="str">
        <f>IFERROR(__xludf.DUMMYFUNCTION("""COMPUTED_VALUE"""),"TUR08")</f>
        <v>TUR08</v>
      </c>
      <c r="B318" s="5" t="str">
        <f>IFERROR(__xludf.DUMMYFUNCTION("""COMPUTED_VALUE"""),"TURKEY")</f>
        <v>TURKEY</v>
      </c>
      <c r="C318" s="5" t="str">
        <f>IFERROR(__xludf.DUMMYFUNCTION("""COMPUTED_VALUE"""),"NORMAL")</f>
        <v>NORMAL</v>
      </c>
      <c r="D318" s="5" t="str">
        <f>IFERROR(__xludf.DUMMYFUNCTION("""COMPUTED_VALUE"""),"FERDI KADIOGLU")</f>
        <v>FERDI KADIOGLU</v>
      </c>
      <c r="E318" s="5">
        <f>IFERROR(__xludf.DUMMYFUNCTION("""COMPUTED_VALUE"""),0.0)</f>
        <v>0</v>
      </c>
      <c r="F318" s="5">
        <f>IFERROR(__xludf.DUMMYFUNCTION("""COMPUTED_VALUE"""),0.0)</f>
        <v>0</v>
      </c>
    </row>
    <row r="319">
      <c r="A319" s="5" t="str">
        <f>IFERROR(__xludf.DUMMYFUNCTION("""COMPUTED_VALUE"""),"TUR09")</f>
        <v>TUR09</v>
      </c>
      <c r="B319" s="5" t="str">
        <f>IFERROR(__xludf.DUMMYFUNCTION("""COMPUTED_VALUE"""),"TURKEY")</f>
        <v>TURKEY</v>
      </c>
      <c r="C319" s="5" t="str">
        <f>IFERROR(__xludf.DUMMYFUNCTION("""COMPUTED_VALUE"""),"NORMAL")</f>
        <v>NORMAL</v>
      </c>
      <c r="D319" s="5" t="str">
        <f>IFERROR(__xludf.DUMMYFUNCTION("""COMPUTED_VALUE"""),"KAAN AYHAN")</f>
        <v>KAAN AYHAN</v>
      </c>
      <c r="E319" s="5">
        <f>IFERROR(__xludf.DUMMYFUNCTION("""COMPUTED_VALUE"""),0.0)</f>
        <v>0</v>
      </c>
      <c r="F319" s="5">
        <f>IFERROR(__xludf.DUMMYFUNCTION("""COMPUTED_VALUE"""),0.0)</f>
        <v>0</v>
      </c>
    </row>
    <row r="320">
      <c r="A320" s="5" t="str">
        <f>IFERROR(__xludf.DUMMYFUNCTION("""COMPUTED_VALUE"""),"TUR10")</f>
        <v>TUR10</v>
      </c>
      <c r="B320" s="5" t="str">
        <f>IFERROR(__xludf.DUMMYFUNCTION("""COMPUTED_VALUE"""),"TURKEY")</f>
        <v>TURKEY</v>
      </c>
      <c r="C320" s="5" t="str">
        <f>IFERROR(__xludf.DUMMYFUNCTION("""COMPUTED_VALUE"""),"NORMAL")</f>
        <v>NORMAL</v>
      </c>
      <c r="D320" s="5" t="str">
        <f>IFERROR(__xludf.DUMMYFUNCTION("""COMPUTED_VALUE"""),"ISMAIL YUKSEK")</f>
        <v>ISMAIL YUKSEK</v>
      </c>
      <c r="E320" s="5">
        <f>IFERROR(__xludf.DUMMYFUNCTION("""COMPUTED_VALUE"""),0.0)</f>
        <v>0</v>
      </c>
      <c r="F320" s="5">
        <f>IFERROR(__xludf.DUMMYFUNCTION("""COMPUTED_VALUE"""),0.0)</f>
        <v>0</v>
      </c>
    </row>
    <row r="321">
      <c r="A321" s="5" t="str">
        <f>IFERROR(__xludf.DUMMYFUNCTION("""COMPUTED_VALUE"""),"TUR11")</f>
        <v>TUR11</v>
      </c>
      <c r="B321" s="5" t="str">
        <f>IFERROR(__xludf.DUMMYFUNCTION("""COMPUTED_VALUE"""),"TURKEY")</f>
        <v>TURKEY</v>
      </c>
      <c r="C321" s="5" t="str">
        <f>IFERROR(__xludf.DUMMYFUNCTION("""COMPUTED_VALUE"""),"NORMAL")</f>
        <v>NORMAL</v>
      </c>
      <c r="D321" s="5" t="str">
        <f>IFERROR(__xludf.DUMMYFUNCTION("""COMPUTED_VALUE"""),"HAKAN CALHANOGLU")</f>
        <v>HAKAN CALHANOGLU</v>
      </c>
      <c r="E321" s="5">
        <f>IFERROR(__xludf.DUMMYFUNCTION("""COMPUTED_VALUE"""),0.0)</f>
        <v>0</v>
      </c>
      <c r="F321" s="5">
        <f>IFERROR(__xludf.DUMMYFUNCTION("""COMPUTED_VALUE"""),0.0)</f>
        <v>0</v>
      </c>
    </row>
    <row r="322">
      <c r="A322" s="5" t="str">
        <f>IFERROR(__xludf.DUMMYFUNCTION("""COMPUTED_VALUE"""),"TUR12")</f>
        <v>TUR12</v>
      </c>
      <c r="B322" s="5" t="str">
        <f>IFERROR(__xludf.DUMMYFUNCTION("""COMPUTED_VALUE"""),"TURKEY")</f>
        <v>TURKEY</v>
      </c>
      <c r="C322" s="5" t="str">
        <f>IFERROR(__xludf.DUMMYFUNCTION("""COMPUTED_VALUE"""),"NORMAL")</f>
        <v>NORMAL</v>
      </c>
      <c r="D322" s="5" t="str">
        <f>IFERROR(__xludf.DUMMYFUNCTION("""COMPUTED_VALUE"""),"ORKUN KOKCU")</f>
        <v>ORKUN KOKCU</v>
      </c>
      <c r="E322" s="5">
        <f>IFERROR(__xludf.DUMMYFUNCTION("""COMPUTED_VALUE"""),0.0)</f>
        <v>0</v>
      </c>
      <c r="F322" s="5">
        <f>IFERROR(__xludf.DUMMYFUNCTION("""COMPUTED_VALUE"""),0.0)</f>
        <v>0</v>
      </c>
    </row>
    <row r="323">
      <c r="A323" s="5" t="str">
        <f>IFERROR(__xludf.DUMMYFUNCTION("""COMPUTED_VALUE"""),"TUR13")</f>
        <v>TUR13</v>
      </c>
      <c r="B323" s="5" t="str">
        <f>IFERROR(__xludf.DUMMYFUNCTION("""COMPUTED_VALUE"""),"TURKEY")</f>
        <v>TURKEY</v>
      </c>
      <c r="C323" s="5" t="str">
        <f>IFERROR(__xludf.DUMMYFUNCTION("""COMPUTED_VALUE"""),"TEAM")</f>
        <v>TEAM</v>
      </c>
      <c r="D323" s="5" t="str">
        <f>IFERROR(__xludf.DUMMYFUNCTION("""COMPUTED_VALUE"""),"TURKEY NATIONAL TEAM")</f>
        <v>TURKEY NATIONAL TEAM</v>
      </c>
      <c r="E323" s="5">
        <f>IFERROR(__xludf.DUMMYFUNCTION("""COMPUTED_VALUE"""),0.0)</f>
        <v>0</v>
      </c>
      <c r="F323" s="5">
        <f>IFERROR(__xludf.DUMMYFUNCTION("""COMPUTED_VALUE"""),0.0)</f>
        <v>0</v>
      </c>
    </row>
    <row r="324">
      <c r="A324" s="5" t="str">
        <f>IFERROR(__xludf.DUMMYFUNCTION("""COMPUTED_VALUE"""),"TUR14")</f>
        <v>TUR14</v>
      </c>
      <c r="B324" s="5" t="str">
        <f>IFERROR(__xludf.DUMMYFUNCTION("""COMPUTED_VALUE"""),"TURKEY")</f>
        <v>TURKEY</v>
      </c>
      <c r="C324" s="5" t="str">
        <f>IFERROR(__xludf.DUMMYFUNCTION("""COMPUTED_VALUE"""),"NORMAL")</f>
        <v>NORMAL</v>
      </c>
      <c r="D324" s="5" t="str">
        <f>IFERROR(__xludf.DUMMYFUNCTION("""COMPUTED_VALUE"""),"ARDA GULER")</f>
        <v>ARDA GULER</v>
      </c>
      <c r="E324" s="5">
        <f>IFERROR(__xludf.DUMMYFUNCTION("""COMPUTED_VALUE"""),0.0)</f>
        <v>0</v>
      </c>
      <c r="F324" s="5">
        <f>IFERROR(__xludf.DUMMYFUNCTION("""COMPUTED_VALUE"""),0.0)</f>
        <v>0</v>
      </c>
    </row>
    <row r="325">
      <c r="A325" s="5" t="str">
        <f>IFERROR(__xludf.DUMMYFUNCTION("""COMPUTED_VALUE"""),"TUR15")</f>
        <v>TUR15</v>
      </c>
      <c r="B325" s="5" t="str">
        <f>IFERROR(__xludf.DUMMYFUNCTION("""COMPUTED_VALUE"""),"TURKEY")</f>
        <v>TURKEY</v>
      </c>
      <c r="C325" s="5" t="str">
        <f>IFERROR(__xludf.DUMMYFUNCTION("""COMPUTED_VALUE"""),"NORMAL")</f>
        <v>NORMAL</v>
      </c>
      <c r="D325" s="5" t="str">
        <f>IFERROR(__xludf.DUMMYFUNCTION("""COMPUTED_VALUE"""),"IRFAN CAN KAHVECI")</f>
        <v>IRFAN CAN KAHVECI</v>
      </c>
      <c r="E325" s="5">
        <f>IFERROR(__xludf.DUMMYFUNCTION("""COMPUTED_VALUE"""),0.0)</f>
        <v>0</v>
      </c>
      <c r="F325" s="5">
        <f>IFERROR(__xludf.DUMMYFUNCTION("""COMPUTED_VALUE"""),0.0)</f>
        <v>0</v>
      </c>
    </row>
    <row r="326">
      <c r="A326" s="5" t="str">
        <f>IFERROR(__xludf.DUMMYFUNCTION("""COMPUTED_VALUE"""),"TUR16")</f>
        <v>TUR16</v>
      </c>
      <c r="B326" s="5" t="str">
        <f>IFERROR(__xludf.DUMMYFUNCTION("""COMPUTED_VALUE"""),"TURKEY")</f>
        <v>TURKEY</v>
      </c>
      <c r="C326" s="5" t="str">
        <f>IFERROR(__xludf.DUMMYFUNCTION("""COMPUTED_VALUE"""),"NORMAL")</f>
        <v>NORMAL</v>
      </c>
      <c r="D326" s="5" t="str">
        <f>IFERROR(__xludf.DUMMYFUNCTION("""COMPUTED_VALUE"""),"YUNUS AKGUN")</f>
        <v>YUNUS AKGUN</v>
      </c>
      <c r="E326" s="5">
        <f>IFERROR(__xludf.DUMMYFUNCTION("""COMPUTED_VALUE"""),0.0)</f>
        <v>0</v>
      </c>
      <c r="F326" s="5">
        <f>IFERROR(__xludf.DUMMYFUNCTION("""COMPUTED_VALUE"""),0.0)</f>
        <v>0</v>
      </c>
    </row>
    <row r="327">
      <c r="A327" s="5" t="str">
        <f>IFERROR(__xludf.DUMMYFUNCTION("""COMPUTED_VALUE"""),"TUR17")</f>
        <v>TUR17</v>
      </c>
      <c r="B327" s="5" t="str">
        <f>IFERROR(__xludf.DUMMYFUNCTION("""COMPUTED_VALUE"""),"TURKEY")</f>
        <v>TURKEY</v>
      </c>
      <c r="C327" s="5" t="str">
        <f>IFERROR(__xludf.DUMMYFUNCTION("""COMPUTED_VALUE"""),"NORMAL")</f>
        <v>NORMAL</v>
      </c>
      <c r="D327" s="5" t="str">
        <f>IFERROR(__xludf.DUMMYFUNCTION("""COMPUTED_VALUE"""),"CAN UZUN")</f>
        <v>CAN UZUN</v>
      </c>
      <c r="E327" s="5">
        <f>IFERROR(__xludf.DUMMYFUNCTION("""COMPUTED_VALUE"""),0.0)</f>
        <v>0</v>
      </c>
      <c r="F327" s="5">
        <f>IFERROR(__xludf.DUMMYFUNCTION("""COMPUTED_VALUE"""),0.0)</f>
        <v>0</v>
      </c>
    </row>
    <row r="328">
      <c r="A328" s="5" t="str">
        <f>IFERROR(__xludf.DUMMYFUNCTION("""COMPUTED_VALUE"""),"TUR18")</f>
        <v>TUR18</v>
      </c>
      <c r="B328" s="5" t="str">
        <f>IFERROR(__xludf.DUMMYFUNCTION("""COMPUTED_VALUE"""),"TURKEY")</f>
        <v>TURKEY</v>
      </c>
      <c r="C328" s="5" t="str">
        <f>IFERROR(__xludf.DUMMYFUNCTION("""COMPUTED_VALUE"""),"NORMAL")</f>
        <v>NORMAL</v>
      </c>
      <c r="D328" s="5" t="str">
        <f>IFERROR(__xludf.DUMMYFUNCTION("""COMPUTED_VALUE"""),"BARIS ALPER YILMAZ")</f>
        <v>BARIS ALPER YILMAZ</v>
      </c>
      <c r="E328" s="5">
        <f>IFERROR(__xludf.DUMMYFUNCTION("""COMPUTED_VALUE"""),0.0)</f>
        <v>0</v>
      </c>
      <c r="F328" s="5">
        <f>IFERROR(__xludf.DUMMYFUNCTION("""COMPUTED_VALUE"""),0.0)</f>
        <v>0</v>
      </c>
    </row>
    <row r="329">
      <c r="A329" s="5" t="str">
        <f>IFERROR(__xludf.DUMMYFUNCTION("""COMPUTED_VALUE"""),"TUR19")</f>
        <v>TUR19</v>
      </c>
      <c r="B329" s="5" t="str">
        <f>IFERROR(__xludf.DUMMYFUNCTION("""COMPUTED_VALUE"""),"TURKEY")</f>
        <v>TURKEY</v>
      </c>
      <c r="C329" s="5" t="str">
        <f>IFERROR(__xludf.DUMMYFUNCTION("""COMPUTED_VALUE"""),"NORMAL")</f>
        <v>NORMAL</v>
      </c>
      <c r="D329" s="5" t="str">
        <f>IFERROR(__xludf.DUMMYFUNCTION("""COMPUTED_VALUE"""),"KEREM AKTURKOGLU")</f>
        <v>KEREM AKTURKOGLU</v>
      </c>
      <c r="E329" s="5">
        <f>IFERROR(__xludf.DUMMYFUNCTION("""COMPUTED_VALUE"""),0.0)</f>
        <v>0</v>
      </c>
      <c r="F329" s="5">
        <f>IFERROR(__xludf.DUMMYFUNCTION("""COMPUTED_VALUE"""),0.0)</f>
        <v>0</v>
      </c>
    </row>
    <row r="330">
      <c r="A330" s="5" t="str">
        <f>IFERROR(__xludf.DUMMYFUNCTION("""COMPUTED_VALUE"""),"TUR20")</f>
        <v>TUR20</v>
      </c>
      <c r="B330" s="5" t="str">
        <f>IFERROR(__xludf.DUMMYFUNCTION("""COMPUTED_VALUE"""),"TURKEY")</f>
        <v>TURKEY</v>
      </c>
      <c r="C330" s="5" t="str">
        <f>IFERROR(__xludf.DUMMYFUNCTION("""COMPUTED_VALUE"""),"NORMAL")</f>
        <v>NORMAL</v>
      </c>
      <c r="D330" s="5" t="str">
        <f>IFERROR(__xludf.DUMMYFUNCTION("""COMPUTED_VALUE"""),"KENAN YILDIZ")</f>
        <v>KENAN YILDIZ</v>
      </c>
      <c r="E330" s="5">
        <f>IFERROR(__xludf.DUMMYFUNCTION("""COMPUTED_VALUE"""),0.0)</f>
        <v>0</v>
      </c>
      <c r="F330" s="5">
        <f>IFERROR(__xludf.DUMMYFUNCTION("""COMPUTED_VALUE"""),0.0)</f>
        <v>0</v>
      </c>
    </row>
    <row r="331">
      <c r="A331" s="5" t="str">
        <f>IFERROR(__xludf.DUMMYFUNCTION("""COMPUTED_VALUE"""),"GER01")</f>
        <v>GER01</v>
      </c>
      <c r="B331" s="5" t="str">
        <f>IFERROR(__xludf.DUMMYFUNCTION("""COMPUTED_VALUE"""),"GERMANY")</f>
        <v>GERMANY</v>
      </c>
      <c r="C331" s="5" t="str">
        <f>IFERROR(__xludf.DUMMYFUNCTION("""COMPUTED_VALUE"""),"BADGE")</f>
        <v>BADGE</v>
      </c>
      <c r="D331" s="5" t="str">
        <f>IFERROR(__xludf.DUMMYFUNCTION("""COMPUTED_VALUE"""),"GERMANY NATIONAL TEAM")</f>
        <v>GERMANY NATIONAL TEAM</v>
      </c>
      <c r="E331" s="5">
        <f>IFERROR(__xludf.DUMMYFUNCTION("""COMPUTED_VALUE"""),0.0)</f>
        <v>0</v>
      </c>
      <c r="F331" s="5">
        <f>IFERROR(__xludf.DUMMYFUNCTION("""COMPUTED_VALUE"""),0.0)</f>
        <v>0</v>
      </c>
    </row>
    <row r="332">
      <c r="A332" s="5" t="str">
        <f>IFERROR(__xludf.DUMMYFUNCTION("""COMPUTED_VALUE"""),"GER02")</f>
        <v>GER02</v>
      </c>
      <c r="B332" s="5" t="str">
        <f>IFERROR(__xludf.DUMMYFUNCTION("""COMPUTED_VALUE"""),"GERMANY")</f>
        <v>GERMANY</v>
      </c>
      <c r="C332" s="5" t="str">
        <f>IFERROR(__xludf.DUMMYFUNCTION("""COMPUTED_VALUE"""),"NORMAL")</f>
        <v>NORMAL</v>
      </c>
      <c r="D332" s="5" t="str">
        <f>IFERROR(__xludf.DUMMYFUNCTION("""COMPUTED_VALUE"""),"MARC-ANDRE TER STEGEN")</f>
        <v>MARC-ANDRE TER STEGEN</v>
      </c>
      <c r="E332" s="5">
        <f>IFERROR(__xludf.DUMMYFUNCTION("""COMPUTED_VALUE"""),0.0)</f>
        <v>0</v>
      </c>
      <c r="F332" s="5">
        <f>IFERROR(__xludf.DUMMYFUNCTION("""COMPUTED_VALUE"""),0.0)</f>
        <v>0</v>
      </c>
    </row>
    <row r="333">
      <c r="A333" s="5" t="str">
        <f>IFERROR(__xludf.DUMMYFUNCTION("""COMPUTED_VALUE"""),"GER03")</f>
        <v>GER03</v>
      </c>
      <c r="B333" s="5" t="str">
        <f>IFERROR(__xludf.DUMMYFUNCTION("""COMPUTED_VALUE"""),"GERMANY")</f>
        <v>GERMANY</v>
      </c>
      <c r="C333" s="5" t="str">
        <f>IFERROR(__xludf.DUMMYFUNCTION("""COMPUTED_VALUE"""),"NORMAL")</f>
        <v>NORMAL</v>
      </c>
      <c r="D333" s="5" t="str">
        <f>IFERROR(__xludf.DUMMYFUNCTION("""COMPUTED_VALUE"""),"JONATHAN TAH")</f>
        <v>JONATHAN TAH</v>
      </c>
      <c r="E333" s="5">
        <f>IFERROR(__xludf.DUMMYFUNCTION("""COMPUTED_VALUE"""),0.0)</f>
        <v>0</v>
      </c>
      <c r="F333" s="5">
        <f>IFERROR(__xludf.DUMMYFUNCTION("""COMPUTED_VALUE"""),0.0)</f>
        <v>0</v>
      </c>
    </row>
    <row r="334">
      <c r="A334" s="5" t="str">
        <f>IFERROR(__xludf.DUMMYFUNCTION("""COMPUTED_VALUE"""),"GER04")</f>
        <v>GER04</v>
      </c>
      <c r="B334" s="5" t="str">
        <f>IFERROR(__xludf.DUMMYFUNCTION("""COMPUTED_VALUE"""),"GERMANY")</f>
        <v>GERMANY</v>
      </c>
      <c r="C334" s="5" t="str">
        <f>IFERROR(__xludf.DUMMYFUNCTION("""COMPUTED_VALUE"""),"NORMAL")</f>
        <v>NORMAL</v>
      </c>
      <c r="D334" s="5" t="str">
        <f>IFERROR(__xludf.DUMMYFUNCTION("""COMPUTED_VALUE"""),"DAIVD RAUM")</f>
        <v>DAIVD RAUM</v>
      </c>
      <c r="E334" s="5">
        <f>IFERROR(__xludf.DUMMYFUNCTION("""COMPUTED_VALUE"""),0.0)</f>
        <v>0</v>
      </c>
      <c r="F334" s="5">
        <f>IFERROR(__xludf.DUMMYFUNCTION("""COMPUTED_VALUE"""),0.0)</f>
        <v>0</v>
      </c>
    </row>
    <row r="335">
      <c r="A335" s="5" t="str">
        <f>IFERROR(__xludf.DUMMYFUNCTION("""COMPUTED_VALUE"""),"GER05")</f>
        <v>GER05</v>
      </c>
      <c r="B335" s="5" t="str">
        <f>IFERROR(__xludf.DUMMYFUNCTION("""COMPUTED_VALUE"""),"GERMANY")</f>
        <v>GERMANY</v>
      </c>
      <c r="C335" s="5" t="str">
        <f>IFERROR(__xludf.DUMMYFUNCTION("""COMPUTED_VALUE"""),"NORMAL")</f>
        <v>NORMAL</v>
      </c>
      <c r="D335" s="5" t="str">
        <f>IFERROR(__xludf.DUMMYFUNCTION("""COMPUTED_VALUE"""),"NICO SCHLOTTERBECK")</f>
        <v>NICO SCHLOTTERBECK</v>
      </c>
      <c r="E335" s="5">
        <f>IFERROR(__xludf.DUMMYFUNCTION("""COMPUTED_VALUE"""),0.0)</f>
        <v>0</v>
      </c>
      <c r="F335" s="5">
        <f>IFERROR(__xludf.DUMMYFUNCTION("""COMPUTED_VALUE"""),0.0)</f>
        <v>0</v>
      </c>
    </row>
    <row r="336">
      <c r="A336" s="5" t="str">
        <f>IFERROR(__xludf.DUMMYFUNCTION("""COMPUTED_VALUE"""),"GER06")</f>
        <v>GER06</v>
      </c>
      <c r="B336" s="5" t="str">
        <f>IFERROR(__xludf.DUMMYFUNCTION("""COMPUTED_VALUE"""),"GERMANY")</f>
        <v>GERMANY</v>
      </c>
      <c r="C336" s="5" t="str">
        <f>IFERROR(__xludf.DUMMYFUNCTION("""COMPUTED_VALUE"""),"NORMAL")</f>
        <v>NORMAL</v>
      </c>
      <c r="D336" s="5" t="str">
        <f>IFERROR(__xludf.DUMMYFUNCTION("""COMPUTED_VALUE"""),"ANTONIO RUDIGER")</f>
        <v>ANTONIO RUDIGER</v>
      </c>
      <c r="E336" s="5">
        <f>IFERROR(__xludf.DUMMYFUNCTION("""COMPUTED_VALUE"""),0.0)</f>
        <v>0</v>
      </c>
      <c r="F336" s="5">
        <f>IFERROR(__xludf.DUMMYFUNCTION("""COMPUTED_VALUE"""),0.0)</f>
        <v>0</v>
      </c>
    </row>
    <row r="337">
      <c r="A337" s="5" t="str">
        <f>IFERROR(__xludf.DUMMYFUNCTION("""COMPUTED_VALUE"""),"GER07")</f>
        <v>GER07</v>
      </c>
      <c r="B337" s="5" t="str">
        <f>IFERROR(__xludf.DUMMYFUNCTION("""COMPUTED_VALUE"""),"GERMANY")</f>
        <v>GERMANY</v>
      </c>
      <c r="C337" s="5" t="str">
        <f>IFERROR(__xludf.DUMMYFUNCTION("""COMPUTED_VALUE"""),"NORMAL")</f>
        <v>NORMAL</v>
      </c>
      <c r="D337" s="5" t="str">
        <f>IFERROR(__xludf.DUMMYFUNCTION("""COMPUTED_VALUE"""),"WALDEMAR ANTON")</f>
        <v>WALDEMAR ANTON</v>
      </c>
      <c r="E337" s="5">
        <f>IFERROR(__xludf.DUMMYFUNCTION("""COMPUTED_VALUE"""),0.0)</f>
        <v>0</v>
      </c>
      <c r="F337" s="5">
        <f>IFERROR(__xludf.DUMMYFUNCTION("""COMPUTED_VALUE"""),0.0)</f>
        <v>0</v>
      </c>
    </row>
    <row r="338">
      <c r="A338" s="5" t="str">
        <f>IFERROR(__xludf.DUMMYFUNCTION("""COMPUTED_VALUE"""),"GER08")</f>
        <v>GER08</v>
      </c>
      <c r="B338" s="5" t="str">
        <f>IFERROR(__xludf.DUMMYFUNCTION("""COMPUTED_VALUE"""),"GERMANY")</f>
        <v>GERMANY</v>
      </c>
      <c r="C338" s="5" t="str">
        <f>IFERROR(__xludf.DUMMYFUNCTION("""COMPUTED_VALUE"""),"NORMAL")</f>
        <v>NORMAL</v>
      </c>
      <c r="D338" s="5" t="str">
        <f>IFERROR(__xludf.DUMMYFUNCTION("""COMPUTED_VALUE"""),"RIDLE BAKU")</f>
        <v>RIDLE BAKU</v>
      </c>
      <c r="E338" s="5">
        <f>IFERROR(__xludf.DUMMYFUNCTION("""COMPUTED_VALUE"""),0.0)</f>
        <v>0</v>
      </c>
      <c r="F338" s="5">
        <f>IFERROR(__xludf.DUMMYFUNCTION("""COMPUTED_VALUE"""),0.0)</f>
        <v>0</v>
      </c>
    </row>
    <row r="339">
      <c r="A339" s="5" t="str">
        <f>IFERROR(__xludf.DUMMYFUNCTION("""COMPUTED_VALUE"""),"GER09")</f>
        <v>GER09</v>
      </c>
      <c r="B339" s="5" t="str">
        <f>IFERROR(__xludf.DUMMYFUNCTION("""COMPUTED_VALUE"""),"GERMANY")</f>
        <v>GERMANY</v>
      </c>
      <c r="C339" s="5" t="str">
        <f>IFERROR(__xludf.DUMMYFUNCTION("""COMPUTED_VALUE"""),"NORMAL")</f>
        <v>NORMAL</v>
      </c>
      <c r="D339" s="5" t="str">
        <f>IFERROR(__xludf.DUMMYFUNCTION("""COMPUTED_VALUE"""),"MAXIMILIAN MITTELSTADT")</f>
        <v>MAXIMILIAN MITTELSTADT</v>
      </c>
      <c r="E339" s="5">
        <f>IFERROR(__xludf.DUMMYFUNCTION("""COMPUTED_VALUE"""),0.0)</f>
        <v>0</v>
      </c>
      <c r="F339" s="5">
        <f>IFERROR(__xludf.DUMMYFUNCTION("""COMPUTED_VALUE"""),0.0)</f>
        <v>0</v>
      </c>
    </row>
    <row r="340">
      <c r="A340" s="5" t="str">
        <f>IFERROR(__xludf.DUMMYFUNCTION("""COMPUTED_VALUE"""),"GER10")</f>
        <v>GER10</v>
      </c>
      <c r="B340" s="5" t="str">
        <f>IFERROR(__xludf.DUMMYFUNCTION("""COMPUTED_VALUE"""),"GERMANY")</f>
        <v>GERMANY</v>
      </c>
      <c r="C340" s="5" t="str">
        <f>IFERROR(__xludf.DUMMYFUNCTION("""COMPUTED_VALUE"""),"NORMAL")</f>
        <v>NORMAL</v>
      </c>
      <c r="D340" s="5" t="str">
        <f>IFERROR(__xludf.DUMMYFUNCTION("""COMPUTED_VALUE"""),"JOSHUA KIMMICH")</f>
        <v>JOSHUA KIMMICH</v>
      </c>
      <c r="E340" s="5">
        <f>IFERROR(__xludf.DUMMYFUNCTION("""COMPUTED_VALUE"""),0.0)</f>
        <v>0</v>
      </c>
      <c r="F340" s="5">
        <f>IFERROR(__xludf.DUMMYFUNCTION("""COMPUTED_VALUE"""),0.0)</f>
        <v>0</v>
      </c>
    </row>
    <row r="341">
      <c r="A341" s="5" t="str">
        <f>IFERROR(__xludf.DUMMYFUNCTION("""COMPUTED_VALUE"""),"GER11")</f>
        <v>GER11</v>
      </c>
      <c r="B341" s="5" t="str">
        <f>IFERROR(__xludf.DUMMYFUNCTION("""COMPUTED_VALUE"""),"GERMANY")</f>
        <v>GERMANY</v>
      </c>
      <c r="C341" s="5" t="str">
        <f>IFERROR(__xludf.DUMMYFUNCTION("""COMPUTED_VALUE"""),"NORMAL")</f>
        <v>NORMAL</v>
      </c>
      <c r="D341" s="5" t="str">
        <f>IFERROR(__xludf.DUMMYFUNCTION("""COMPUTED_VALUE"""),"FLORIAN WIRTZ")</f>
        <v>FLORIAN WIRTZ</v>
      </c>
      <c r="E341" s="5">
        <f>IFERROR(__xludf.DUMMYFUNCTION("""COMPUTED_VALUE"""),0.0)</f>
        <v>0</v>
      </c>
      <c r="F341" s="5">
        <f>IFERROR(__xludf.DUMMYFUNCTION("""COMPUTED_VALUE"""),0.0)</f>
        <v>0</v>
      </c>
    </row>
    <row r="342">
      <c r="A342" s="5" t="str">
        <f>IFERROR(__xludf.DUMMYFUNCTION("""COMPUTED_VALUE"""),"GER12")</f>
        <v>GER12</v>
      </c>
      <c r="B342" s="5" t="str">
        <f>IFERROR(__xludf.DUMMYFUNCTION("""COMPUTED_VALUE"""),"GERMANY")</f>
        <v>GERMANY</v>
      </c>
      <c r="C342" s="5" t="str">
        <f>IFERROR(__xludf.DUMMYFUNCTION("""COMPUTED_VALUE"""),"NORMAL")</f>
        <v>NORMAL</v>
      </c>
      <c r="D342" s="5" t="str">
        <f>IFERROR(__xludf.DUMMYFUNCTION("""COMPUTED_VALUE"""),"FELIZ NMECHA")</f>
        <v>FELIZ NMECHA</v>
      </c>
      <c r="E342" s="5">
        <f>IFERROR(__xludf.DUMMYFUNCTION("""COMPUTED_VALUE"""),0.0)</f>
        <v>0</v>
      </c>
      <c r="F342" s="5">
        <f>IFERROR(__xludf.DUMMYFUNCTION("""COMPUTED_VALUE"""),0.0)</f>
        <v>0</v>
      </c>
    </row>
    <row r="343">
      <c r="A343" s="5" t="str">
        <f>IFERROR(__xludf.DUMMYFUNCTION("""COMPUTED_VALUE"""),"GER13")</f>
        <v>GER13</v>
      </c>
      <c r="B343" s="5" t="str">
        <f>IFERROR(__xludf.DUMMYFUNCTION("""COMPUTED_VALUE"""),"GERMANY")</f>
        <v>GERMANY</v>
      </c>
      <c r="C343" s="5" t="str">
        <f>IFERROR(__xludf.DUMMYFUNCTION("""COMPUTED_VALUE"""),"TEAM")</f>
        <v>TEAM</v>
      </c>
      <c r="D343" s="5" t="str">
        <f>IFERROR(__xludf.DUMMYFUNCTION("""COMPUTED_VALUE"""),"GERMANY NATIONAL TEAM")</f>
        <v>GERMANY NATIONAL TEAM</v>
      </c>
      <c r="E343" s="5">
        <f>IFERROR(__xludf.DUMMYFUNCTION("""COMPUTED_VALUE"""),0.0)</f>
        <v>0</v>
      </c>
      <c r="F343" s="5">
        <f>IFERROR(__xludf.DUMMYFUNCTION("""COMPUTED_VALUE"""),0.0)</f>
        <v>0</v>
      </c>
    </row>
    <row r="344">
      <c r="A344" s="5" t="str">
        <f>IFERROR(__xludf.DUMMYFUNCTION("""COMPUTED_VALUE"""),"GER14")</f>
        <v>GER14</v>
      </c>
      <c r="B344" s="5" t="str">
        <f>IFERROR(__xludf.DUMMYFUNCTION("""COMPUTED_VALUE"""),"GERMANY")</f>
        <v>GERMANY</v>
      </c>
      <c r="C344" s="5" t="str">
        <f>IFERROR(__xludf.DUMMYFUNCTION("""COMPUTED_VALUE"""),"NORMAL")</f>
        <v>NORMAL</v>
      </c>
      <c r="D344" s="5" t="str">
        <f>IFERROR(__xludf.DUMMYFUNCTION("""COMPUTED_VALUE"""),"LEON GORETZKA")</f>
        <v>LEON GORETZKA</v>
      </c>
      <c r="E344" s="5">
        <f>IFERROR(__xludf.DUMMYFUNCTION("""COMPUTED_VALUE"""),0.0)</f>
        <v>0</v>
      </c>
      <c r="F344" s="5">
        <f>IFERROR(__xludf.DUMMYFUNCTION("""COMPUTED_VALUE"""),0.0)</f>
        <v>0</v>
      </c>
    </row>
    <row r="345">
      <c r="A345" s="5" t="str">
        <f>IFERROR(__xludf.DUMMYFUNCTION("""COMPUTED_VALUE"""),"GER15")</f>
        <v>GER15</v>
      </c>
      <c r="B345" s="5" t="str">
        <f>IFERROR(__xludf.DUMMYFUNCTION("""COMPUTED_VALUE"""),"GERMANY")</f>
        <v>GERMANY</v>
      </c>
      <c r="C345" s="5" t="str">
        <f>IFERROR(__xludf.DUMMYFUNCTION("""COMPUTED_VALUE"""),"NORMAL")</f>
        <v>NORMAL</v>
      </c>
      <c r="D345" s="5" t="str">
        <f>IFERROR(__xludf.DUMMYFUNCTION("""COMPUTED_VALUE"""),"JAMAL MUSIALA")</f>
        <v>JAMAL MUSIALA</v>
      </c>
      <c r="E345" s="5">
        <f>IFERROR(__xludf.DUMMYFUNCTION("""COMPUTED_VALUE"""),0.0)</f>
        <v>0</v>
      </c>
      <c r="F345" s="5">
        <f>IFERROR(__xludf.DUMMYFUNCTION("""COMPUTED_VALUE"""),0.0)</f>
        <v>0</v>
      </c>
    </row>
    <row r="346">
      <c r="A346" s="5" t="str">
        <f>IFERROR(__xludf.DUMMYFUNCTION("""COMPUTED_VALUE"""),"GER16")</f>
        <v>GER16</v>
      </c>
      <c r="B346" s="5" t="str">
        <f>IFERROR(__xludf.DUMMYFUNCTION("""COMPUTED_VALUE"""),"GERMANY")</f>
        <v>GERMANY</v>
      </c>
      <c r="C346" s="5" t="str">
        <f>IFERROR(__xludf.DUMMYFUNCTION("""COMPUTED_VALUE"""),"NORMAL")</f>
        <v>NORMAL</v>
      </c>
      <c r="D346" s="5" t="str">
        <f>IFERROR(__xludf.DUMMYFUNCTION("""COMPUTED_VALUE"""),"SERGE GNABRY")</f>
        <v>SERGE GNABRY</v>
      </c>
      <c r="E346" s="5">
        <f>IFERROR(__xludf.DUMMYFUNCTION("""COMPUTED_VALUE"""),0.0)</f>
        <v>0</v>
      </c>
      <c r="F346" s="5">
        <f>IFERROR(__xludf.DUMMYFUNCTION("""COMPUTED_VALUE"""),0.0)</f>
        <v>0</v>
      </c>
    </row>
    <row r="347">
      <c r="A347" s="5" t="str">
        <f>IFERROR(__xludf.DUMMYFUNCTION("""COMPUTED_VALUE"""),"GER17")</f>
        <v>GER17</v>
      </c>
      <c r="B347" s="5" t="str">
        <f>IFERROR(__xludf.DUMMYFUNCTION("""COMPUTED_VALUE"""),"GERMANY")</f>
        <v>GERMANY</v>
      </c>
      <c r="C347" s="5" t="str">
        <f>IFERROR(__xludf.DUMMYFUNCTION("""COMPUTED_VALUE"""),"NORMAL")</f>
        <v>NORMAL</v>
      </c>
      <c r="D347" s="5" t="str">
        <f>IFERROR(__xludf.DUMMYFUNCTION("""COMPUTED_VALUE"""),"KAI HAVERTZ")</f>
        <v>KAI HAVERTZ</v>
      </c>
      <c r="E347" s="5">
        <f>IFERROR(__xludf.DUMMYFUNCTION("""COMPUTED_VALUE"""),0.0)</f>
        <v>0</v>
      </c>
      <c r="F347" s="5">
        <f>IFERROR(__xludf.DUMMYFUNCTION("""COMPUTED_VALUE"""),0.0)</f>
        <v>0</v>
      </c>
    </row>
    <row r="348">
      <c r="A348" s="5" t="str">
        <f>IFERROR(__xludf.DUMMYFUNCTION("""COMPUTED_VALUE"""),"GER18")</f>
        <v>GER18</v>
      </c>
      <c r="B348" s="5" t="str">
        <f>IFERROR(__xludf.DUMMYFUNCTION("""COMPUTED_VALUE"""),"GERMANY")</f>
        <v>GERMANY</v>
      </c>
      <c r="C348" s="5" t="str">
        <f>IFERROR(__xludf.DUMMYFUNCTION("""COMPUTED_VALUE"""),"NORMAL")</f>
        <v>NORMAL</v>
      </c>
      <c r="D348" s="5" t="str">
        <f>IFERROR(__xludf.DUMMYFUNCTION("""COMPUTED_VALUE"""),"LEROY SANE")</f>
        <v>LEROY SANE</v>
      </c>
      <c r="E348" s="5">
        <f>IFERROR(__xludf.DUMMYFUNCTION("""COMPUTED_VALUE"""),0.0)</f>
        <v>0</v>
      </c>
      <c r="F348" s="5">
        <f>IFERROR(__xludf.DUMMYFUNCTION("""COMPUTED_VALUE"""),0.0)</f>
        <v>0</v>
      </c>
    </row>
    <row r="349">
      <c r="A349" s="5" t="str">
        <f>IFERROR(__xludf.DUMMYFUNCTION("""COMPUTED_VALUE"""),"GER19")</f>
        <v>GER19</v>
      </c>
      <c r="B349" s="5" t="str">
        <f>IFERROR(__xludf.DUMMYFUNCTION("""COMPUTED_VALUE"""),"GERMANY")</f>
        <v>GERMANY</v>
      </c>
      <c r="C349" s="5" t="str">
        <f>IFERROR(__xludf.DUMMYFUNCTION("""COMPUTED_VALUE"""),"NORMAL")</f>
        <v>NORMAL</v>
      </c>
      <c r="D349" s="5" t="str">
        <f>IFERROR(__xludf.DUMMYFUNCTION("""COMPUTED_VALUE"""),"KARIM ADEYEMI")</f>
        <v>KARIM ADEYEMI</v>
      </c>
      <c r="E349" s="5">
        <f>IFERROR(__xludf.DUMMYFUNCTION("""COMPUTED_VALUE"""),0.0)</f>
        <v>0</v>
      </c>
      <c r="F349" s="5">
        <f>IFERROR(__xludf.DUMMYFUNCTION("""COMPUTED_VALUE"""),0.0)</f>
        <v>0</v>
      </c>
    </row>
    <row r="350">
      <c r="A350" s="5" t="str">
        <f>IFERROR(__xludf.DUMMYFUNCTION("""COMPUTED_VALUE"""),"GER20")</f>
        <v>GER20</v>
      </c>
      <c r="B350" s="5" t="str">
        <f>IFERROR(__xludf.DUMMYFUNCTION("""COMPUTED_VALUE"""),"GERMANY")</f>
        <v>GERMANY</v>
      </c>
      <c r="C350" s="5" t="str">
        <f>IFERROR(__xludf.DUMMYFUNCTION("""COMPUTED_VALUE"""),"NORMAL")</f>
        <v>NORMAL</v>
      </c>
      <c r="D350" s="5" t="str">
        <f>IFERROR(__xludf.DUMMYFUNCTION("""COMPUTED_VALUE"""),"NICK WOLTEMADE")</f>
        <v>NICK WOLTEMADE</v>
      </c>
      <c r="E350" s="5">
        <f>IFERROR(__xludf.DUMMYFUNCTION("""COMPUTED_VALUE"""),0.0)</f>
        <v>0</v>
      </c>
      <c r="F350" s="5">
        <f>IFERROR(__xludf.DUMMYFUNCTION("""COMPUTED_VALUE"""),0.0)</f>
        <v>0</v>
      </c>
    </row>
    <row r="351">
      <c r="A351" s="7" t="str">
        <f>IFERROR(__xludf.DUMMYFUNCTION("""COMPUTED_VALUE"""),"CUW01")</f>
        <v>CUW01</v>
      </c>
      <c r="B351" s="5" t="str">
        <f>IFERROR(__xludf.DUMMYFUNCTION("""COMPUTED_VALUE"""),"CURAZAO")</f>
        <v>CURAZAO</v>
      </c>
      <c r="C351" s="5" t="str">
        <f>IFERROR(__xludf.DUMMYFUNCTION("""COMPUTED_VALUE"""),"BADGE")</f>
        <v>BADGE</v>
      </c>
      <c r="D351" s="5" t="str">
        <f>IFERROR(__xludf.DUMMYFUNCTION("""COMPUTED_VALUE"""),"CURAZAO NATIONAL TEAM")</f>
        <v>CURAZAO NATIONAL TEAM</v>
      </c>
      <c r="E351" s="5">
        <f>IFERROR(__xludf.DUMMYFUNCTION("""COMPUTED_VALUE"""),0.0)</f>
        <v>0</v>
      </c>
      <c r="F351" s="5">
        <f>IFERROR(__xludf.DUMMYFUNCTION("""COMPUTED_VALUE"""),0.0)</f>
        <v>0</v>
      </c>
    </row>
    <row r="352">
      <c r="A352" s="7" t="str">
        <f>IFERROR(__xludf.DUMMYFUNCTION("""COMPUTED_VALUE"""),"CUW02")</f>
        <v>CUW02</v>
      </c>
      <c r="B352" s="5" t="str">
        <f>IFERROR(__xludf.DUMMYFUNCTION("""COMPUTED_VALUE"""),"CURAZAO")</f>
        <v>CURAZAO</v>
      </c>
      <c r="C352" s="5" t="str">
        <f>IFERROR(__xludf.DUMMYFUNCTION("""COMPUTED_VALUE"""),"NORMAL")</f>
        <v>NORMAL</v>
      </c>
      <c r="D352" s="5" t="str">
        <f>IFERROR(__xludf.DUMMYFUNCTION("""COMPUTED_VALUE"""),"ELOY ROOM")</f>
        <v>ELOY ROOM</v>
      </c>
      <c r="E352" s="5">
        <f>IFERROR(__xludf.DUMMYFUNCTION("""COMPUTED_VALUE"""),0.0)</f>
        <v>0</v>
      </c>
      <c r="F352" s="5">
        <f>IFERROR(__xludf.DUMMYFUNCTION("""COMPUTED_VALUE"""),0.0)</f>
        <v>0</v>
      </c>
    </row>
    <row r="353">
      <c r="A353" s="7" t="str">
        <f>IFERROR(__xludf.DUMMYFUNCTION("""COMPUTED_VALUE"""),"CUW03")</f>
        <v>CUW03</v>
      </c>
      <c r="B353" s="5" t="str">
        <f>IFERROR(__xludf.DUMMYFUNCTION("""COMPUTED_VALUE"""),"CURAZAO")</f>
        <v>CURAZAO</v>
      </c>
      <c r="C353" s="5" t="str">
        <f>IFERROR(__xludf.DUMMYFUNCTION("""COMPUTED_VALUE"""),"NORMAL")</f>
        <v>NORMAL</v>
      </c>
      <c r="D353" s="5" t="str">
        <f>IFERROR(__xludf.DUMMYFUNCTION("""COMPUTED_VALUE"""),"ARMANDO OBISPO")</f>
        <v>ARMANDO OBISPO</v>
      </c>
      <c r="E353" s="5">
        <f>IFERROR(__xludf.DUMMYFUNCTION("""COMPUTED_VALUE"""),0.0)</f>
        <v>0</v>
      </c>
      <c r="F353" s="5">
        <f>IFERROR(__xludf.DUMMYFUNCTION("""COMPUTED_VALUE"""),0.0)</f>
        <v>0</v>
      </c>
    </row>
    <row r="354">
      <c r="A354" s="7" t="str">
        <f>IFERROR(__xludf.DUMMYFUNCTION("""COMPUTED_VALUE"""),"CUW04")</f>
        <v>CUW04</v>
      </c>
      <c r="B354" s="5" t="str">
        <f>IFERROR(__xludf.DUMMYFUNCTION("""COMPUTED_VALUE"""),"CURAZAO")</f>
        <v>CURAZAO</v>
      </c>
      <c r="C354" s="5" t="str">
        <f>IFERROR(__xludf.DUMMYFUNCTION("""COMPUTED_VALUE"""),"NORMAL")</f>
        <v>NORMAL</v>
      </c>
      <c r="D354" s="5" t="str">
        <f>IFERROR(__xludf.DUMMYFUNCTION("""COMPUTED_VALUE"""),"SHEREL FLORANUS")</f>
        <v>SHEREL FLORANUS</v>
      </c>
      <c r="E354" s="5">
        <f>IFERROR(__xludf.DUMMYFUNCTION("""COMPUTED_VALUE"""),0.0)</f>
        <v>0</v>
      </c>
      <c r="F354" s="5">
        <f>IFERROR(__xludf.DUMMYFUNCTION("""COMPUTED_VALUE"""),0.0)</f>
        <v>0</v>
      </c>
    </row>
    <row r="355">
      <c r="A355" s="7" t="str">
        <f>IFERROR(__xludf.DUMMYFUNCTION("""COMPUTED_VALUE"""),"CUW05")</f>
        <v>CUW05</v>
      </c>
      <c r="B355" s="5" t="str">
        <f>IFERROR(__xludf.DUMMYFUNCTION("""COMPUTED_VALUE"""),"CURAZAO")</f>
        <v>CURAZAO</v>
      </c>
      <c r="C355" s="5" t="str">
        <f>IFERROR(__xludf.DUMMYFUNCTION("""COMPUTED_VALUE"""),"NORMAL")</f>
        <v>NORMAL</v>
      </c>
      <c r="D355" s="5" t="str">
        <f>IFERROR(__xludf.DUMMYFUNCTION("""COMPUTED_VALUE"""),"JURIEN GAARI")</f>
        <v>JURIEN GAARI</v>
      </c>
      <c r="E355" s="5">
        <f>IFERROR(__xludf.DUMMYFUNCTION("""COMPUTED_VALUE"""),0.0)</f>
        <v>0</v>
      </c>
      <c r="F355" s="5">
        <f>IFERROR(__xludf.DUMMYFUNCTION("""COMPUTED_VALUE"""),0.0)</f>
        <v>0</v>
      </c>
    </row>
    <row r="356">
      <c r="A356" s="7" t="str">
        <f>IFERROR(__xludf.DUMMYFUNCTION("""COMPUTED_VALUE"""),"CUW06")</f>
        <v>CUW06</v>
      </c>
      <c r="B356" s="5" t="str">
        <f>IFERROR(__xludf.DUMMYFUNCTION("""COMPUTED_VALUE"""),"CURAZAO")</f>
        <v>CURAZAO</v>
      </c>
      <c r="C356" s="5" t="str">
        <f>IFERROR(__xludf.DUMMYFUNCTION("""COMPUTED_VALUE"""),"NORMAL")</f>
        <v>NORMAL</v>
      </c>
      <c r="D356" s="5" t="str">
        <f>IFERROR(__xludf.DUMMYFUNCTION("""COMPUTED_VALUE"""),"JOSHUA BRENET")</f>
        <v>JOSHUA BRENET</v>
      </c>
      <c r="E356" s="5">
        <f>IFERROR(__xludf.DUMMYFUNCTION("""COMPUTED_VALUE"""),0.0)</f>
        <v>0</v>
      </c>
      <c r="F356" s="5">
        <f>IFERROR(__xludf.DUMMYFUNCTION("""COMPUTED_VALUE"""),0.0)</f>
        <v>0</v>
      </c>
    </row>
    <row r="357">
      <c r="A357" s="7" t="str">
        <f>IFERROR(__xludf.DUMMYFUNCTION("""COMPUTED_VALUE"""),"CUW07")</f>
        <v>CUW07</v>
      </c>
      <c r="B357" s="5" t="str">
        <f>IFERROR(__xludf.DUMMYFUNCTION("""COMPUTED_VALUE"""),"CURAZAO")</f>
        <v>CURAZAO</v>
      </c>
      <c r="C357" s="5" t="str">
        <f>IFERROR(__xludf.DUMMYFUNCTION("""COMPUTED_VALUE"""),"NORMAL")</f>
        <v>NORMAL</v>
      </c>
      <c r="D357" s="5" t="str">
        <f>IFERROR(__xludf.DUMMYFUNCTION("""COMPUTED_VALUE"""),"ROSHON VAN EIJMA")</f>
        <v>ROSHON VAN EIJMA</v>
      </c>
      <c r="E357" s="5">
        <f>IFERROR(__xludf.DUMMYFUNCTION("""COMPUTED_VALUE"""),0.0)</f>
        <v>0</v>
      </c>
      <c r="F357" s="5">
        <f>IFERROR(__xludf.DUMMYFUNCTION("""COMPUTED_VALUE"""),0.0)</f>
        <v>0</v>
      </c>
    </row>
    <row r="358">
      <c r="A358" s="7" t="str">
        <f>IFERROR(__xludf.DUMMYFUNCTION("""COMPUTED_VALUE"""),"CUW08")</f>
        <v>CUW08</v>
      </c>
      <c r="B358" s="5" t="str">
        <f>IFERROR(__xludf.DUMMYFUNCTION("""COMPUTED_VALUE"""),"CURAZAO")</f>
        <v>CURAZAO</v>
      </c>
      <c r="C358" s="5" t="str">
        <f>IFERROR(__xludf.DUMMYFUNCTION("""COMPUTED_VALUE"""),"NORMAL")</f>
        <v>NORMAL</v>
      </c>
      <c r="D358" s="5" t="str">
        <f>IFERROR(__xludf.DUMMYFUNCTION("""COMPUTED_VALUE"""),"SHURANDY SAMBO")</f>
        <v>SHURANDY SAMBO</v>
      </c>
      <c r="E358" s="5">
        <f>IFERROR(__xludf.DUMMYFUNCTION("""COMPUTED_VALUE"""),0.0)</f>
        <v>0</v>
      </c>
      <c r="F358" s="5">
        <f>IFERROR(__xludf.DUMMYFUNCTION("""COMPUTED_VALUE"""),0.0)</f>
        <v>0</v>
      </c>
    </row>
    <row r="359">
      <c r="A359" s="7" t="str">
        <f>IFERROR(__xludf.DUMMYFUNCTION("""COMPUTED_VALUE"""),"CUW09")</f>
        <v>CUW09</v>
      </c>
      <c r="B359" s="5" t="str">
        <f>IFERROR(__xludf.DUMMYFUNCTION("""COMPUTED_VALUE"""),"CURAZAO")</f>
        <v>CURAZAO</v>
      </c>
      <c r="C359" s="5" t="str">
        <f>IFERROR(__xludf.DUMMYFUNCTION("""COMPUTED_VALUE"""),"NORMAL")</f>
        <v>NORMAL</v>
      </c>
      <c r="D359" s="5" t="str">
        <f>IFERROR(__xludf.DUMMYFUNCTION("""COMPUTED_VALUE"""),"LIVANO COMENENCIA")</f>
        <v>LIVANO COMENENCIA</v>
      </c>
      <c r="E359" s="5">
        <f>IFERROR(__xludf.DUMMYFUNCTION("""COMPUTED_VALUE"""),0.0)</f>
        <v>0</v>
      </c>
      <c r="F359" s="5">
        <f>IFERROR(__xludf.DUMMYFUNCTION("""COMPUTED_VALUE"""),0.0)</f>
        <v>0</v>
      </c>
    </row>
    <row r="360">
      <c r="A360" s="7" t="str">
        <f>IFERROR(__xludf.DUMMYFUNCTION("""COMPUTED_VALUE"""),"CUW10")</f>
        <v>CUW10</v>
      </c>
      <c r="B360" s="5" t="str">
        <f>IFERROR(__xludf.DUMMYFUNCTION("""COMPUTED_VALUE"""),"CURAZAO")</f>
        <v>CURAZAO</v>
      </c>
      <c r="C360" s="5" t="str">
        <f>IFERROR(__xludf.DUMMYFUNCTION("""COMPUTED_VALUE"""),"NORMAL")</f>
        <v>NORMAL</v>
      </c>
      <c r="D360" s="5" t="str">
        <f>IFERROR(__xludf.DUMMYFUNCTION("""COMPUTED_VALUE"""),"GODFRIED ROEMERATOE")</f>
        <v>GODFRIED ROEMERATOE</v>
      </c>
      <c r="E360" s="5">
        <f>IFERROR(__xludf.DUMMYFUNCTION("""COMPUTED_VALUE"""),0.0)</f>
        <v>0</v>
      </c>
      <c r="F360" s="5">
        <f>IFERROR(__xludf.DUMMYFUNCTION("""COMPUTED_VALUE"""),0.0)</f>
        <v>0</v>
      </c>
    </row>
    <row r="361">
      <c r="A361" s="7" t="str">
        <f>IFERROR(__xludf.DUMMYFUNCTION("""COMPUTED_VALUE"""),"CUW11")</f>
        <v>CUW11</v>
      </c>
      <c r="B361" s="5" t="str">
        <f>IFERROR(__xludf.DUMMYFUNCTION("""COMPUTED_VALUE"""),"CURAZAO")</f>
        <v>CURAZAO</v>
      </c>
      <c r="C361" s="5" t="str">
        <f>IFERROR(__xludf.DUMMYFUNCTION("""COMPUTED_VALUE"""),"NORMAL")</f>
        <v>NORMAL</v>
      </c>
      <c r="D361" s="5" t="str">
        <f>IFERROR(__xludf.DUMMYFUNCTION("""COMPUTED_VALUE"""),"JUNINHO BACUNA")</f>
        <v>JUNINHO BACUNA</v>
      </c>
      <c r="E361" s="5">
        <f>IFERROR(__xludf.DUMMYFUNCTION("""COMPUTED_VALUE"""),0.0)</f>
        <v>0</v>
      </c>
      <c r="F361" s="5">
        <f>IFERROR(__xludf.DUMMYFUNCTION("""COMPUTED_VALUE"""),0.0)</f>
        <v>0</v>
      </c>
    </row>
    <row r="362">
      <c r="A362" s="7" t="str">
        <f>IFERROR(__xludf.DUMMYFUNCTION("""COMPUTED_VALUE"""),"CUW12")</f>
        <v>CUW12</v>
      </c>
      <c r="B362" s="5" t="str">
        <f>IFERROR(__xludf.DUMMYFUNCTION("""COMPUTED_VALUE"""),"CURAZAO")</f>
        <v>CURAZAO</v>
      </c>
      <c r="C362" s="5" t="str">
        <f>IFERROR(__xludf.DUMMYFUNCTION("""COMPUTED_VALUE"""),"NORMAL")</f>
        <v>NORMAL</v>
      </c>
      <c r="D362" s="5" t="str">
        <f>IFERROR(__xludf.DUMMYFUNCTION("""COMPUTED_VALUE"""),"LEANDRO BACUNA")</f>
        <v>LEANDRO BACUNA</v>
      </c>
      <c r="E362" s="5">
        <f>IFERROR(__xludf.DUMMYFUNCTION("""COMPUTED_VALUE"""),0.0)</f>
        <v>0</v>
      </c>
      <c r="F362" s="5">
        <f>IFERROR(__xludf.DUMMYFUNCTION("""COMPUTED_VALUE"""),0.0)</f>
        <v>0</v>
      </c>
    </row>
    <row r="363">
      <c r="A363" s="7" t="str">
        <f>IFERROR(__xludf.DUMMYFUNCTION("""COMPUTED_VALUE"""),"CUW13")</f>
        <v>CUW13</v>
      </c>
      <c r="B363" s="5" t="str">
        <f>IFERROR(__xludf.DUMMYFUNCTION("""COMPUTED_VALUE"""),"CURAZAO")</f>
        <v>CURAZAO</v>
      </c>
      <c r="C363" s="5" t="str">
        <f>IFERROR(__xludf.DUMMYFUNCTION("""COMPUTED_VALUE"""),"TEAM")</f>
        <v>TEAM</v>
      </c>
      <c r="D363" s="5" t="str">
        <f>IFERROR(__xludf.DUMMYFUNCTION("""COMPUTED_VALUE"""),"CURAZAO NATIONAL TEAM")</f>
        <v>CURAZAO NATIONAL TEAM</v>
      </c>
      <c r="E363" s="5">
        <f>IFERROR(__xludf.DUMMYFUNCTION("""COMPUTED_VALUE"""),0.0)</f>
        <v>0</v>
      </c>
      <c r="F363" s="5">
        <f>IFERROR(__xludf.DUMMYFUNCTION("""COMPUTED_VALUE"""),0.0)</f>
        <v>0</v>
      </c>
    </row>
    <row r="364">
      <c r="A364" s="7" t="str">
        <f>IFERROR(__xludf.DUMMYFUNCTION("""COMPUTED_VALUE"""),"CUW14")</f>
        <v>CUW14</v>
      </c>
      <c r="B364" s="5" t="str">
        <f>IFERROR(__xludf.DUMMYFUNCTION("""COMPUTED_VALUE"""),"CURAZAO")</f>
        <v>CURAZAO</v>
      </c>
      <c r="C364" s="5" t="str">
        <f>IFERROR(__xludf.DUMMYFUNCTION("""COMPUTED_VALUE"""),"NORMAL")</f>
        <v>NORMAL</v>
      </c>
      <c r="D364" s="5" t="str">
        <f>IFERROR(__xludf.DUMMYFUNCTION("""COMPUTED_VALUE"""),"TAHITH CHONG")</f>
        <v>TAHITH CHONG</v>
      </c>
      <c r="E364" s="5">
        <f>IFERROR(__xludf.DUMMYFUNCTION("""COMPUTED_VALUE"""),0.0)</f>
        <v>0</v>
      </c>
      <c r="F364" s="5">
        <f>IFERROR(__xludf.DUMMYFUNCTION("""COMPUTED_VALUE"""),0.0)</f>
        <v>0</v>
      </c>
    </row>
    <row r="365">
      <c r="A365" s="7" t="str">
        <f>IFERROR(__xludf.DUMMYFUNCTION("""COMPUTED_VALUE"""),"CUW15")</f>
        <v>CUW15</v>
      </c>
      <c r="B365" s="5" t="str">
        <f>IFERROR(__xludf.DUMMYFUNCTION("""COMPUTED_VALUE"""),"CURAZAO")</f>
        <v>CURAZAO</v>
      </c>
      <c r="C365" s="5" t="str">
        <f>IFERROR(__xludf.DUMMYFUNCTION("""COMPUTED_VALUE"""),"NORMAL")</f>
        <v>NORMAL</v>
      </c>
      <c r="D365" s="5" t="str">
        <f>IFERROR(__xludf.DUMMYFUNCTION("""COMPUTED_VALUE"""),"KENJI GORRE")</f>
        <v>KENJI GORRE</v>
      </c>
      <c r="E365" s="5">
        <f>IFERROR(__xludf.DUMMYFUNCTION("""COMPUTED_VALUE"""),0.0)</f>
        <v>0</v>
      </c>
      <c r="F365" s="5">
        <f>IFERROR(__xludf.DUMMYFUNCTION("""COMPUTED_VALUE"""),0.0)</f>
        <v>0</v>
      </c>
    </row>
    <row r="366">
      <c r="A366" s="7" t="str">
        <f>IFERROR(__xludf.DUMMYFUNCTION("""COMPUTED_VALUE"""),"CUW16")</f>
        <v>CUW16</v>
      </c>
      <c r="B366" s="5" t="str">
        <f>IFERROR(__xludf.DUMMYFUNCTION("""COMPUTED_VALUE"""),"CURAZAO")</f>
        <v>CURAZAO</v>
      </c>
      <c r="C366" s="5" t="str">
        <f>IFERROR(__xludf.DUMMYFUNCTION("""COMPUTED_VALUE"""),"NORMAL")</f>
        <v>NORMAL</v>
      </c>
      <c r="D366" s="5" t="str">
        <f>IFERROR(__xludf.DUMMYFUNCTION("""COMPUTED_VALUE"""),"JEARL MARGARITHA")</f>
        <v>JEARL MARGARITHA</v>
      </c>
      <c r="E366" s="5">
        <f>IFERROR(__xludf.DUMMYFUNCTION("""COMPUTED_VALUE"""),0.0)</f>
        <v>0</v>
      </c>
      <c r="F366" s="5">
        <f>IFERROR(__xludf.DUMMYFUNCTION("""COMPUTED_VALUE"""),0.0)</f>
        <v>0</v>
      </c>
    </row>
    <row r="367">
      <c r="A367" s="7" t="str">
        <f>IFERROR(__xludf.DUMMYFUNCTION("""COMPUTED_VALUE"""),"CUW17")</f>
        <v>CUW17</v>
      </c>
      <c r="B367" s="5" t="str">
        <f>IFERROR(__xludf.DUMMYFUNCTION("""COMPUTED_VALUE"""),"CURAZAO")</f>
        <v>CURAZAO</v>
      </c>
      <c r="C367" s="5" t="str">
        <f>IFERROR(__xludf.DUMMYFUNCTION("""COMPUTED_VALUE"""),"NORMAL")</f>
        <v>NORMAL</v>
      </c>
      <c r="D367" s="5" t="str">
        <f>IFERROR(__xludf.DUMMYFUNCTION("""COMPUTED_VALUE"""),"JURGEN LOCADIA")</f>
        <v>JURGEN LOCADIA</v>
      </c>
      <c r="E367" s="5">
        <f>IFERROR(__xludf.DUMMYFUNCTION("""COMPUTED_VALUE"""),0.0)</f>
        <v>0</v>
      </c>
      <c r="F367" s="5">
        <f>IFERROR(__xludf.DUMMYFUNCTION("""COMPUTED_VALUE"""),0.0)</f>
        <v>0</v>
      </c>
    </row>
    <row r="368">
      <c r="A368" s="7" t="str">
        <f>IFERROR(__xludf.DUMMYFUNCTION("""COMPUTED_VALUE"""),"CUW18")</f>
        <v>CUW18</v>
      </c>
      <c r="B368" s="5" t="str">
        <f>IFERROR(__xludf.DUMMYFUNCTION("""COMPUTED_VALUE"""),"CURAZAO")</f>
        <v>CURAZAO</v>
      </c>
      <c r="C368" s="5" t="str">
        <f>IFERROR(__xludf.DUMMYFUNCTION("""COMPUTED_VALUE"""),"NORMAL")</f>
        <v>NORMAL</v>
      </c>
      <c r="D368" s="5" t="str">
        <f>IFERROR(__xludf.DUMMYFUNCTION("""COMPUTED_VALUE"""),"JEREMY ANTONISSE")</f>
        <v>JEREMY ANTONISSE</v>
      </c>
      <c r="E368" s="5">
        <f>IFERROR(__xludf.DUMMYFUNCTION("""COMPUTED_VALUE"""),0.0)</f>
        <v>0</v>
      </c>
      <c r="F368" s="5">
        <f>IFERROR(__xludf.DUMMYFUNCTION("""COMPUTED_VALUE"""),0.0)</f>
        <v>0</v>
      </c>
    </row>
    <row r="369">
      <c r="A369" s="7" t="str">
        <f>IFERROR(__xludf.DUMMYFUNCTION("""COMPUTED_VALUE"""),"CUW19")</f>
        <v>CUW19</v>
      </c>
      <c r="B369" s="5" t="str">
        <f>IFERROR(__xludf.DUMMYFUNCTION("""COMPUTED_VALUE"""),"CURAZAO")</f>
        <v>CURAZAO</v>
      </c>
      <c r="C369" s="5" t="str">
        <f>IFERROR(__xludf.DUMMYFUNCTION("""COMPUTED_VALUE"""),"NORMAL")</f>
        <v>NORMAL</v>
      </c>
      <c r="D369" s="5" t="str">
        <f>IFERROR(__xludf.DUMMYFUNCTION("""COMPUTED_VALUE"""),"GERVANE KASTANEER")</f>
        <v>GERVANE KASTANEER</v>
      </c>
      <c r="E369" s="5">
        <f>IFERROR(__xludf.DUMMYFUNCTION("""COMPUTED_VALUE"""),0.0)</f>
        <v>0</v>
      </c>
      <c r="F369" s="5">
        <f>IFERROR(__xludf.DUMMYFUNCTION("""COMPUTED_VALUE"""),0.0)</f>
        <v>0</v>
      </c>
    </row>
    <row r="370">
      <c r="A370" s="7" t="str">
        <f>IFERROR(__xludf.DUMMYFUNCTION("""COMPUTED_VALUE"""),"CUW20")</f>
        <v>CUW20</v>
      </c>
      <c r="B370" s="5" t="str">
        <f>IFERROR(__xludf.DUMMYFUNCTION("""COMPUTED_VALUE"""),"CURAZAO")</f>
        <v>CURAZAO</v>
      </c>
      <c r="C370" s="5" t="str">
        <f>IFERROR(__xludf.DUMMYFUNCTION("""COMPUTED_VALUE"""),"NORMAL")</f>
        <v>NORMAL</v>
      </c>
      <c r="D370" s="5" t="str">
        <f>IFERROR(__xludf.DUMMYFUNCTION("""COMPUTED_VALUE"""),"SONTJE HANSEN")</f>
        <v>SONTJE HANSEN</v>
      </c>
      <c r="E370" s="5">
        <f>IFERROR(__xludf.DUMMYFUNCTION("""COMPUTED_VALUE"""),0.0)</f>
        <v>0</v>
      </c>
      <c r="F370" s="5">
        <f>IFERROR(__xludf.DUMMYFUNCTION("""COMPUTED_VALUE"""),0.0)</f>
        <v>0</v>
      </c>
    </row>
    <row r="371">
      <c r="A371" s="5" t="str">
        <f>IFERROR(__xludf.DUMMYFUNCTION("""COMPUTED_VALUE"""),"CIV01")</f>
        <v>CIV01</v>
      </c>
      <c r="B371" s="5" t="str">
        <f>IFERROR(__xludf.DUMMYFUNCTION("""COMPUTED_VALUE"""),"COTE D'IVIORE")</f>
        <v>COTE D'IVIORE</v>
      </c>
      <c r="C371" s="5" t="str">
        <f>IFERROR(__xludf.DUMMYFUNCTION("""COMPUTED_VALUE"""),"BADGE")</f>
        <v>BADGE</v>
      </c>
      <c r="D371" s="5" t="str">
        <f>IFERROR(__xludf.DUMMYFUNCTION("""COMPUTED_VALUE"""),"COTE D'IVIORE NATIONAL TEAM")</f>
        <v>COTE D'IVIORE NATIONAL TEAM</v>
      </c>
      <c r="E371" s="5">
        <f>IFERROR(__xludf.DUMMYFUNCTION("""COMPUTED_VALUE"""),0.0)</f>
        <v>0</v>
      </c>
      <c r="F371" s="5">
        <f>IFERROR(__xludf.DUMMYFUNCTION("""COMPUTED_VALUE"""),0.0)</f>
        <v>0</v>
      </c>
    </row>
    <row r="372">
      <c r="A372" s="5" t="str">
        <f>IFERROR(__xludf.DUMMYFUNCTION("""COMPUTED_VALUE"""),"CIV02")</f>
        <v>CIV02</v>
      </c>
      <c r="B372" s="5" t="str">
        <f>IFERROR(__xludf.DUMMYFUNCTION("""COMPUTED_VALUE"""),"COTE D'IVIORE")</f>
        <v>COTE D'IVIORE</v>
      </c>
      <c r="C372" s="5" t="str">
        <f>IFERROR(__xludf.DUMMYFUNCTION("""COMPUTED_VALUE"""),"NORMAL")</f>
        <v>NORMAL</v>
      </c>
      <c r="D372" s="5" t="str">
        <f>IFERROR(__xludf.DUMMYFUNCTION("""COMPUTED_VALUE"""),"YAHIA FOFANA")</f>
        <v>YAHIA FOFANA</v>
      </c>
      <c r="E372" s="5">
        <f>IFERROR(__xludf.DUMMYFUNCTION("""COMPUTED_VALUE"""),0.0)</f>
        <v>0</v>
      </c>
      <c r="F372" s="5">
        <f>IFERROR(__xludf.DUMMYFUNCTION("""COMPUTED_VALUE"""),0.0)</f>
        <v>0</v>
      </c>
    </row>
    <row r="373">
      <c r="A373" s="5" t="str">
        <f>IFERROR(__xludf.DUMMYFUNCTION("""COMPUTED_VALUE"""),"CIV03")</f>
        <v>CIV03</v>
      </c>
      <c r="B373" s="5" t="str">
        <f>IFERROR(__xludf.DUMMYFUNCTION("""COMPUTED_VALUE"""),"COTE D'IVIORE")</f>
        <v>COTE D'IVIORE</v>
      </c>
      <c r="C373" s="5" t="str">
        <f>IFERROR(__xludf.DUMMYFUNCTION("""COMPUTED_VALUE"""),"NORMAL")</f>
        <v>NORMAL</v>
      </c>
      <c r="D373" s="5" t="str">
        <f>IFERROR(__xludf.DUMMYFUNCTION("""COMPUTED_VALUE"""),"GHISLAIN KONAN")</f>
        <v>GHISLAIN KONAN</v>
      </c>
      <c r="E373" s="5">
        <f>IFERROR(__xludf.DUMMYFUNCTION("""COMPUTED_VALUE"""),0.0)</f>
        <v>0</v>
      </c>
      <c r="F373" s="5">
        <f>IFERROR(__xludf.DUMMYFUNCTION("""COMPUTED_VALUE"""),0.0)</f>
        <v>0</v>
      </c>
    </row>
    <row r="374">
      <c r="A374" s="5" t="str">
        <f>IFERROR(__xludf.DUMMYFUNCTION("""COMPUTED_VALUE"""),"CIV04")</f>
        <v>CIV04</v>
      </c>
      <c r="B374" s="5" t="str">
        <f>IFERROR(__xludf.DUMMYFUNCTION("""COMPUTED_VALUE"""),"COTE D'IVIORE")</f>
        <v>COTE D'IVIORE</v>
      </c>
      <c r="C374" s="5" t="str">
        <f>IFERROR(__xludf.DUMMYFUNCTION("""COMPUTED_VALUE"""),"NORMAL")</f>
        <v>NORMAL</v>
      </c>
      <c r="D374" s="5" t="str">
        <f>IFERROR(__xludf.DUMMYFUNCTION("""COMPUTED_VALUE"""),"WILFRIED SINGO")</f>
        <v>WILFRIED SINGO</v>
      </c>
      <c r="E374" s="5">
        <f>IFERROR(__xludf.DUMMYFUNCTION("""COMPUTED_VALUE"""),0.0)</f>
        <v>0</v>
      </c>
      <c r="F374" s="5">
        <f>IFERROR(__xludf.DUMMYFUNCTION("""COMPUTED_VALUE"""),0.0)</f>
        <v>0</v>
      </c>
    </row>
    <row r="375">
      <c r="A375" s="5" t="str">
        <f>IFERROR(__xludf.DUMMYFUNCTION("""COMPUTED_VALUE"""),"CIV05")</f>
        <v>CIV05</v>
      </c>
      <c r="B375" s="5" t="str">
        <f>IFERROR(__xludf.DUMMYFUNCTION("""COMPUTED_VALUE"""),"COTE D'IVIORE")</f>
        <v>COTE D'IVIORE</v>
      </c>
      <c r="C375" s="5" t="str">
        <f>IFERROR(__xludf.DUMMYFUNCTION("""COMPUTED_VALUE"""),"NORMAL")</f>
        <v>NORMAL</v>
      </c>
      <c r="D375" s="5" t="str">
        <f>IFERROR(__xludf.DUMMYFUNCTION("""COMPUTED_VALUE"""),"ODILON KOSSOUNOU")</f>
        <v>ODILON KOSSOUNOU</v>
      </c>
      <c r="E375" s="5">
        <f>IFERROR(__xludf.DUMMYFUNCTION("""COMPUTED_VALUE"""),0.0)</f>
        <v>0</v>
      </c>
      <c r="F375" s="5">
        <f>IFERROR(__xludf.DUMMYFUNCTION("""COMPUTED_VALUE"""),0.0)</f>
        <v>0</v>
      </c>
    </row>
    <row r="376">
      <c r="A376" s="5" t="str">
        <f>IFERROR(__xludf.DUMMYFUNCTION("""COMPUTED_VALUE"""),"CIV06")</f>
        <v>CIV06</v>
      </c>
      <c r="B376" s="5" t="str">
        <f>IFERROR(__xludf.DUMMYFUNCTION("""COMPUTED_VALUE"""),"COTE D'IVIORE")</f>
        <v>COTE D'IVIORE</v>
      </c>
      <c r="C376" s="5" t="str">
        <f>IFERROR(__xludf.DUMMYFUNCTION("""COMPUTED_VALUE"""),"NORMAL")</f>
        <v>NORMAL</v>
      </c>
      <c r="D376" s="5" t="str">
        <f>IFERROR(__xludf.DUMMYFUNCTION("""COMPUTED_VALUE"""),"EVAN NDICKA")</f>
        <v>EVAN NDICKA</v>
      </c>
      <c r="E376" s="5">
        <f>IFERROR(__xludf.DUMMYFUNCTION("""COMPUTED_VALUE"""),0.0)</f>
        <v>0</v>
      </c>
      <c r="F376" s="5">
        <f>IFERROR(__xludf.DUMMYFUNCTION("""COMPUTED_VALUE"""),0.0)</f>
        <v>0</v>
      </c>
    </row>
    <row r="377">
      <c r="A377" s="5" t="str">
        <f>IFERROR(__xludf.DUMMYFUNCTION("""COMPUTED_VALUE"""),"CIV07")</f>
        <v>CIV07</v>
      </c>
      <c r="B377" s="5" t="str">
        <f>IFERROR(__xludf.DUMMYFUNCTION("""COMPUTED_VALUE"""),"COTE D'IVIORE")</f>
        <v>COTE D'IVIORE</v>
      </c>
      <c r="C377" s="5" t="str">
        <f>IFERROR(__xludf.DUMMYFUNCTION("""COMPUTED_VALUE"""),"NORMAL")</f>
        <v>NORMAL</v>
      </c>
      <c r="D377" s="5" t="str">
        <f>IFERROR(__xludf.DUMMYFUNCTION("""COMPUTED_VALUE"""),"WILLY BOLY")</f>
        <v>WILLY BOLY</v>
      </c>
      <c r="E377" s="5">
        <f>IFERROR(__xludf.DUMMYFUNCTION("""COMPUTED_VALUE"""),0.0)</f>
        <v>0</v>
      </c>
      <c r="F377" s="5">
        <f>IFERROR(__xludf.DUMMYFUNCTION("""COMPUTED_VALUE"""),0.0)</f>
        <v>0</v>
      </c>
    </row>
    <row r="378">
      <c r="A378" s="5" t="str">
        <f>IFERROR(__xludf.DUMMYFUNCTION("""COMPUTED_VALUE"""),"CIV08")</f>
        <v>CIV08</v>
      </c>
      <c r="B378" s="5" t="str">
        <f>IFERROR(__xludf.DUMMYFUNCTION("""COMPUTED_VALUE"""),"COTE D'IVIORE")</f>
        <v>COTE D'IVIORE</v>
      </c>
      <c r="C378" s="5" t="str">
        <f>IFERROR(__xludf.DUMMYFUNCTION("""COMPUTED_VALUE"""),"NORMAL")</f>
        <v>NORMAL</v>
      </c>
      <c r="D378" s="5" t="str">
        <f>IFERROR(__xludf.DUMMYFUNCTION("""COMPUTED_VALUE"""),"EMMANUEL AGBADOU")</f>
        <v>EMMANUEL AGBADOU</v>
      </c>
      <c r="E378" s="5">
        <f>IFERROR(__xludf.DUMMYFUNCTION("""COMPUTED_VALUE"""),0.0)</f>
        <v>0</v>
      </c>
      <c r="F378" s="5">
        <f>IFERROR(__xludf.DUMMYFUNCTION("""COMPUTED_VALUE"""),0.0)</f>
        <v>0</v>
      </c>
    </row>
    <row r="379">
      <c r="A379" s="5" t="str">
        <f>IFERROR(__xludf.DUMMYFUNCTION("""COMPUTED_VALUE"""),"CIV09")</f>
        <v>CIV09</v>
      </c>
      <c r="B379" s="5" t="str">
        <f>IFERROR(__xludf.DUMMYFUNCTION("""COMPUTED_VALUE"""),"COTE D'IVIORE")</f>
        <v>COTE D'IVIORE</v>
      </c>
      <c r="C379" s="5" t="str">
        <f>IFERROR(__xludf.DUMMYFUNCTION("""COMPUTED_VALUE"""),"NORMAL")</f>
        <v>NORMAL</v>
      </c>
      <c r="D379" s="5" t="str">
        <f>IFERROR(__xludf.DUMMYFUNCTION("""COMPUTED_VALUE"""),"OUSMANE DOIMANDE")</f>
        <v>OUSMANE DOIMANDE</v>
      </c>
      <c r="E379" s="5">
        <f>IFERROR(__xludf.DUMMYFUNCTION("""COMPUTED_VALUE"""),0.0)</f>
        <v>0</v>
      </c>
      <c r="F379" s="5">
        <f>IFERROR(__xludf.DUMMYFUNCTION("""COMPUTED_VALUE"""),0.0)</f>
        <v>0</v>
      </c>
    </row>
    <row r="380">
      <c r="A380" s="5" t="str">
        <f>IFERROR(__xludf.DUMMYFUNCTION("""COMPUTED_VALUE"""),"CIV10")</f>
        <v>CIV10</v>
      </c>
      <c r="B380" s="5" t="str">
        <f>IFERROR(__xludf.DUMMYFUNCTION("""COMPUTED_VALUE"""),"COTE D'IVIORE")</f>
        <v>COTE D'IVIORE</v>
      </c>
      <c r="C380" s="5" t="str">
        <f>IFERROR(__xludf.DUMMYFUNCTION("""COMPUTED_VALUE"""),"NORMAL")</f>
        <v>NORMAL</v>
      </c>
      <c r="D380" s="5" t="str">
        <f>IFERROR(__xludf.DUMMYFUNCTION("""COMPUTED_VALUE"""),"FRACNK KESSIE")</f>
        <v>FRACNK KESSIE</v>
      </c>
      <c r="E380" s="5">
        <f>IFERROR(__xludf.DUMMYFUNCTION("""COMPUTED_VALUE"""),0.0)</f>
        <v>0</v>
      </c>
      <c r="F380" s="5">
        <f>IFERROR(__xludf.DUMMYFUNCTION("""COMPUTED_VALUE"""),0.0)</f>
        <v>0</v>
      </c>
    </row>
    <row r="381">
      <c r="A381" s="5" t="str">
        <f>IFERROR(__xludf.DUMMYFUNCTION("""COMPUTED_VALUE"""),"CIV11")</f>
        <v>CIV11</v>
      </c>
      <c r="B381" s="5" t="str">
        <f>IFERROR(__xludf.DUMMYFUNCTION("""COMPUTED_VALUE"""),"COTE D'IVIORE")</f>
        <v>COTE D'IVIORE</v>
      </c>
      <c r="C381" s="5" t="str">
        <f>IFERROR(__xludf.DUMMYFUNCTION("""COMPUTED_VALUE"""),"NORMAL")</f>
        <v>NORMAL</v>
      </c>
      <c r="D381" s="5" t="str">
        <f>IFERROR(__xludf.DUMMYFUNCTION("""COMPUTED_VALUE"""),"SEKO FOFANA")</f>
        <v>SEKO FOFANA</v>
      </c>
      <c r="E381" s="5">
        <f>IFERROR(__xludf.DUMMYFUNCTION("""COMPUTED_VALUE"""),0.0)</f>
        <v>0</v>
      </c>
      <c r="F381" s="5">
        <f>IFERROR(__xludf.DUMMYFUNCTION("""COMPUTED_VALUE"""),0.0)</f>
        <v>0</v>
      </c>
    </row>
    <row r="382">
      <c r="A382" s="5" t="str">
        <f>IFERROR(__xludf.DUMMYFUNCTION("""COMPUTED_VALUE"""),"CIV12")</f>
        <v>CIV12</v>
      </c>
      <c r="B382" s="5" t="str">
        <f>IFERROR(__xludf.DUMMYFUNCTION("""COMPUTED_VALUE"""),"COTE D'IVIORE")</f>
        <v>COTE D'IVIORE</v>
      </c>
      <c r="C382" s="5" t="str">
        <f>IFERROR(__xludf.DUMMYFUNCTION("""COMPUTED_VALUE"""),"NORMAL")</f>
        <v>NORMAL</v>
      </c>
      <c r="D382" s="5" t="str">
        <f>IFERROR(__xludf.DUMMYFUNCTION("""COMPUTED_VALUE"""),"IBAHIM SANGARE")</f>
        <v>IBAHIM SANGARE</v>
      </c>
      <c r="E382" s="5">
        <f>IFERROR(__xludf.DUMMYFUNCTION("""COMPUTED_VALUE"""),0.0)</f>
        <v>0</v>
      </c>
      <c r="F382" s="5">
        <f>IFERROR(__xludf.DUMMYFUNCTION("""COMPUTED_VALUE"""),0.0)</f>
        <v>0</v>
      </c>
    </row>
    <row r="383">
      <c r="A383" s="5" t="str">
        <f>IFERROR(__xludf.DUMMYFUNCTION("""COMPUTED_VALUE"""),"CIV13")</f>
        <v>CIV13</v>
      </c>
      <c r="B383" s="5" t="str">
        <f>IFERROR(__xludf.DUMMYFUNCTION("""COMPUTED_VALUE"""),"COTE D'IVIORE")</f>
        <v>COTE D'IVIORE</v>
      </c>
      <c r="C383" s="5" t="str">
        <f>IFERROR(__xludf.DUMMYFUNCTION("""COMPUTED_VALUE"""),"TEAM")</f>
        <v>TEAM</v>
      </c>
      <c r="D383" s="5" t="str">
        <f>IFERROR(__xludf.DUMMYFUNCTION("""COMPUTED_VALUE"""),"COTE D'IVIORE NATIONAL TEAM")</f>
        <v>COTE D'IVIORE NATIONAL TEAM</v>
      </c>
      <c r="E383" s="5">
        <f>IFERROR(__xludf.DUMMYFUNCTION("""COMPUTED_VALUE"""),0.0)</f>
        <v>0</v>
      </c>
      <c r="F383" s="5">
        <f>IFERROR(__xludf.DUMMYFUNCTION("""COMPUTED_VALUE"""),0.0)</f>
        <v>0</v>
      </c>
    </row>
    <row r="384">
      <c r="A384" s="5" t="str">
        <f>IFERROR(__xludf.DUMMYFUNCTION("""COMPUTED_VALUE"""),"CIV14")</f>
        <v>CIV14</v>
      </c>
      <c r="B384" s="5" t="str">
        <f>IFERROR(__xludf.DUMMYFUNCTION("""COMPUTED_VALUE"""),"COTE D'IVIORE")</f>
        <v>COTE D'IVIORE</v>
      </c>
      <c r="C384" s="5" t="str">
        <f>IFERROR(__xludf.DUMMYFUNCTION("""COMPUTED_VALUE"""),"NORMAL")</f>
        <v>NORMAL</v>
      </c>
      <c r="D384" s="5" t="str">
        <f>IFERROR(__xludf.DUMMYFUNCTION("""COMPUTED_VALUE"""),"JEAN PHILIPPE GBAMIN")</f>
        <v>JEAN PHILIPPE GBAMIN</v>
      </c>
      <c r="E384" s="5">
        <f>IFERROR(__xludf.DUMMYFUNCTION("""COMPUTED_VALUE"""),0.0)</f>
        <v>0</v>
      </c>
      <c r="F384" s="5">
        <f>IFERROR(__xludf.DUMMYFUNCTION("""COMPUTED_VALUE"""),0.0)</f>
        <v>0</v>
      </c>
    </row>
    <row r="385">
      <c r="A385" s="5" t="str">
        <f>IFERROR(__xludf.DUMMYFUNCTION("""COMPUTED_VALUE"""),"CIV15")</f>
        <v>CIV15</v>
      </c>
      <c r="B385" s="5" t="str">
        <f>IFERROR(__xludf.DUMMYFUNCTION("""COMPUTED_VALUE"""),"COTE D'IVIORE")</f>
        <v>COTE D'IVIORE</v>
      </c>
      <c r="C385" s="5" t="str">
        <f>IFERROR(__xludf.DUMMYFUNCTION("""COMPUTED_VALUE"""),"NORMAL")</f>
        <v>NORMAL</v>
      </c>
      <c r="D385" s="5" t="str">
        <f>IFERROR(__xludf.DUMMYFUNCTION("""COMPUTED_VALUE"""),"AMAD DIALLO")</f>
        <v>AMAD DIALLO</v>
      </c>
      <c r="E385" s="5">
        <f>IFERROR(__xludf.DUMMYFUNCTION("""COMPUTED_VALUE"""),0.0)</f>
        <v>0</v>
      </c>
      <c r="F385" s="5">
        <f>IFERROR(__xludf.DUMMYFUNCTION("""COMPUTED_VALUE"""),0.0)</f>
        <v>0</v>
      </c>
    </row>
    <row r="386">
      <c r="A386" s="5" t="str">
        <f>IFERROR(__xludf.DUMMYFUNCTION("""COMPUTED_VALUE"""),"CIV16")</f>
        <v>CIV16</v>
      </c>
      <c r="B386" s="5" t="str">
        <f>IFERROR(__xludf.DUMMYFUNCTION("""COMPUTED_VALUE"""),"COTE D'IVIORE")</f>
        <v>COTE D'IVIORE</v>
      </c>
      <c r="C386" s="5" t="str">
        <f>IFERROR(__xludf.DUMMYFUNCTION("""COMPUTED_VALUE"""),"NORMAL")</f>
        <v>NORMAL</v>
      </c>
      <c r="D386" s="5" t="str">
        <f>IFERROR(__xludf.DUMMYFUNCTION("""COMPUTED_VALUE"""),"SEBASTIEN HALLER")</f>
        <v>SEBASTIEN HALLER</v>
      </c>
      <c r="E386" s="5">
        <f>IFERROR(__xludf.DUMMYFUNCTION("""COMPUTED_VALUE"""),0.0)</f>
        <v>0</v>
      </c>
      <c r="F386" s="5">
        <f>IFERROR(__xludf.DUMMYFUNCTION("""COMPUTED_VALUE"""),0.0)</f>
        <v>0</v>
      </c>
    </row>
    <row r="387">
      <c r="A387" s="5" t="str">
        <f>IFERROR(__xludf.DUMMYFUNCTION("""COMPUTED_VALUE"""),"CIV17")</f>
        <v>CIV17</v>
      </c>
      <c r="B387" s="5" t="str">
        <f>IFERROR(__xludf.DUMMYFUNCTION("""COMPUTED_VALUE"""),"COTE D'IVIORE")</f>
        <v>COTE D'IVIORE</v>
      </c>
      <c r="C387" s="5" t="str">
        <f>IFERROR(__xludf.DUMMYFUNCTION("""COMPUTED_VALUE"""),"NORMAL")</f>
        <v>NORMAL</v>
      </c>
      <c r="D387" s="5" t="str">
        <f>IFERROR(__xludf.DUMMYFUNCTION("""COMPUTED_VALUE"""),"SIMON ADINGRA")</f>
        <v>SIMON ADINGRA</v>
      </c>
      <c r="E387" s="5">
        <f>IFERROR(__xludf.DUMMYFUNCTION("""COMPUTED_VALUE"""),0.0)</f>
        <v>0</v>
      </c>
      <c r="F387" s="5">
        <f>IFERROR(__xludf.DUMMYFUNCTION("""COMPUTED_VALUE"""),0.0)</f>
        <v>0</v>
      </c>
    </row>
    <row r="388">
      <c r="A388" s="5" t="str">
        <f>IFERROR(__xludf.DUMMYFUNCTION("""COMPUTED_VALUE"""),"CIV18")</f>
        <v>CIV18</v>
      </c>
      <c r="B388" s="5" t="str">
        <f>IFERROR(__xludf.DUMMYFUNCTION("""COMPUTED_VALUE"""),"COTE D'IVIORE")</f>
        <v>COTE D'IVIORE</v>
      </c>
      <c r="C388" s="5" t="str">
        <f>IFERROR(__xludf.DUMMYFUNCTION("""COMPUTED_VALUE"""),"NORMAL")</f>
        <v>NORMAL</v>
      </c>
      <c r="D388" s="5" t="str">
        <f>IFERROR(__xludf.DUMMYFUNCTION("""COMPUTED_VALUE"""),"YAN DIOMANDE")</f>
        <v>YAN DIOMANDE</v>
      </c>
      <c r="E388" s="5">
        <f>IFERROR(__xludf.DUMMYFUNCTION("""COMPUTED_VALUE"""),0.0)</f>
        <v>0</v>
      </c>
      <c r="F388" s="5">
        <f>IFERROR(__xludf.DUMMYFUNCTION("""COMPUTED_VALUE"""),0.0)</f>
        <v>0</v>
      </c>
    </row>
    <row r="389">
      <c r="A389" s="5" t="str">
        <f>IFERROR(__xludf.DUMMYFUNCTION("""COMPUTED_VALUE"""),"CIV19")</f>
        <v>CIV19</v>
      </c>
      <c r="B389" s="5" t="str">
        <f>IFERROR(__xludf.DUMMYFUNCTION("""COMPUTED_VALUE"""),"COTE D'IVIORE")</f>
        <v>COTE D'IVIORE</v>
      </c>
      <c r="C389" s="5" t="str">
        <f>IFERROR(__xludf.DUMMYFUNCTION("""COMPUTED_VALUE"""),"NORMAL")</f>
        <v>NORMAL</v>
      </c>
      <c r="D389" s="5" t="str">
        <f>IFERROR(__xludf.DUMMYFUNCTION("""COMPUTED_VALUE"""),"EVANN GUESSAND")</f>
        <v>EVANN GUESSAND</v>
      </c>
      <c r="E389" s="5">
        <f>IFERROR(__xludf.DUMMYFUNCTION("""COMPUTED_VALUE"""),0.0)</f>
        <v>0</v>
      </c>
      <c r="F389" s="5">
        <f>IFERROR(__xludf.DUMMYFUNCTION("""COMPUTED_VALUE"""),0.0)</f>
        <v>0</v>
      </c>
    </row>
    <row r="390">
      <c r="A390" s="5" t="str">
        <f>IFERROR(__xludf.DUMMYFUNCTION("""COMPUTED_VALUE"""),"CIV20")</f>
        <v>CIV20</v>
      </c>
      <c r="B390" s="5" t="str">
        <f>IFERROR(__xludf.DUMMYFUNCTION("""COMPUTED_VALUE"""),"COTE D'IVIORE")</f>
        <v>COTE D'IVIORE</v>
      </c>
      <c r="C390" s="5" t="str">
        <f>IFERROR(__xludf.DUMMYFUNCTION("""COMPUTED_VALUE"""),"NORMAL")</f>
        <v>NORMAL</v>
      </c>
      <c r="D390" s="5" t="str">
        <f>IFERROR(__xludf.DUMMYFUNCTION("""COMPUTED_VALUE"""),"OUMAR DIAKITE")</f>
        <v>OUMAR DIAKITE</v>
      </c>
      <c r="E390" s="5">
        <f>IFERROR(__xludf.DUMMYFUNCTION("""COMPUTED_VALUE"""),0.0)</f>
        <v>0</v>
      </c>
      <c r="F390" s="5">
        <f>IFERROR(__xludf.DUMMYFUNCTION("""COMPUTED_VALUE"""),0.0)</f>
        <v>0</v>
      </c>
    </row>
    <row r="391">
      <c r="A391" s="5" t="str">
        <f>IFERROR(__xludf.DUMMYFUNCTION("""COMPUTED_VALUE"""),"ECU01")</f>
        <v>ECU01</v>
      </c>
      <c r="B391" s="5" t="str">
        <f>IFERROR(__xludf.DUMMYFUNCTION("""COMPUTED_VALUE"""),"ECUADOR")</f>
        <v>ECUADOR</v>
      </c>
      <c r="C391" s="5" t="str">
        <f>IFERROR(__xludf.DUMMYFUNCTION("""COMPUTED_VALUE"""),"BADGE")</f>
        <v>BADGE</v>
      </c>
      <c r="D391" s="5" t="str">
        <f>IFERROR(__xludf.DUMMYFUNCTION("""COMPUTED_VALUE"""),"ECUADOR NATIONAL TEAM")</f>
        <v>ECUADOR NATIONAL TEAM</v>
      </c>
      <c r="E391" s="5">
        <f>IFERROR(__xludf.DUMMYFUNCTION("""COMPUTED_VALUE"""),0.0)</f>
        <v>0</v>
      </c>
      <c r="F391" s="5">
        <f>IFERROR(__xludf.DUMMYFUNCTION("""COMPUTED_VALUE"""),0.0)</f>
        <v>0</v>
      </c>
    </row>
    <row r="392">
      <c r="A392" s="5" t="str">
        <f>IFERROR(__xludf.DUMMYFUNCTION("""COMPUTED_VALUE"""),"ECU02")</f>
        <v>ECU02</v>
      </c>
      <c r="B392" s="5" t="str">
        <f>IFERROR(__xludf.DUMMYFUNCTION("""COMPUTED_VALUE"""),"ECUADOR")</f>
        <v>ECUADOR</v>
      </c>
      <c r="C392" s="5" t="str">
        <f>IFERROR(__xludf.DUMMYFUNCTION("""COMPUTED_VALUE"""),"NORMAL")</f>
        <v>NORMAL</v>
      </c>
      <c r="D392" s="5" t="str">
        <f>IFERROR(__xludf.DUMMYFUNCTION("""COMPUTED_VALUE"""),"HERNAN GALINDEZ")</f>
        <v>HERNAN GALINDEZ</v>
      </c>
      <c r="E392" s="5">
        <f>IFERROR(__xludf.DUMMYFUNCTION("""COMPUTED_VALUE"""),0.0)</f>
        <v>0</v>
      </c>
      <c r="F392" s="5">
        <f>IFERROR(__xludf.DUMMYFUNCTION("""COMPUTED_VALUE"""),0.0)</f>
        <v>0</v>
      </c>
    </row>
    <row r="393">
      <c r="A393" s="5" t="str">
        <f>IFERROR(__xludf.DUMMYFUNCTION("""COMPUTED_VALUE"""),"ECU03")</f>
        <v>ECU03</v>
      </c>
      <c r="B393" s="5" t="str">
        <f>IFERROR(__xludf.DUMMYFUNCTION("""COMPUTED_VALUE"""),"ECUADOR")</f>
        <v>ECUADOR</v>
      </c>
      <c r="C393" s="5" t="str">
        <f>IFERROR(__xludf.DUMMYFUNCTION("""COMPUTED_VALUE"""),"NORMAL")</f>
        <v>NORMAL</v>
      </c>
      <c r="D393" s="5" t="str">
        <f>IFERROR(__xludf.DUMMYFUNCTION("""COMPUTED_VALUE"""),"GONZALO VALLE")</f>
        <v>GONZALO VALLE</v>
      </c>
      <c r="E393" s="5">
        <f>IFERROR(__xludf.DUMMYFUNCTION("""COMPUTED_VALUE"""),0.0)</f>
        <v>0</v>
      </c>
      <c r="F393" s="5">
        <f>IFERROR(__xludf.DUMMYFUNCTION("""COMPUTED_VALUE"""),0.0)</f>
        <v>0</v>
      </c>
    </row>
    <row r="394">
      <c r="A394" s="5" t="str">
        <f>IFERROR(__xludf.DUMMYFUNCTION("""COMPUTED_VALUE"""),"ECU04")</f>
        <v>ECU04</v>
      </c>
      <c r="B394" s="5" t="str">
        <f>IFERROR(__xludf.DUMMYFUNCTION("""COMPUTED_VALUE"""),"ECUADOR")</f>
        <v>ECUADOR</v>
      </c>
      <c r="C394" s="5" t="str">
        <f>IFERROR(__xludf.DUMMYFUNCTION("""COMPUTED_VALUE"""),"NORMAL")</f>
        <v>NORMAL</v>
      </c>
      <c r="D394" s="5" t="str">
        <f>IFERROR(__xludf.DUMMYFUNCTION("""COMPUTED_VALUE"""),"PIERO HINCAPIE")</f>
        <v>PIERO HINCAPIE</v>
      </c>
      <c r="E394" s="5">
        <f>IFERROR(__xludf.DUMMYFUNCTION("""COMPUTED_VALUE"""),0.0)</f>
        <v>0</v>
      </c>
      <c r="F394" s="5">
        <f>IFERROR(__xludf.DUMMYFUNCTION("""COMPUTED_VALUE"""),0.0)</f>
        <v>0</v>
      </c>
    </row>
    <row r="395">
      <c r="A395" s="5" t="str">
        <f>IFERROR(__xludf.DUMMYFUNCTION("""COMPUTED_VALUE"""),"ECU05")</f>
        <v>ECU05</v>
      </c>
      <c r="B395" s="5" t="str">
        <f>IFERROR(__xludf.DUMMYFUNCTION("""COMPUTED_VALUE"""),"ECUADOR")</f>
        <v>ECUADOR</v>
      </c>
      <c r="C395" s="5" t="str">
        <f>IFERROR(__xludf.DUMMYFUNCTION("""COMPUTED_VALUE"""),"NORMAL")</f>
        <v>NORMAL</v>
      </c>
      <c r="D395" s="5" t="str">
        <f>IFERROR(__xludf.DUMMYFUNCTION("""COMPUTED_VALUE"""),"PERVIS ESTUPIÑAN")</f>
        <v>PERVIS ESTUPIÑAN</v>
      </c>
      <c r="E395" s="5">
        <f>IFERROR(__xludf.DUMMYFUNCTION("""COMPUTED_VALUE"""),0.0)</f>
        <v>0</v>
      </c>
      <c r="F395" s="5">
        <f>IFERROR(__xludf.DUMMYFUNCTION("""COMPUTED_VALUE"""),0.0)</f>
        <v>0</v>
      </c>
    </row>
    <row r="396">
      <c r="A396" s="5" t="str">
        <f>IFERROR(__xludf.DUMMYFUNCTION("""COMPUTED_VALUE"""),"ECU06")</f>
        <v>ECU06</v>
      </c>
      <c r="B396" s="5" t="str">
        <f>IFERROR(__xludf.DUMMYFUNCTION("""COMPUTED_VALUE"""),"ECUADOR")</f>
        <v>ECUADOR</v>
      </c>
      <c r="C396" s="5" t="str">
        <f>IFERROR(__xludf.DUMMYFUNCTION("""COMPUTED_VALUE"""),"NORMAL")</f>
        <v>NORMAL</v>
      </c>
      <c r="D396" s="5" t="str">
        <f>IFERROR(__xludf.DUMMYFUNCTION("""COMPUTED_VALUE"""),"WILLIAN PACHO")</f>
        <v>WILLIAN PACHO</v>
      </c>
      <c r="E396" s="5">
        <f>IFERROR(__xludf.DUMMYFUNCTION("""COMPUTED_VALUE"""),0.0)</f>
        <v>0</v>
      </c>
      <c r="F396" s="5">
        <f>IFERROR(__xludf.DUMMYFUNCTION("""COMPUTED_VALUE"""),0.0)</f>
        <v>0</v>
      </c>
    </row>
    <row r="397">
      <c r="A397" s="5" t="str">
        <f>IFERROR(__xludf.DUMMYFUNCTION("""COMPUTED_VALUE"""),"ECU07")</f>
        <v>ECU07</v>
      </c>
      <c r="B397" s="5" t="str">
        <f>IFERROR(__xludf.DUMMYFUNCTION("""COMPUTED_VALUE"""),"ECUADOR")</f>
        <v>ECUADOR</v>
      </c>
      <c r="C397" s="5" t="str">
        <f>IFERROR(__xludf.DUMMYFUNCTION("""COMPUTED_VALUE"""),"NORMAL")</f>
        <v>NORMAL</v>
      </c>
      <c r="D397" s="5" t="str">
        <f>IFERROR(__xludf.DUMMYFUNCTION("""COMPUTED_VALUE"""),"ANGELO PRECIADO")</f>
        <v>ANGELO PRECIADO</v>
      </c>
      <c r="E397" s="5">
        <f>IFERROR(__xludf.DUMMYFUNCTION("""COMPUTED_VALUE"""),0.0)</f>
        <v>0</v>
      </c>
      <c r="F397" s="5">
        <f>IFERROR(__xludf.DUMMYFUNCTION("""COMPUTED_VALUE"""),0.0)</f>
        <v>0</v>
      </c>
    </row>
    <row r="398">
      <c r="A398" s="5" t="str">
        <f>IFERROR(__xludf.DUMMYFUNCTION("""COMPUTED_VALUE"""),"ECU08")</f>
        <v>ECU08</v>
      </c>
      <c r="B398" s="5" t="str">
        <f>IFERROR(__xludf.DUMMYFUNCTION("""COMPUTED_VALUE"""),"ECUADOR")</f>
        <v>ECUADOR</v>
      </c>
      <c r="C398" s="5" t="str">
        <f>IFERROR(__xludf.DUMMYFUNCTION("""COMPUTED_VALUE"""),"NORMAL")</f>
        <v>NORMAL</v>
      </c>
      <c r="D398" s="5" t="str">
        <f>IFERROR(__xludf.DUMMYFUNCTION("""COMPUTED_VALUE"""),"JOEL ORDOÑEZ")</f>
        <v>JOEL ORDOÑEZ</v>
      </c>
      <c r="E398" s="5">
        <f>IFERROR(__xludf.DUMMYFUNCTION("""COMPUTED_VALUE"""),0.0)</f>
        <v>0</v>
      </c>
      <c r="F398" s="5">
        <f>IFERROR(__xludf.DUMMYFUNCTION("""COMPUTED_VALUE"""),0.0)</f>
        <v>0</v>
      </c>
    </row>
    <row r="399">
      <c r="A399" s="5" t="str">
        <f>IFERROR(__xludf.DUMMYFUNCTION("""COMPUTED_VALUE"""),"ECU09")</f>
        <v>ECU09</v>
      </c>
      <c r="B399" s="5" t="str">
        <f>IFERROR(__xludf.DUMMYFUNCTION("""COMPUTED_VALUE"""),"ECUADOR")</f>
        <v>ECUADOR</v>
      </c>
      <c r="C399" s="5" t="str">
        <f>IFERROR(__xludf.DUMMYFUNCTION("""COMPUTED_VALUE"""),"NORMAL")</f>
        <v>NORMAL</v>
      </c>
      <c r="D399" s="5" t="str">
        <f>IFERROR(__xludf.DUMMYFUNCTION("""COMPUTED_VALUE"""),"MOISES CAICEDO")</f>
        <v>MOISES CAICEDO</v>
      </c>
      <c r="E399" s="5">
        <f>IFERROR(__xludf.DUMMYFUNCTION("""COMPUTED_VALUE"""),0.0)</f>
        <v>0</v>
      </c>
      <c r="F399" s="5">
        <f>IFERROR(__xludf.DUMMYFUNCTION("""COMPUTED_VALUE"""),0.0)</f>
        <v>0</v>
      </c>
    </row>
    <row r="400">
      <c r="A400" s="5" t="str">
        <f>IFERROR(__xludf.DUMMYFUNCTION("""COMPUTED_VALUE"""),"ECU10")</f>
        <v>ECU10</v>
      </c>
      <c r="B400" s="5" t="str">
        <f>IFERROR(__xludf.DUMMYFUNCTION("""COMPUTED_VALUE"""),"ECUADOR")</f>
        <v>ECUADOR</v>
      </c>
      <c r="C400" s="5" t="str">
        <f>IFERROR(__xludf.DUMMYFUNCTION("""COMPUTED_VALUE"""),"NORMAL")</f>
        <v>NORMAL</v>
      </c>
      <c r="D400" s="5" t="str">
        <f>IFERROR(__xludf.DUMMYFUNCTION("""COMPUTED_VALUE"""),"ALAN FRANCO")</f>
        <v>ALAN FRANCO</v>
      </c>
      <c r="E400" s="5">
        <f>IFERROR(__xludf.DUMMYFUNCTION("""COMPUTED_VALUE"""),0.0)</f>
        <v>0</v>
      </c>
      <c r="F400" s="5">
        <f>IFERROR(__xludf.DUMMYFUNCTION("""COMPUTED_VALUE"""),0.0)</f>
        <v>0</v>
      </c>
    </row>
    <row r="401">
      <c r="A401" s="5" t="str">
        <f>IFERROR(__xludf.DUMMYFUNCTION("""COMPUTED_VALUE"""),"ECU11")</f>
        <v>ECU11</v>
      </c>
      <c r="B401" s="5" t="str">
        <f>IFERROR(__xludf.DUMMYFUNCTION("""COMPUTED_VALUE"""),"ECUADOR")</f>
        <v>ECUADOR</v>
      </c>
      <c r="C401" s="5" t="str">
        <f>IFERROR(__xludf.DUMMYFUNCTION("""COMPUTED_VALUE"""),"NORMAL")</f>
        <v>NORMAL</v>
      </c>
      <c r="D401" s="5" t="str">
        <f>IFERROR(__xludf.DUMMYFUNCTION("""COMPUTED_VALUE"""),"KENDRY PAEZ")</f>
        <v>KENDRY PAEZ</v>
      </c>
      <c r="E401" s="5">
        <f>IFERROR(__xludf.DUMMYFUNCTION("""COMPUTED_VALUE"""),0.0)</f>
        <v>0</v>
      </c>
      <c r="F401" s="5">
        <f>IFERROR(__xludf.DUMMYFUNCTION("""COMPUTED_VALUE"""),0.0)</f>
        <v>0</v>
      </c>
    </row>
    <row r="402">
      <c r="A402" s="5" t="str">
        <f>IFERROR(__xludf.DUMMYFUNCTION("""COMPUTED_VALUE"""),"ECU12")</f>
        <v>ECU12</v>
      </c>
      <c r="B402" s="5" t="str">
        <f>IFERROR(__xludf.DUMMYFUNCTION("""COMPUTED_VALUE"""),"ECUADOR")</f>
        <v>ECUADOR</v>
      </c>
      <c r="C402" s="5" t="str">
        <f>IFERROR(__xludf.DUMMYFUNCTION("""COMPUTED_VALUE"""),"NORMAL")</f>
        <v>NORMAL</v>
      </c>
      <c r="D402" s="5" t="str">
        <f>IFERROR(__xludf.DUMMYFUNCTION("""COMPUTED_VALUE"""),"PEDRO VITE")</f>
        <v>PEDRO VITE</v>
      </c>
      <c r="E402" s="5">
        <f>IFERROR(__xludf.DUMMYFUNCTION("""COMPUTED_VALUE"""),0.0)</f>
        <v>0</v>
      </c>
      <c r="F402" s="5">
        <f>IFERROR(__xludf.DUMMYFUNCTION("""COMPUTED_VALUE"""),0.0)</f>
        <v>0</v>
      </c>
    </row>
    <row r="403">
      <c r="A403" s="5" t="str">
        <f>IFERROR(__xludf.DUMMYFUNCTION("""COMPUTED_VALUE"""),"ECU13")</f>
        <v>ECU13</v>
      </c>
      <c r="B403" s="5" t="str">
        <f>IFERROR(__xludf.DUMMYFUNCTION("""COMPUTED_VALUE"""),"ECUADOR")</f>
        <v>ECUADOR</v>
      </c>
      <c r="C403" s="5" t="str">
        <f>IFERROR(__xludf.DUMMYFUNCTION("""COMPUTED_VALUE"""),"TEAM")</f>
        <v>TEAM</v>
      </c>
      <c r="D403" s="5" t="str">
        <f>IFERROR(__xludf.DUMMYFUNCTION("""COMPUTED_VALUE"""),"ECUADOR NATIONAL TEAM")</f>
        <v>ECUADOR NATIONAL TEAM</v>
      </c>
      <c r="E403" s="5">
        <f>IFERROR(__xludf.DUMMYFUNCTION("""COMPUTED_VALUE"""),0.0)</f>
        <v>0</v>
      </c>
      <c r="F403" s="5">
        <f>IFERROR(__xludf.DUMMYFUNCTION("""COMPUTED_VALUE"""),0.0)</f>
        <v>0</v>
      </c>
    </row>
    <row r="404">
      <c r="A404" s="5" t="str">
        <f>IFERROR(__xludf.DUMMYFUNCTION("""COMPUTED_VALUE"""),"ECU14")</f>
        <v>ECU14</v>
      </c>
      <c r="B404" s="5" t="str">
        <f>IFERROR(__xludf.DUMMYFUNCTION("""COMPUTED_VALUE"""),"ECUADOR")</f>
        <v>ECUADOR</v>
      </c>
      <c r="C404" s="5" t="str">
        <f>IFERROR(__xludf.DUMMYFUNCTION("""COMPUTED_VALUE"""),"NORMAL")</f>
        <v>NORMAL</v>
      </c>
      <c r="D404" s="5" t="str">
        <f>IFERROR(__xludf.DUMMYFUNCTION("""COMPUTED_VALUE"""),"JOHN YEBOAH")</f>
        <v>JOHN YEBOAH</v>
      </c>
      <c r="E404" s="5">
        <f>IFERROR(__xludf.DUMMYFUNCTION("""COMPUTED_VALUE"""),0.0)</f>
        <v>0</v>
      </c>
      <c r="F404" s="5">
        <f>IFERROR(__xludf.DUMMYFUNCTION("""COMPUTED_VALUE"""),0.0)</f>
        <v>0</v>
      </c>
    </row>
    <row r="405">
      <c r="A405" s="5" t="str">
        <f>IFERROR(__xludf.DUMMYFUNCTION("""COMPUTED_VALUE"""),"ECU15")</f>
        <v>ECU15</v>
      </c>
      <c r="B405" s="5" t="str">
        <f>IFERROR(__xludf.DUMMYFUNCTION("""COMPUTED_VALUE"""),"ECUADOR")</f>
        <v>ECUADOR</v>
      </c>
      <c r="C405" s="5" t="str">
        <f>IFERROR(__xludf.DUMMYFUNCTION("""COMPUTED_VALUE"""),"NORMAL")</f>
        <v>NORMAL</v>
      </c>
      <c r="D405" s="5" t="str">
        <f>IFERROR(__xludf.DUMMYFUNCTION("""COMPUTED_VALUE"""),"LEONARDO CAMPANA")</f>
        <v>LEONARDO CAMPANA</v>
      </c>
      <c r="E405" s="5">
        <f>IFERROR(__xludf.DUMMYFUNCTION("""COMPUTED_VALUE"""),0.0)</f>
        <v>0</v>
      </c>
      <c r="F405" s="5">
        <f>IFERROR(__xludf.DUMMYFUNCTION("""COMPUTED_VALUE"""),0.0)</f>
        <v>0</v>
      </c>
    </row>
    <row r="406">
      <c r="A406" s="5" t="str">
        <f>IFERROR(__xludf.DUMMYFUNCTION("""COMPUTED_VALUE"""),"ECU16")</f>
        <v>ECU16</v>
      </c>
      <c r="B406" s="5" t="str">
        <f>IFERROR(__xludf.DUMMYFUNCTION("""COMPUTED_VALUE"""),"ECUADOR")</f>
        <v>ECUADOR</v>
      </c>
      <c r="C406" s="5" t="str">
        <f>IFERROR(__xludf.DUMMYFUNCTION("""COMPUTED_VALUE"""),"NORMAL")</f>
        <v>NORMAL</v>
      </c>
      <c r="D406" s="5" t="str">
        <f>IFERROR(__xludf.DUMMYFUNCTION("""COMPUTED_VALUE"""),"GONZALO PLATA")</f>
        <v>GONZALO PLATA</v>
      </c>
      <c r="E406" s="5">
        <f>IFERROR(__xludf.DUMMYFUNCTION("""COMPUTED_VALUE"""),0.0)</f>
        <v>0</v>
      </c>
      <c r="F406" s="5">
        <f>IFERROR(__xludf.DUMMYFUNCTION("""COMPUTED_VALUE"""),0.0)</f>
        <v>0</v>
      </c>
    </row>
    <row r="407">
      <c r="A407" s="5" t="str">
        <f>IFERROR(__xludf.DUMMYFUNCTION("""COMPUTED_VALUE"""),"ECU17")</f>
        <v>ECU17</v>
      </c>
      <c r="B407" s="5" t="str">
        <f>IFERROR(__xludf.DUMMYFUNCTION("""COMPUTED_VALUE"""),"ECUADOR")</f>
        <v>ECUADOR</v>
      </c>
      <c r="C407" s="5" t="str">
        <f>IFERROR(__xludf.DUMMYFUNCTION("""COMPUTED_VALUE"""),"NORMAL")</f>
        <v>NORMAL</v>
      </c>
      <c r="D407" s="5" t="str">
        <f>IFERROR(__xludf.DUMMYFUNCTION("""COMPUTED_VALUE"""),"NILSON ANGULO")</f>
        <v>NILSON ANGULO</v>
      </c>
      <c r="E407" s="5">
        <f>IFERROR(__xludf.DUMMYFUNCTION("""COMPUTED_VALUE"""),0.0)</f>
        <v>0</v>
      </c>
      <c r="F407" s="5">
        <f>IFERROR(__xludf.DUMMYFUNCTION("""COMPUTED_VALUE"""),0.0)</f>
        <v>0</v>
      </c>
    </row>
    <row r="408">
      <c r="A408" s="5" t="str">
        <f>IFERROR(__xludf.DUMMYFUNCTION("""COMPUTED_VALUE"""),"ECU18")</f>
        <v>ECU18</v>
      </c>
      <c r="B408" s="5" t="str">
        <f>IFERROR(__xludf.DUMMYFUNCTION("""COMPUTED_VALUE"""),"ECUADOR")</f>
        <v>ECUADOR</v>
      </c>
      <c r="C408" s="5" t="str">
        <f>IFERROR(__xludf.DUMMYFUNCTION("""COMPUTED_VALUE"""),"NORMAL")</f>
        <v>NORMAL</v>
      </c>
      <c r="D408" s="5" t="str">
        <f>IFERROR(__xludf.DUMMYFUNCTION("""COMPUTED_VALUE"""),"ALAN MINDA")</f>
        <v>ALAN MINDA</v>
      </c>
      <c r="E408" s="5">
        <f>IFERROR(__xludf.DUMMYFUNCTION("""COMPUTED_VALUE"""),0.0)</f>
        <v>0</v>
      </c>
      <c r="F408" s="5">
        <f>IFERROR(__xludf.DUMMYFUNCTION("""COMPUTED_VALUE"""),0.0)</f>
        <v>0</v>
      </c>
    </row>
    <row r="409">
      <c r="A409" s="5" t="str">
        <f>IFERROR(__xludf.DUMMYFUNCTION("""COMPUTED_VALUE"""),"ECU19")</f>
        <v>ECU19</v>
      </c>
      <c r="B409" s="5" t="str">
        <f>IFERROR(__xludf.DUMMYFUNCTION("""COMPUTED_VALUE"""),"ECUADOR")</f>
        <v>ECUADOR</v>
      </c>
      <c r="C409" s="5" t="str">
        <f>IFERROR(__xludf.DUMMYFUNCTION("""COMPUTED_VALUE"""),"NORMAL")</f>
        <v>NORMAL</v>
      </c>
      <c r="D409" s="5" t="str">
        <f>IFERROR(__xludf.DUMMYFUNCTION("""COMPUTED_VALUE"""),"KEVIN RODRIGUEZ")</f>
        <v>KEVIN RODRIGUEZ</v>
      </c>
      <c r="E409" s="5">
        <f>IFERROR(__xludf.DUMMYFUNCTION("""COMPUTED_VALUE"""),0.0)</f>
        <v>0</v>
      </c>
      <c r="F409" s="5">
        <f>IFERROR(__xludf.DUMMYFUNCTION("""COMPUTED_VALUE"""),0.0)</f>
        <v>0</v>
      </c>
    </row>
    <row r="410">
      <c r="A410" s="5" t="str">
        <f>IFERROR(__xludf.DUMMYFUNCTION("""COMPUTED_VALUE"""),"ECU20")</f>
        <v>ECU20</v>
      </c>
      <c r="B410" s="5" t="str">
        <f>IFERROR(__xludf.DUMMYFUNCTION("""COMPUTED_VALUE"""),"ECUADOR")</f>
        <v>ECUADOR</v>
      </c>
      <c r="C410" s="5" t="str">
        <f>IFERROR(__xludf.DUMMYFUNCTION("""COMPUTED_VALUE"""),"NORMAL")</f>
        <v>NORMAL</v>
      </c>
      <c r="D410" s="5" t="str">
        <f>IFERROR(__xludf.DUMMYFUNCTION("""COMPUTED_VALUE"""),"ENNER VALENCIA")</f>
        <v>ENNER VALENCIA</v>
      </c>
      <c r="E410" s="5">
        <f>IFERROR(__xludf.DUMMYFUNCTION("""COMPUTED_VALUE"""),0.0)</f>
        <v>0</v>
      </c>
      <c r="F410" s="5">
        <f>IFERROR(__xludf.DUMMYFUNCTION("""COMPUTED_VALUE"""),0.0)</f>
        <v>0</v>
      </c>
    </row>
    <row r="411">
      <c r="A411" s="5" t="str">
        <f>IFERROR(__xludf.DUMMYFUNCTION("""COMPUTED_VALUE"""),"NED01")</f>
        <v>NED01</v>
      </c>
      <c r="B411" s="5" t="str">
        <f>IFERROR(__xludf.DUMMYFUNCTION("""COMPUTED_VALUE"""),"NETHERLANDS")</f>
        <v>NETHERLANDS</v>
      </c>
      <c r="C411" s="5" t="str">
        <f>IFERROR(__xludf.DUMMYFUNCTION("""COMPUTED_VALUE"""),"BADGE")</f>
        <v>BADGE</v>
      </c>
      <c r="D411" s="5" t="str">
        <f>IFERROR(__xludf.DUMMYFUNCTION("""COMPUTED_VALUE"""),"NETHERLANDS NATIONAL TEAM")</f>
        <v>NETHERLANDS NATIONAL TEAM</v>
      </c>
      <c r="E411" s="5">
        <f>IFERROR(__xludf.DUMMYFUNCTION("""COMPUTED_VALUE"""),0.0)</f>
        <v>0</v>
      </c>
      <c r="F411" s="5">
        <f>IFERROR(__xludf.DUMMYFUNCTION("""COMPUTED_VALUE"""),0.0)</f>
        <v>0</v>
      </c>
    </row>
    <row r="412">
      <c r="A412" s="5" t="str">
        <f>IFERROR(__xludf.DUMMYFUNCTION("""COMPUTED_VALUE"""),"NED02")</f>
        <v>NED02</v>
      </c>
      <c r="B412" s="5" t="str">
        <f>IFERROR(__xludf.DUMMYFUNCTION("""COMPUTED_VALUE"""),"NETHERLANDS")</f>
        <v>NETHERLANDS</v>
      </c>
      <c r="C412" s="5" t="str">
        <f>IFERROR(__xludf.DUMMYFUNCTION("""COMPUTED_VALUE"""),"NORMAL")</f>
        <v>NORMAL</v>
      </c>
      <c r="D412" s="5" t="str">
        <f>IFERROR(__xludf.DUMMYFUNCTION("""COMPUTED_VALUE"""),"BART VERBRUGGEN")</f>
        <v>BART VERBRUGGEN</v>
      </c>
      <c r="E412" s="5">
        <f>IFERROR(__xludf.DUMMYFUNCTION("""COMPUTED_VALUE"""),0.0)</f>
        <v>0</v>
      </c>
      <c r="F412" s="5">
        <f>IFERROR(__xludf.DUMMYFUNCTION("""COMPUTED_VALUE"""),0.0)</f>
        <v>0</v>
      </c>
    </row>
    <row r="413">
      <c r="A413" s="5" t="str">
        <f>IFERROR(__xludf.DUMMYFUNCTION("""COMPUTED_VALUE"""),"NED03")</f>
        <v>NED03</v>
      </c>
      <c r="B413" s="5" t="str">
        <f>IFERROR(__xludf.DUMMYFUNCTION("""COMPUTED_VALUE"""),"NETHERLANDS")</f>
        <v>NETHERLANDS</v>
      </c>
      <c r="C413" s="5" t="str">
        <f>IFERROR(__xludf.DUMMYFUNCTION("""COMPUTED_VALUE"""),"NORMAL")</f>
        <v>NORMAL</v>
      </c>
      <c r="D413" s="5" t="str">
        <f>IFERROR(__xludf.DUMMYFUNCTION("""COMPUTED_VALUE"""),"VIRGIL VAN DIJK")</f>
        <v>VIRGIL VAN DIJK</v>
      </c>
      <c r="E413" s="5">
        <f>IFERROR(__xludf.DUMMYFUNCTION("""COMPUTED_VALUE"""),0.0)</f>
        <v>0</v>
      </c>
      <c r="F413" s="5">
        <f>IFERROR(__xludf.DUMMYFUNCTION("""COMPUTED_VALUE"""),0.0)</f>
        <v>0</v>
      </c>
    </row>
    <row r="414">
      <c r="A414" s="5" t="str">
        <f>IFERROR(__xludf.DUMMYFUNCTION("""COMPUTED_VALUE"""),"NED04")</f>
        <v>NED04</v>
      </c>
      <c r="B414" s="5" t="str">
        <f>IFERROR(__xludf.DUMMYFUNCTION("""COMPUTED_VALUE"""),"NETHERLANDS")</f>
        <v>NETHERLANDS</v>
      </c>
      <c r="C414" s="5" t="str">
        <f>IFERROR(__xludf.DUMMYFUNCTION("""COMPUTED_VALUE"""),"NORMAL")</f>
        <v>NORMAL</v>
      </c>
      <c r="D414" s="5" t="str">
        <f>IFERROR(__xludf.DUMMYFUNCTION("""COMPUTED_VALUE"""),"MICKY VAN DE VEN")</f>
        <v>MICKY VAN DE VEN</v>
      </c>
      <c r="E414" s="5">
        <f>IFERROR(__xludf.DUMMYFUNCTION("""COMPUTED_VALUE"""),0.0)</f>
        <v>0</v>
      </c>
      <c r="F414" s="5">
        <f>IFERROR(__xludf.DUMMYFUNCTION("""COMPUTED_VALUE"""),0.0)</f>
        <v>0</v>
      </c>
    </row>
    <row r="415">
      <c r="A415" s="5" t="str">
        <f>IFERROR(__xludf.DUMMYFUNCTION("""COMPUTED_VALUE"""),"NED05")</f>
        <v>NED05</v>
      </c>
      <c r="B415" s="5" t="str">
        <f>IFERROR(__xludf.DUMMYFUNCTION("""COMPUTED_VALUE"""),"NETHERLANDS")</f>
        <v>NETHERLANDS</v>
      </c>
      <c r="C415" s="5" t="str">
        <f>IFERROR(__xludf.DUMMYFUNCTION("""COMPUTED_VALUE"""),"NORMAL")</f>
        <v>NORMAL</v>
      </c>
      <c r="D415" s="5" t="str">
        <f>IFERROR(__xludf.DUMMYFUNCTION("""COMPUTED_VALUE"""),"JURRIEN TIMBER")</f>
        <v>JURRIEN TIMBER</v>
      </c>
      <c r="E415" s="5">
        <f>IFERROR(__xludf.DUMMYFUNCTION("""COMPUTED_VALUE"""),0.0)</f>
        <v>0</v>
      </c>
      <c r="F415" s="5">
        <f>IFERROR(__xludf.DUMMYFUNCTION("""COMPUTED_VALUE"""),0.0)</f>
        <v>0</v>
      </c>
    </row>
    <row r="416">
      <c r="A416" s="5" t="str">
        <f>IFERROR(__xludf.DUMMYFUNCTION("""COMPUTED_VALUE"""),"NED06")</f>
        <v>NED06</v>
      </c>
      <c r="B416" s="5" t="str">
        <f>IFERROR(__xludf.DUMMYFUNCTION("""COMPUTED_VALUE"""),"NETHERLANDS")</f>
        <v>NETHERLANDS</v>
      </c>
      <c r="C416" s="5" t="str">
        <f>IFERROR(__xludf.DUMMYFUNCTION("""COMPUTED_VALUE"""),"NORMAL")</f>
        <v>NORMAL</v>
      </c>
      <c r="D416" s="5" t="str">
        <f>IFERROR(__xludf.DUMMYFUNCTION("""COMPUTED_VALUE"""),"DENZEL DUMFRIES")</f>
        <v>DENZEL DUMFRIES</v>
      </c>
      <c r="E416" s="5">
        <f>IFERROR(__xludf.DUMMYFUNCTION("""COMPUTED_VALUE"""),0.0)</f>
        <v>0</v>
      </c>
      <c r="F416" s="5">
        <f>IFERROR(__xludf.DUMMYFUNCTION("""COMPUTED_VALUE"""),0.0)</f>
        <v>0</v>
      </c>
    </row>
    <row r="417">
      <c r="A417" s="5" t="str">
        <f>IFERROR(__xludf.DUMMYFUNCTION("""COMPUTED_VALUE"""),"NED07")</f>
        <v>NED07</v>
      </c>
      <c r="B417" s="5" t="str">
        <f>IFERROR(__xludf.DUMMYFUNCTION("""COMPUTED_VALUE"""),"NETHERLANDS")</f>
        <v>NETHERLANDS</v>
      </c>
      <c r="C417" s="5" t="str">
        <f>IFERROR(__xludf.DUMMYFUNCTION("""COMPUTED_VALUE"""),"NORMAL")</f>
        <v>NORMAL</v>
      </c>
      <c r="D417" s="5" t="str">
        <f>IFERROR(__xludf.DUMMYFUNCTION("""COMPUTED_VALUE"""),"NATHAN AKE")</f>
        <v>NATHAN AKE</v>
      </c>
      <c r="E417" s="5">
        <f>IFERROR(__xludf.DUMMYFUNCTION("""COMPUTED_VALUE"""),0.0)</f>
        <v>0</v>
      </c>
      <c r="F417" s="5">
        <f>IFERROR(__xludf.DUMMYFUNCTION("""COMPUTED_VALUE"""),0.0)</f>
        <v>0</v>
      </c>
    </row>
    <row r="418">
      <c r="A418" s="5" t="str">
        <f>IFERROR(__xludf.DUMMYFUNCTION("""COMPUTED_VALUE"""),"NED08")</f>
        <v>NED08</v>
      </c>
      <c r="B418" s="5" t="str">
        <f>IFERROR(__xludf.DUMMYFUNCTION("""COMPUTED_VALUE"""),"NETHERLANDS")</f>
        <v>NETHERLANDS</v>
      </c>
      <c r="C418" s="5" t="str">
        <f>IFERROR(__xludf.DUMMYFUNCTION("""COMPUTED_VALUE"""),"NORMAL")</f>
        <v>NORMAL</v>
      </c>
      <c r="D418" s="5" t="str">
        <f>IFERROR(__xludf.DUMMYFUNCTION("""COMPUTED_VALUE"""),"JAREMIE FRIMPONG")</f>
        <v>JAREMIE FRIMPONG</v>
      </c>
      <c r="E418" s="5">
        <f>IFERROR(__xludf.DUMMYFUNCTION("""COMPUTED_VALUE"""),0.0)</f>
        <v>0</v>
      </c>
      <c r="F418" s="5">
        <f>IFERROR(__xludf.DUMMYFUNCTION("""COMPUTED_VALUE"""),0.0)</f>
        <v>0</v>
      </c>
    </row>
    <row r="419">
      <c r="A419" s="5" t="str">
        <f>IFERROR(__xludf.DUMMYFUNCTION("""COMPUTED_VALUE"""),"NED09")</f>
        <v>NED09</v>
      </c>
      <c r="B419" s="5" t="str">
        <f>IFERROR(__xludf.DUMMYFUNCTION("""COMPUTED_VALUE"""),"NETHERLANDS")</f>
        <v>NETHERLANDS</v>
      </c>
      <c r="C419" s="5" t="str">
        <f>IFERROR(__xludf.DUMMYFUNCTION("""COMPUTED_VALUE"""),"NORMAL")</f>
        <v>NORMAL</v>
      </c>
      <c r="D419" s="5" t="str">
        <f>IFERROR(__xludf.DUMMYFUNCTION("""COMPUTED_VALUE"""),"JAN PAUL VAN HECKE")</f>
        <v>JAN PAUL VAN HECKE</v>
      </c>
      <c r="E419" s="5">
        <f>IFERROR(__xludf.DUMMYFUNCTION("""COMPUTED_VALUE"""),0.0)</f>
        <v>0</v>
      </c>
      <c r="F419" s="5">
        <f>IFERROR(__xludf.DUMMYFUNCTION("""COMPUTED_VALUE"""),0.0)</f>
        <v>0</v>
      </c>
    </row>
    <row r="420">
      <c r="A420" s="5" t="str">
        <f>IFERROR(__xludf.DUMMYFUNCTION("""COMPUTED_VALUE"""),"NED10")</f>
        <v>NED10</v>
      </c>
      <c r="B420" s="5" t="str">
        <f>IFERROR(__xludf.DUMMYFUNCTION("""COMPUTED_VALUE"""),"NETHERLANDS")</f>
        <v>NETHERLANDS</v>
      </c>
      <c r="C420" s="5" t="str">
        <f>IFERROR(__xludf.DUMMYFUNCTION("""COMPUTED_VALUE"""),"NORMAL")</f>
        <v>NORMAL</v>
      </c>
      <c r="D420" s="5" t="str">
        <f>IFERROR(__xludf.DUMMYFUNCTION("""COMPUTED_VALUE"""),"TIJJANI REIJNDERS")</f>
        <v>TIJJANI REIJNDERS</v>
      </c>
      <c r="E420" s="5">
        <f>IFERROR(__xludf.DUMMYFUNCTION("""COMPUTED_VALUE"""),0.0)</f>
        <v>0</v>
      </c>
      <c r="F420" s="5">
        <f>IFERROR(__xludf.DUMMYFUNCTION("""COMPUTED_VALUE"""),0.0)</f>
        <v>0</v>
      </c>
    </row>
    <row r="421">
      <c r="A421" s="5" t="str">
        <f>IFERROR(__xludf.DUMMYFUNCTION("""COMPUTED_VALUE"""),"NED11")</f>
        <v>NED11</v>
      </c>
      <c r="B421" s="5" t="str">
        <f>IFERROR(__xludf.DUMMYFUNCTION("""COMPUTED_VALUE"""),"NETHERLANDS")</f>
        <v>NETHERLANDS</v>
      </c>
      <c r="C421" s="5" t="str">
        <f>IFERROR(__xludf.DUMMYFUNCTION("""COMPUTED_VALUE"""),"NORMAL")</f>
        <v>NORMAL</v>
      </c>
      <c r="D421" s="5" t="str">
        <f>IFERROR(__xludf.DUMMYFUNCTION("""COMPUTED_VALUE"""),"RYAN GRAVENBERCH")</f>
        <v>RYAN GRAVENBERCH</v>
      </c>
      <c r="E421" s="5">
        <f>IFERROR(__xludf.DUMMYFUNCTION("""COMPUTED_VALUE"""),0.0)</f>
        <v>0</v>
      </c>
      <c r="F421" s="5">
        <f>IFERROR(__xludf.DUMMYFUNCTION("""COMPUTED_VALUE"""),0.0)</f>
        <v>0</v>
      </c>
    </row>
    <row r="422">
      <c r="A422" s="5" t="str">
        <f>IFERROR(__xludf.DUMMYFUNCTION("""COMPUTED_VALUE"""),"NED12")</f>
        <v>NED12</v>
      </c>
      <c r="B422" s="5" t="str">
        <f>IFERROR(__xludf.DUMMYFUNCTION("""COMPUTED_VALUE"""),"NETHERLANDS")</f>
        <v>NETHERLANDS</v>
      </c>
      <c r="C422" s="5" t="str">
        <f>IFERROR(__xludf.DUMMYFUNCTION("""COMPUTED_VALUE"""),"NORMAL")</f>
        <v>NORMAL</v>
      </c>
      <c r="D422" s="5" t="str">
        <f>IFERROR(__xludf.DUMMYFUNCTION("""COMPUTED_VALUE"""),"TEUN KOOPMEINERS")</f>
        <v>TEUN KOOPMEINERS</v>
      </c>
      <c r="E422" s="5">
        <f>IFERROR(__xludf.DUMMYFUNCTION("""COMPUTED_VALUE"""),0.0)</f>
        <v>0</v>
      </c>
      <c r="F422" s="5">
        <f>IFERROR(__xludf.DUMMYFUNCTION("""COMPUTED_VALUE"""),0.0)</f>
        <v>0</v>
      </c>
    </row>
    <row r="423">
      <c r="A423" s="5" t="str">
        <f>IFERROR(__xludf.DUMMYFUNCTION("""COMPUTED_VALUE"""),"NED13")</f>
        <v>NED13</v>
      </c>
      <c r="B423" s="5" t="str">
        <f>IFERROR(__xludf.DUMMYFUNCTION("""COMPUTED_VALUE"""),"NETHERLANDS")</f>
        <v>NETHERLANDS</v>
      </c>
      <c r="C423" s="5" t="str">
        <f>IFERROR(__xludf.DUMMYFUNCTION("""COMPUTED_VALUE"""),"TEAM")</f>
        <v>TEAM</v>
      </c>
      <c r="D423" s="5" t="str">
        <f>IFERROR(__xludf.DUMMYFUNCTION("""COMPUTED_VALUE"""),"NETHERLANDS NATIONAL TEAM")</f>
        <v>NETHERLANDS NATIONAL TEAM</v>
      </c>
      <c r="E423" s="5">
        <f>IFERROR(__xludf.DUMMYFUNCTION("""COMPUTED_VALUE"""),0.0)</f>
        <v>0</v>
      </c>
      <c r="F423" s="5">
        <f>IFERROR(__xludf.DUMMYFUNCTION("""COMPUTED_VALUE"""),0.0)</f>
        <v>0</v>
      </c>
    </row>
    <row r="424">
      <c r="A424" s="5" t="str">
        <f>IFERROR(__xludf.DUMMYFUNCTION("""COMPUTED_VALUE"""),"NED14")</f>
        <v>NED14</v>
      </c>
      <c r="B424" s="5" t="str">
        <f>IFERROR(__xludf.DUMMYFUNCTION("""COMPUTED_VALUE"""),"NETHERLANDS")</f>
        <v>NETHERLANDS</v>
      </c>
      <c r="C424" s="5" t="str">
        <f>IFERROR(__xludf.DUMMYFUNCTION("""COMPUTED_VALUE"""),"NORMAL")</f>
        <v>NORMAL</v>
      </c>
      <c r="D424" s="5" t="str">
        <f>IFERROR(__xludf.DUMMYFUNCTION("""COMPUTED_VALUE"""),"FRENKIE DE JONG")</f>
        <v>FRENKIE DE JONG</v>
      </c>
      <c r="E424" s="5">
        <f>IFERROR(__xludf.DUMMYFUNCTION("""COMPUTED_VALUE"""),0.0)</f>
        <v>0</v>
      </c>
      <c r="F424" s="5">
        <f>IFERROR(__xludf.DUMMYFUNCTION("""COMPUTED_VALUE"""),0.0)</f>
        <v>0</v>
      </c>
    </row>
    <row r="425">
      <c r="A425" s="5" t="str">
        <f>IFERROR(__xludf.DUMMYFUNCTION("""COMPUTED_VALUE"""),"NED15")</f>
        <v>NED15</v>
      </c>
      <c r="B425" s="5" t="str">
        <f>IFERROR(__xludf.DUMMYFUNCTION("""COMPUTED_VALUE"""),"NETHERLANDS")</f>
        <v>NETHERLANDS</v>
      </c>
      <c r="C425" s="5" t="str">
        <f>IFERROR(__xludf.DUMMYFUNCTION("""COMPUTED_VALUE"""),"NORMAL")</f>
        <v>NORMAL</v>
      </c>
      <c r="D425" s="5" t="str">
        <f>IFERROR(__xludf.DUMMYFUNCTION("""COMPUTED_VALUE"""),"XAVI SIMMONS")</f>
        <v>XAVI SIMMONS</v>
      </c>
      <c r="E425" s="5">
        <f>IFERROR(__xludf.DUMMYFUNCTION("""COMPUTED_VALUE"""),0.0)</f>
        <v>0</v>
      </c>
      <c r="F425" s="5">
        <f>IFERROR(__xludf.DUMMYFUNCTION("""COMPUTED_VALUE"""),0.0)</f>
        <v>0</v>
      </c>
    </row>
    <row r="426">
      <c r="A426" s="5" t="str">
        <f>IFERROR(__xludf.DUMMYFUNCTION("""COMPUTED_VALUE"""),"NED16")</f>
        <v>NED16</v>
      </c>
      <c r="B426" s="5" t="str">
        <f>IFERROR(__xludf.DUMMYFUNCTION("""COMPUTED_VALUE"""),"NETHERLANDS")</f>
        <v>NETHERLANDS</v>
      </c>
      <c r="C426" s="5" t="str">
        <f>IFERROR(__xludf.DUMMYFUNCTION("""COMPUTED_VALUE"""),"NORMAL")</f>
        <v>NORMAL</v>
      </c>
      <c r="D426" s="5" t="str">
        <f>IFERROR(__xludf.DUMMYFUNCTION("""COMPUTED_VALUE"""),"JUSTIN KLUIVERT")</f>
        <v>JUSTIN KLUIVERT</v>
      </c>
      <c r="E426" s="5">
        <f>IFERROR(__xludf.DUMMYFUNCTION("""COMPUTED_VALUE"""),0.0)</f>
        <v>0</v>
      </c>
      <c r="F426" s="5">
        <f>IFERROR(__xludf.DUMMYFUNCTION("""COMPUTED_VALUE"""),0.0)</f>
        <v>0</v>
      </c>
    </row>
    <row r="427">
      <c r="A427" s="5" t="str">
        <f>IFERROR(__xludf.DUMMYFUNCTION("""COMPUTED_VALUE"""),"NED17")</f>
        <v>NED17</v>
      </c>
      <c r="B427" s="5" t="str">
        <f>IFERROR(__xludf.DUMMYFUNCTION("""COMPUTED_VALUE"""),"NETHERLANDS")</f>
        <v>NETHERLANDS</v>
      </c>
      <c r="C427" s="5" t="str">
        <f>IFERROR(__xludf.DUMMYFUNCTION("""COMPUTED_VALUE"""),"NORMAL")</f>
        <v>NORMAL</v>
      </c>
      <c r="D427" s="5" t="str">
        <f>IFERROR(__xludf.DUMMYFUNCTION("""COMPUTED_VALUE"""),"MEMPHIS DEPAY")</f>
        <v>MEMPHIS DEPAY</v>
      </c>
      <c r="E427" s="5">
        <f>IFERROR(__xludf.DUMMYFUNCTION("""COMPUTED_VALUE"""),0.0)</f>
        <v>0</v>
      </c>
      <c r="F427" s="5">
        <f>IFERROR(__xludf.DUMMYFUNCTION("""COMPUTED_VALUE"""),0.0)</f>
        <v>0</v>
      </c>
    </row>
    <row r="428">
      <c r="A428" s="5" t="str">
        <f>IFERROR(__xludf.DUMMYFUNCTION("""COMPUTED_VALUE"""),"NED18")</f>
        <v>NED18</v>
      </c>
      <c r="B428" s="5" t="str">
        <f>IFERROR(__xludf.DUMMYFUNCTION("""COMPUTED_VALUE"""),"NETHERLANDS")</f>
        <v>NETHERLANDS</v>
      </c>
      <c r="C428" s="5" t="str">
        <f>IFERROR(__xludf.DUMMYFUNCTION("""COMPUTED_VALUE"""),"NORMAL")</f>
        <v>NORMAL</v>
      </c>
      <c r="D428" s="5" t="str">
        <f>IFERROR(__xludf.DUMMYFUNCTION("""COMPUTED_VALUE"""),"DONYELL MALEN")</f>
        <v>DONYELL MALEN</v>
      </c>
      <c r="E428" s="5">
        <f>IFERROR(__xludf.DUMMYFUNCTION("""COMPUTED_VALUE"""),0.0)</f>
        <v>0</v>
      </c>
      <c r="F428" s="5">
        <f>IFERROR(__xludf.DUMMYFUNCTION("""COMPUTED_VALUE"""),0.0)</f>
        <v>0</v>
      </c>
    </row>
    <row r="429">
      <c r="A429" s="5" t="str">
        <f>IFERROR(__xludf.DUMMYFUNCTION("""COMPUTED_VALUE"""),"NED19")</f>
        <v>NED19</v>
      </c>
      <c r="B429" s="5" t="str">
        <f>IFERROR(__xludf.DUMMYFUNCTION("""COMPUTED_VALUE"""),"NETHERLANDS")</f>
        <v>NETHERLANDS</v>
      </c>
      <c r="C429" s="5" t="str">
        <f>IFERROR(__xludf.DUMMYFUNCTION("""COMPUTED_VALUE"""),"NORMAL")</f>
        <v>NORMAL</v>
      </c>
      <c r="D429" s="5" t="str">
        <f>IFERROR(__xludf.DUMMYFUNCTION("""COMPUTED_VALUE"""),"WOUT WEGHORST")</f>
        <v>WOUT WEGHORST</v>
      </c>
      <c r="E429" s="5">
        <f>IFERROR(__xludf.DUMMYFUNCTION("""COMPUTED_VALUE"""),0.0)</f>
        <v>0</v>
      </c>
      <c r="F429" s="5">
        <f>IFERROR(__xludf.DUMMYFUNCTION("""COMPUTED_VALUE"""),0.0)</f>
        <v>0</v>
      </c>
    </row>
    <row r="430">
      <c r="A430" s="5" t="str">
        <f>IFERROR(__xludf.DUMMYFUNCTION("""COMPUTED_VALUE"""),"NED20")</f>
        <v>NED20</v>
      </c>
      <c r="B430" s="5" t="str">
        <f>IFERROR(__xludf.DUMMYFUNCTION("""COMPUTED_VALUE"""),"NETHERLANDS")</f>
        <v>NETHERLANDS</v>
      </c>
      <c r="C430" s="5" t="str">
        <f>IFERROR(__xludf.DUMMYFUNCTION("""COMPUTED_VALUE"""),"NORMAL")</f>
        <v>NORMAL</v>
      </c>
      <c r="D430" s="5" t="str">
        <f>IFERROR(__xludf.DUMMYFUNCTION("""COMPUTED_VALUE"""),"CODY GAKPO")</f>
        <v>CODY GAKPO</v>
      </c>
      <c r="E430" s="5">
        <f>IFERROR(__xludf.DUMMYFUNCTION("""COMPUTED_VALUE"""),0.0)</f>
        <v>0</v>
      </c>
      <c r="F430" s="5">
        <f>IFERROR(__xludf.DUMMYFUNCTION("""COMPUTED_VALUE"""),0.0)</f>
        <v>0</v>
      </c>
    </row>
    <row r="431">
      <c r="A431" s="7" t="str">
        <f>IFERROR(__xludf.DUMMYFUNCTION("""COMPUTED_VALUE"""),"JAP01")</f>
        <v>JAP01</v>
      </c>
      <c r="B431" s="5" t="str">
        <f>IFERROR(__xludf.DUMMYFUNCTION("""COMPUTED_VALUE"""),"JAPAN")</f>
        <v>JAPAN</v>
      </c>
      <c r="C431" s="5" t="str">
        <f>IFERROR(__xludf.DUMMYFUNCTION("""COMPUTED_VALUE"""),"BADGE")</f>
        <v>BADGE</v>
      </c>
      <c r="D431" s="5" t="str">
        <f>IFERROR(__xludf.DUMMYFUNCTION("""COMPUTED_VALUE"""),"JAPAN NATIONAL TEAM")</f>
        <v>JAPAN NATIONAL TEAM</v>
      </c>
      <c r="E431" s="5">
        <f>IFERROR(__xludf.DUMMYFUNCTION("""COMPUTED_VALUE"""),0.0)</f>
        <v>0</v>
      </c>
      <c r="F431" s="5">
        <f>IFERROR(__xludf.DUMMYFUNCTION("""COMPUTED_VALUE"""),0.0)</f>
        <v>0</v>
      </c>
    </row>
    <row r="432">
      <c r="A432" s="7" t="str">
        <f>IFERROR(__xludf.DUMMYFUNCTION("""COMPUTED_VALUE"""),"JAP02")</f>
        <v>JAP02</v>
      </c>
      <c r="B432" s="5" t="str">
        <f>IFERROR(__xludf.DUMMYFUNCTION("""COMPUTED_VALUE"""),"JAPAN")</f>
        <v>JAPAN</v>
      </c>
      <c r="C432" s="5" t="str">
        <f>IFERROR(__xludf.DUMMYFUNCTION("""COMPUTED_VALUE"""),"NORMAL")</f>
        <v>NORMAL</v>
      </c>
      <c r="D432" s="5" t="str">
        <f>IFERROR(__xludf.DUMMYFUNCTION("""COMPUTED_VALUE"""),"ZION SUZUKI")</f>
        <v>ZION SUZUKI</v>
      </c>
      <c r="E432" s="5">
        <f>IFERROR(__xludf.DUMMYFUNCTION("""COMPUTED_VALUE"""),0.0)</f>
        <v>0</v>
      </c>
      <c r="F432" s="5">
        <f>IFERROR(__xludf.DUMMYFUNCTION("""COMPUTED_VALUE"""),0.0)</f>
        <v>0</v>
      </c>
    </row>
    <row r="433">
      <c r="A433" s="7" t="str">
        <f>IFERROR(__xludf.DUMMYFUNCTION("""COMPUTED_VALUE"""),"JAP03")</f>
        <v>JAP03</v>
      </c>
      <c r="B433" s="5" t="str">
        <f>IFERROR(__xludf.DUMMYFUNCTION("""COMPUTED_VALUE"""),"JAPAN")</f>
        <v>JAPAN</v>
      </c>
      <c r="C433" s="5" t="str">
        <f>IFERROR(__xludf.DUMMYFUNCTION("""COMPUTED_VALUE"""),"NORMAL")</f>
        <v>NORMAL</v>
      </c>
      <c r="D433" s="5" t="str">
        <f>IFERROR(__xludf.DUMMYFUNCTION("""COMPUTED_VALUE"""),"HENRY HEROKI MOCHIZUKI")</f>
        <v>HENRY HEROKI MOCHIZUKI</v>
      </c>
      <c r="E433" s="5">
        <f>IFERROR(__xludf.DUMMYFUNCTION("""COMPUTED_VALUE"""),0.0)</f>
        <v>0</v>
      </c>
      <c r="F433" s="5">
        <f>IFERROR(__xludf.DUMMYFUNCTION("""COMPUTED_VALUE"""),0.0)</f>
        <v>0</v>
      </c>
    </row>
    <row r="434">
      <c r="A434" s="7" t="str">
        <f>IFERROR(__xludf.DUMMYFUNCTION("""COMPUTED_VALUE"""),"JAP04")</f>
        <v>JAP04</v>
      </c>
      <c r="B434" s="5" t="str">
        <f>IFERROR(__xludf.DUMMYFUNCTION("""COMPUTED_VALUE"""),"JAPAN")</f>
        <v>JAPAN</v>
      </c>
      <c r="C434" s="5" t="str">
        <f>IFERROR(__xludf.DUMMYFUNCTION("""COMPUTED_VALUE"""),"NORMAL")</f>
        <v>NORMAL</v>
      </c>
      <c r="D434" s="5" t="str">
        <f>IFERROR(__xludf.DUMMYFUNCTION("""COMPUTED_VALUE"""),"AYUMU SEKO")</f>
        <v>AYUMU SEKO</v>
      </c>
      <c r="E434" s="5">
        <f>IFERROR(__xludf.DUMMYFUNCTION("""COMPUTED_VALUE"""),0.0)</f>
        <v>0</v>
      </c>
      <c r="F434" s="5">
        <f>IFERROR(__xludf.DUMMYFUNCTION("""COMPUTED_VALUE"""),0.0)</f>
        <v>0</v>
      </c>
    </row>
    <row r="435">
      <c r="A435" s="7" t="str">
        <f>IFERROR(__xludf.DUMMYFUNCTION("""COMPUTED_VALUE"""),"JAP05")</f>
        <v>JAP05</v>
      </c>
      <c r="B435" s="5" t="str">
        <f>IFERROR(__xludf.DUMMYFUNCTION("""COMPUTED_VALUE"""),"JAPAN")</f>
        <v>JAPAN</v>
      </c>
      <c r="C435" s="5" t="str">
        <f>IFERROR(__xludf.DUMMYFUNCTION("""COMPUTED_VALUE"""),"NORMAL")</f>
        <v>NORMAL</v>
      </c>
      <c r="D435" s="5" t="str">
        <f>IFERROR(__xludf.DUMMYFUNCTION("""COMPUTED_VALUE"""),"JUNNOSUKE SUZUKI")</f>
        <v>JUNNOSUKE SUZUKI</v>
      </c>
      <c r="E435" s="5">
        <f>IFERROR(__xludf.DUMMYFUNCTION("""COMPUTED_VALUE"""),0.0)</f>
        <v>0</v>
      </c>
      <c r="F435" s="5">
        <f>IFERROR(__xludf.DUMMYFUNCTION("""COMPUTED_VALUE"""),0.0)</f>
        <v>0</v>
      </c>
    </row>
    <row r="436">
      <c r="A436" s="7" t="str">
        <f>IFERROR(__xludf.DUMMYFUNCTION("""COMPUTED_VALUE"""),"JAP06")</f>
        <v>JAP06</v>
      </c>
      <c r="B436" s="5" t="str">
        <f>IFERROR(__xludf.DUMMYFUNCTION("""COMPUTED_VALUE"""),"JAPAN")</f>
        <v>JAPAN</v>
      </c>
      <c r="C436" s="5" t="str">
        <f>IFERROR(__xludf.DUMMYFUNCTION("""COMPUTED_VALUE"""),"NORMAL")</f>
        <v>NORMAL</v>
      </c>
      <c r="D436" s="5" t="str">
        <f>IFERROR(__xludf.DUMMYFUNCTION("""COMPUTED_VALUE"""),"SHOGO TANIGUCHI")</f>
        <v>SHOGO TANIGUCHI</v>
      </c>
      <c r="E436" s="5">
        <f>IFERROR(__xludf.DUMMYFUNCTION("""COMPUTED_VALUE"""),0.0)</f>
        <v>0</v>
      </c>
      <c r="F436" s="5">
        <f>IFERROR(__xludf.DUMMYFUNCTION("""COMPUTED_VALUE"""),0.0)</f>
        <v>0</v>
      </c>
    </row>
    <row r="437">
      <c r="A437" s="7" t="str">
        <f>IFERROR(__xludf.DUMMYFUNCTION("""COMPUTED_VALUE"""),"JAP07")</f>
        <v>JAP07</v>
      </c>
      <c r="B437" s="5" t="str">
        <f>IFERROR(__xludf.DUMMYFUNCTION("""COMPUTED_VALUE"""),"JAPAN")</f>
        <v>JAPAN</v>
      </c>
      <c r="C437" s="5" t="str">
        <f>IFERROR(__xludf.DUMMYFUNCTION("""COMPUTED_VALUE"""),"NORMAL")</f>
        <v>NORMAL</v>
      </c>
      <c r="D437" s="5" t="str">
        <f>IFERROR(__xludf.DUMMYFUNCTION("""COMPUTED_VALUE"""),"TSUYOSHI WATANABE")</f>
        <v>TSUYOSHI WATANABE</v>
      </c>
      <c r="E437" s="5">
        <f>IFERROR(__xludf.DUMMYFUNCTION("""COMPUTED_VALUE"""),0.0)</f>
        <v>0</v>
      </c>
      <c r="F437" s="5">
        <f>IFERROR(__xludf.DUMMYFUNCTION("""COMPUTED_VALUE"""),0.0)</f>
        <v>0</v>
      </c>
    </row>
    <row r="438">
      <c r="A438" s="7" t="str">
        <f>IFERROR(__xludf.DUMMYFUNCTION("""COMPUTED_VALUE"""),"JAP08")</f>
        <v>JAP08</v>
      </c>
      <c r="B438" s="5" t="str">
        <f>IFERROR(__xludf.DUMMYFUNCTION("""COMPUTED_VALUE"""),"JAPAN")</f>
        <v>JAPAN</v>
      </c>
      <c r="C438" s="5" t="str">
        <f>IFERROR(__xludf.DUMMYFUNCTION("""COMPUTED_VALUE"""),"NORMAL")</f>
        <v>NORMAL</v>
      </c>
      <c r="D438" s="5" t="str">
        <f>IFERROR(__xludf.DUMMYFUNCTION("""COMPUTED_VALUE"""),"KAISHU SANO")</f>
        <v>KAISHU SANO</v>
      </c>
      <c r="E438" s="5">
        <f>IFERROR(__xludf.DUMMYFUNCTION("""COMPUTED_VALUE"""),0.0)</f>
        <v>0</v>
      </c>
      <c r="F438" s="5">
        <f>IFERROR(__xludf.DUMMYFUNCTION("""COMPUTED_VALUE"""),0.0)</f>
        <v>0</v>
      </c>
    </row>
    <row r="439">
      <c r="A439" s="7" t="str">
        <f>IFERROR(__xludf.DUMMYFUNCTION("""COMPUTED_VALUE"""),"JAP09")</f>
        <v>JAP09</v>
      </c>
      <c r="B439" s="5" t="str">
        <f>IFERROR(__xludf.DUMMYFUNCTION("""COMPUTED_VALUE"""),"JAPAN")</f>
        <v>JAPAN</v>
      </c>
      <c r="C439" s="5" t="str">
        <f>IFERROR(__xludf.DUMMYFUNCTION("""COMPUTED_VALUE"""),"NORMAL")</f>
        <v>NORMAL</v>
      </c>
      <c r="D439" s="5" t="str">
        <f>IFERROR(__xludf.DUMMYFUNCTION("""COMPUTED_VALUE"""),"YUKI SOMA")</f>
        <v>YUKI SOMA</v>
      </c>
      <c r="E439" s="5">
        <f>IFERROR(__xludf.DUMMYFUNCTION("""COMPUTED_VALUE"""),0.0)</f>
        <v>0</v>
      </c>
      <c r="F439" s="5">
        <f>IFERROR(__xludf.DUMMYFUNCTION("""COMPUTED_VALUE"""),0.0)</f>
        <v>0</v>
      </c>
    </row>
    <row r="440">
      <c r="A440" s="7" t="str">
        <f>IFERROR(__xludf.DUMMYFUNCTION("""COMPUTED_VALUE"""),"JAP10")</f>
        <v>JAP10</v>
      </c>
      <c r="B440" s="5" t="str">
        <f>IFERROR(__xludf.DUMMYFUNCTION("""COMPUTED_VALUE"""),"JAPAN")</f>
        <v>JAPAN</v>
      </c>
      <c r="C440" s="5" t="str">
        <f>IFERROR(__xludf.DUMMYFUNCTION("""COMPUTED_VALUE"""),"NORMAL")</f>
        <v>NORMAL</v>
      </c>
      <c r="D440" s="5" t="str">
        <f>IFERROR(__xludf.DUMMYFUNCTION("""COMPUTED_VALUE"""),"AO TANAKA")</f>
        <v>AO TANAKA</v>
      </c>
      <c r="E440" s="5">
        <f>IFERROR(__xludf.DUMMYFUNCTION("""COMPUTED_VALUE"""),0.0)</f>
        <v>0</v>
      </c>
      <c r="F440" s="5">
        <f>IFERROR(__xludf.DUMMYFUNCTION("""COMPUTED_VALUE"""),0.0)</f>
        <v>0</v>
      </c>
    </row>
    <row r="441">
      <c r="A441" s="7" t="str">
        <f>IFERROR(__xludf.DUMMYFUNCTION("""COMPUTED_VALUE"""),"JAP11")</f>
        <v>JAP11</v>
      </c>
      <c r="B441" s="5" t="str">
        <f>IFERROR(__xludf.DUMMYFUNCTION("""COMPUTED_VALUE"""),"JAPAN")</f>
        <v>JAPAN</v>
      </c>
      <c r="C441" s="5" t="str">
        <f>IFERROR(__xludf.DUMMYFUNCTION("""COMPUTED_VALUE"""),"NORMAL")</f>
        <v>NORMAL</v>
      </c>
      <c r="D441" s="5" t="str">
        <f>IFERROR(__xludf.DUMMYFUNCTION("""COMPUTED_VALUE"""),"DAICHI KAMADA")</f>
        <v>DAICHI KAMADA</v>
      </c>
      <c r="E441" s="5">
        <f>IFERROR(__xludf.DUMMYFUNCTION("""COMPUTED_VALUE"""),0.0)</f>
        <v>0</v>
      </c>
      <c r="F441" s="5">
        <f>IFERROR(__xludf.DUMMYFUNCTION("""COMPUTED_VALUE"""),0.0)</f>
        <v>0</v>
      </c>
    </row>
    <row r="442">
      <c r="A442" s="7" t="str">
        <f>IFERROR(__xludf.DUMMYFUNCTION("""COMPUTED_VALUE"""),"JAP12")</f>
        <v>JAP12</v>
      </c>
      <c r="B442" s="5" t="str">
        <f>IFERROR(__xludf.DUMMYFUNCTION("""COMPUTED_VALUE"""),"JAPAN")</f>
        <v>JAPAN</v>
      </c>
      <c r="C442" s="5" t="str">
        <f>IFERROR(__xludf.DUMMYFUNCTION("""COMPUTED_VALUE"""),"NORMAL")</f>
        <v>NORMAL</v>
      </c>
      <c r="D442" s="5" t="str">
        <f>IFERROR(__xludf.DUMMYFUNCTION("""COMPUTED_VALUE"""),"TAKEFUSA KUBO")</f>
        <v>TAKEFUSA KUBO</v>
      </c>
      <c r="E442" s="5">
        <f>IFERROR(__xludf.DUMMYFUNCTION("""COMPUTED_VALUE"""),0.0)</f>
        <v>0</v>
      </c>
      <c r="F442" s="5">
        <f>IFERROR(__xludf.DUMMYFUNCTION("""COMPUTED_VALUE"""),0.0)</f>
        <v>0</v>
      </c>
    </row>
    <row r="443">
      <c r="A443" s="7" t="str">
        <f>IFERROR(__xludf.DUMMYFUNCTION("""COMPUTED_VALUE"""),"JAP13")</f>
        <v>JAP13</v>
      </c>
      <c r="B443" s="5" t="str">
        <f>IFERROR(__xludf.DUMMYFUNCTION("""COMPUTED_VALUE"""),"JAPAN")</f>
        <v>JAPAN</v>
      </c>
      <c r="C443" s="5" t="str">
        <f>IFERROR(__xludf.DUMMYFUNCTION("""COMPUTED_VALUE"""),"TEAM")</f>
        <v>TEAM</v>
      </c>
      <c r="D443" s="5" t="str">
        <f>IFERROR(__xludf.DUMMYFUNCTION("""COMPUTED_VALUE"""),"JAPAN NATIONAL TEAM")</f>
        <v>JAPAN NATIONAL TEAM</v>
      </c>
      <c r="E443" s="5">
        <f>IFERROR(__xludf.DUMMYFUNCTION("""COMPUTED_VALUE"""),0.0)</f>
        <v>0</v>
      </c>
      <c r="F443" s="5">
        <f>IFERROR(__xludf.DUMMYFUNCTION("""COMPUTED_VALUE"""),0.0)</f>
        <v>0</v>
      </c>
    </row>
    <row r="444">
      <c r="A444" s="7" t="str">
        <f>IFERROR(__xludf.DUMMYFUNCTION("""COMPUTED_VALUE"""),"JAP14")</f>
        <v>JAP14</v>
      </c>
      <c r="B444" s="5" t="str">
        <f>IFERROR(__xludf.DUMMYFUNCTION("""COMPUTED_VALUE"""),"JAPAN")</f>
        <v>JAPAN</v>
      </c>
      <c r="C444" s="5" t="str">
        <f>IFERROR(__xludf.DUMMYFUNCTION("""COMPUTED_VALUE"""),"NORMAL")</f>
        <v>NORMAL</v>
      </c>
      <c r="D444" s="5" t="str">
        <f>IFERROR(__xludf.DUMMYFUNCTION("""COMPUTED_VALUE"""),"RITSU DOAN")</f>
        <v>RITSU DOAN</v>
      </c>
      <c r="E444" s="5">
        <f>IFERROR(__xludf.DUMMYFUNCTION("""COMPUTED_VALUE"""),0.0)</f>
        <v>0</v>
      </c>
      <c r="F444" s="5">
        <f>IFERROR(__xludf.DUMMYFUNCTION("""COMPUTED_VALUE"""),0.0)</f>
        <v>0</v>
      </c>
    </row>
    <row r="445">
      <c r="A445" s="7" t="str">
        <f>IFERROR(__xludf.DUMMYFUNCTION("""COMPUTED_VALUE"""),"JAP15")</f>
        <v>JAP15</v>
      </c>
      <c r="B445" s="5" t="str">
        <f>IFERROR(__xludf.DUMMYFUNCTION("""COMPUTED_VALUE"""),"JAPAN")</f>
        <v>JAPAN</v>
      </c>
      <c r="C445" s="5" t="str">
        <f>IFERROR(__xludf.DUMMYFUNCTION("""COMPUTED_VALUE"""),"NORMAL")</f>
        <v>NORMAL</v>
      </c>
      <c r="D445" s="5" t="str">
        <f>IFERROR(__xludf.DUMMYFUNCTION("""COMPUTED_VALUE"""),"KEITO NAKAMURA")</f>
        <v>KEITO NAKAMURA</v>
      </c>
      <c r="E445" s="5">
        <f>IFERROR(__xludf.DUMMYFUNCTION("""COMPUTED_VALUE"""),0.0)</f>
        <v>0</v>
      </c>
      <c r="F445" s="5">
        <f>IFERROR(__xludf.DUMMYFUNCTION("""COMPUTED_VALUE"""),0.0)</f>
        <v>0</v>
      </c>
    </row>
    <row r="446">
      <c r="A446" s="7" t="str">
        <f>IFERROR(__xludf.DUMMYFUNCTION("""COMPUTED_VALUE"""),"JAP16")</f>
        <v>JAP16</v>
      </c>
      <c r="B446" s="5" t="str">
        <f>IFERROR(__xludf.DUMMYFUNCTION("""COMPUTED_VALUE"""),"JAPAN")</f>
        <v>JAPAN</v>
      </c>
      <c r="C446" s="5" t="str">
        <f>IFERROR(__xludf.DUMMYFUNCTION("""COMPUTED_VALUE"""),"NORMAL")</f>
        <v>NORMAL</v>
      </c>
      <c r="D446" s="5" t="str">
        <f>IFERROR(__xludf.DUMMYFUNCTION("""COMPUTED_VALUE"""),"TAKUMI MINAMINO")</f>
        <v>TAKUMI MINAMINO</v>
      </c>
      <c r="E446" s="5">
        <f>IFERROR(__xludf.DUMMYFUNCTION("""COMPUTED_VALUE"""),0.0)</f>
        <v>0</v>
      </c>
      <c r="F446" s="5">
        <f>IFERROR(__xludf.DUMMYFUNCTION("""COMPUTED_VALUE"""),0.0)</f>
        <v>0</v>
      </c>
    </row>
    <row r="447">
      <c r="A447" s="7" t="str">
        <f>IFERROR(__xludf.DUMMYFUNCTION("""COMPUTED_VALUE"""),"JAP17")</f>
        <v>JAP17</v>
      </c>
      <c r="B447" s="5" t="str">
        <f>IFERROR(__xludf.DUMMYFUNCTION("""COMPUTED_VALUE"""),"JAPAN")</f>
        <v>JAPAN</v>
      </c>
      <c r="C447" s="5" t="str">
        <f>IFERROR(__xludf.DUMMYFUNCTION("""COMPUTED_VALUE"""),"NORMAL")</f>
        <v>NORMAL</v>
      </c>
      <c r="D447" s="5" t="str">
        <f>IFERROR(__xludf.DUMMYFUNCTION("""COMPUTED_VALUE"""),"SHUTO MACHINO")</f>
        <v>SHUTO MACHINO</v>
      </c>
      <c r="E447" s="5">
        <f>IFERROR(__xludf.DUMMYFUNCTION("""COMPUTED_VALUE"""),0.0)</f>
        <v>0</v>
      </c>
      <c r="F447" s="5">
        <f>IFERROR(__xludf.DUMMYFUNCTION("""COMPUTED_VALUE"""),0.0)</f>
        <v>0</v>
      </c>
    </row>
    <row r="448">
      <c r="A448" s="7" t="str">
        <f>IFERROR(__xludf.DUMMYFUNCTION("""COMPUTED_VALUE"""),"JAP18")</f>
        <v>JAP18</v>
      </c>
      <c r="B448" s="5" t="str">
        <f>IFERROR(__xludf.DUMMYFUNCTION("""COMPUTED_VALUE"""),"JAPAN")</f>
        <v>JAPAN</v>
      </c>
      <c r="C448" s="5" t="str">
        <f>IFERROR(__xludf.DUMMYFUNCTION("""COMPUTED_VALUE"""),"NORMAL")</f>
        <v>NORMAL</v>
      </c>
      <c r="D448" s="5" t="str">
        <f>IFERROR(__xludf.DUMMYFUNCTION("""COMPUTED_VALUE"""),"JUNYA ITO")</f>
        <v>JUNYA ITO</v>
      </c>
      <c r="E448" s="5">
        <f>IFERROR(__xludf.DUMMYFUNCTION("""COMPUTED_VALUE"""),0.0)</f>
        <v>0</v>
      </c>
      <c r="F448" s="5">
        <f>IFERROR(__xludf.DUMMYFUNCTION("""COMPUTED_VALUE"""),0.0)</f>
        <v>0</v>
      </c>
    </row>
    <row r="449">
      <c r="A449" s="7" t="str">
        <f>IFERROR(__xludf.DUMMYFUNCTION("""COMPUTED_VALUE"""),"JAP19")</f>
        <v>JAP19</v>
      </c>
      <c r="B449" s="5" t="str">
        <f>IFERROR(__xludf.DUMMYFUNCTION("""COMPUTED_VALUE"""),"JAPAN")</f>
        <v>JAPAN</v>
      </c>
      <c r="C449" s="5" t="str">
        <f>IFERROR(__xludf.DUMMYFUNCTION("""COMPUTED_VALUE"""),"NORMAL")</f>
        <v>NORMAL</v>
      </c>
      <c r="D449" s="5" t="str">
        <f>IFERROR(__xludf.DUMMYFUNCTION("""COMPUTED_VALUE"""),"KOKI OGAWA")</f>
        <v>KOKI OGAWA</v>
      </c>
      <c r="E449" s="5">
        <f>IFERROR(__xludf.DUMMYFUNCTION("""COMPUTED_VALUE"""),0.0)</f>
        <v>0</v>
      </c>
      <c r="F449" s="5">
        <f>IFERROR(__xludf.DUMMYFUNCTION("""COMPUTED_VALUE"""),0.0)</f>
        <v>0</v>
      </c>
    </row>
    <row r="450">
      <c r="A450" s="7" t="str">
        <f>IFERROR(__xludf.DUMMYFUNCTION("""COMPUTED_VALUE"""),"JAP20")</f>
        <v>JAP20</v>
      </c>
      <c r="B450" s="5" t="str">
        <f>IFERROR(__xludf.DUMMYFUNCTION("""COMPUTED_VALUE"""),"JAPAN")</f>
        <v>JAPAN</v>
      </c>
      <c r="C450" s="5" t="str">
        <f>IFERROR(__xludf.DUMMYFUNCTION("""COMPUTED_VALUE"""),"NORMAL")</f>
        <v>NORMAL</v>
      </c>
      <c r="D450" s="5" t="str">
        <f>IFERROR(__xludf.DUMMYFUNCTION("""COMPUTED_VALUE"""),"AYASE UEDA")</f>
        <v>AYASE UEDA</v>
      </c>
      <c r="E450" s="5">
        <f>IFERROR(__xludf.DUMMYFUNCTION("""COMPUTED_VALUE"""),0.0)</f>
        <v>0</v>
      </c>
      <c r="F450" s="5">
        <f>IFERROR(__xludf.DUMMYFUNCTION("""COMPUTED_VALUE"""),0.0)</f>
        <v>0</v>
      </c>
    </row>
    <row r="451">
      <c r="A451" s="5" t="str">
        <f>IFERROR(__xludf.DUMMYFUNCTION("""COMPUTED_VALUE"""),"SWE01")</f>
        <v>SWE01</v>
      </c>
      <c r="B451" s="5" t="str">
        <f>IFERROR(__xludf.DUMMYFUNCTION("""COMPUTED_VALUE"""),"SWEDEN")</f>
        <v>SWEDEN</v>
      </c>
      <c r="C451" s="5" t="str">
        <f>IFERROR(__xludf.DUMMYFUNCTION("""COMPUTED_VALUE"""),"BADGE")</f>
        <v>BADGE</v>
      </c>
      <c r="D451" s="5" t="str">
        <f>IFERROR(__xludf.DUMMYFUNCTION("""COMPUTED_VALUE"""),"SWEDEN NATIONAL TEAM")</f>
        <v>SWEDEN NATIONAL TEAM</v>
      </c>
      <c r="E451" s="5">
        <f>IFERROR(__xludf.DUMMYFUNCTION("""COMPUTED_VALUE"""),0.0)</f>
        <v>0</v>
      </c>
      <c r="F451" s="5">
        <f>IFERROR(__xludf.DUMMYFUNCTION("""COMPUTED_VALUE"""),0.0)</f>
        <v>0</v>
      </c>
    </row>
    <row r="452">
      <c r="A452" s="5" t="str">
        <f>IFERROR(__xludf.DUMMYFUNCTION("""COMPUTED_VALUE"""),"SWE02")</f>
        <v>SWE02</v>
      </c>
      <c r="B452" s="5" t="str">
        <f>IFERROR(__xludf.DUMMYFUNCTION("""COMPUTED_VALUE"""),"SWEDEN")</f>
        <v>SWEDEN</v>
      </c>
      <c r="C452" s="5" t="str">
        <f>IFERROR(__xludf.DUMMYFUNCTION("""COMPUTED_VALUE"""),"NORMAL")</f>
        <v>NORMAL</v>
      </c>
      <c r="D452" s="5" t="str">
        <f>IFERROR(__xludf.DUMMYFUNCTION("""COMPUTED_VALUE"""),"VIKTOR JOHANSSON")</f>
        <v>VIKTOR JOHANSSON</v>
      </c>
      <c r="E452" s="5">
        <f>IFERROR(__xludf.DUMMYFUNCTION("""COMPUTED_VALUE"""),0.0)</f>
        <v>0</v>
      </c>
      <c r="F452" s="5">
        <f>IFERROR(__xludf.DUMMYFUNCTION("""COMPUTED_VALUE"""),0.0)</f>
        <v>0</v>
      </c>
    </row>
    <row r="453">
      <c r="A453" s="5" t="str">
        <f>IFERROR(__xludf.DUMMYFUNCTION("""COMPUTED_VALUE"""),"SWE03")</f>
        <v>SWE03</v>
      </c>
      <c r="B453" s="5" t="str">
        <f>IFERROR(__xludf.DUMMYFUNCTION("""COMPUTED_VALUE"""),"SWEDEN")</f>
        <v>SWEDEN</v>
      </c>
      <c r="C453" s="5" t="str">
        <f>IFERROR(__xludf.DUMMYFUNCTION("""COMPUTED_VALUE"""),"NORMAL")</f>
        <v>NORMAL</v>
      </c>
      <c r="D453" s="5" t="str">
        <f>IFERROR(__xludf.DUMMYFUNCTION("""COMPUTED_VALUE"""),"ISAK HEIN")</f>
        <v>ISAK HEIN</v>
      </c>
      <c r="E453" s="5">
        <f>IFERROR(__xludf.DUMMYFUNCTION("""COMPUTED_VALUE"""),0.0)</f>
        <v>0</v>
      </c>
      <c r="F453" s="5">
        <f>IFERROR(__xludf.DUMMYFUNCTION("""COMPUTED_VALUE"""),0.0)</f>
        <v>0</v>
      </c>
    </row>
    <row r="454">
      <c r="A454" s="5" t="str">
        <f>IFERROR(__xludf.DUMMYFUNCTION("""COMPUTED_VALUE"""),"SWE04")</f>
        <v>SWE04</v>
      </c>
      <c r="B454" s="5" t="str">
        <f>IFERROR(__xludf.DUMMYFUNCTION("""COMPUTED_VALUE"""),"SWEDEN")</f>
        <v>SWEDEN</v>
      </c>
      <c r="C454" s="5" t="str">
        <f>IFERROR(__xludf.DUMMYFUNCTION("""COMPUTED_VALUE"""),"NORMAL")</f>
        <v>NORMAL</v>
      </c>
      <c r="D454" s="5" t="str">
        <f>IFERROR(__xludf.DUMMYFUNCTION("""COMPUTED_VALUE"""),"GABRIEL GUDMUNDSSON")</f>
        <v>GABRIEL GUDMUNDSSON</v>
      </c>
      <c r="E454" s="5">
        <f>IFERROR(__xludf.DUMMYFUNCTION("""COMPUTED_VALUE"""),0.0)</f>
        <v>0</v>
      </c>
      <c r="F454" s="5">
        <f>IFERROR(__xludf.DUMMYFUNCTION("""COMPUTED_VALUE"""),0.0)</f>
        <v>0</v>
      </c>
    </row>
    <row r="455">
      <c r="A455" s="5" t="str">
        <f>IFERROR(__xludf.DUMMYFUNCTION("""COMPUTED_VALUE"""),"SWE05")</f>
        <v>SWE05</v>
      </c>
      <c r="B455" s="5" t="str">
        <f>IFERROR(__xludf.DUMMYFUNCTION("""COMPUTED_VALUE"""),"SWEDEN")</f>
        <v>SWEDEN</v>
      </c>
      <c r="C455" s="5" t="str">
        <f>IFERROR(__xludf.DUMMYFUNCTION("""COMPUTED_VALUE"""),"NORMAL")</f>
        <v>NORMAL</v>
      </c>
      <c r="D455" s="5" t="str">
        <f>IFERROR(__xludf.DUMMYFUNCTION("""COMPUTED_VALUE"""),"EMIL HOLM")</f>
        <v>EMIL HOLM</v>
      </c>
      <c r="E455" s="5">
        <f>IFERROR(__xludf.DUMMYFUNCTION("""COMPUTED_VALUE"""),0.0)</f>
        <v>0</v>
      </c>
      <c r="F455" s="5">
        <f>IFERROR(__xludf.DUMMYFUNCTION("""COMPUTED_VALUE"""),0.0)</f>
        <v>0</v>
      </c>
    </row>
    <row r="456">
      <c r="A456" s="5" t="str">
        <f>IFERROR(__xludf.DUMMYFUNCTION("""COMPUTED_VALUE"""),"SWE06")</f>
        <v>SWE06</v>
      </c>
      <c r="B456" s="5" t="str">
        <f>IFERROR(__xludf.DUMMYFUNCTION("""COMPUTED_VALUE"""),"SWEDEN")</f>
        <v>SWEDEN</v>
      </c>
      <c r="C456" s="5" t="str">
        <f>IFERROR(__xludf.DUMMYFUNCTION("""COMPUTED_VALUE"""),"NORMAL")</f>
        <v>NORMAL</v>
      </c>
      <c r="D456" s="5" t="str">
        <f>IFERROR(__xludf.DUMMYFUNCTION("""COMPUTED_VALUE"""),"VICTOR NILSSON LINDELOF")</f>
        <v>VICTOR NILSSON LINDELOF</v>
      </c>
      <c r="E456" s="5">
        <f>IFERROR(__xludf.DUMMYFUNCTION("""COMPUTED_VALUE"""),0.0)</f>
        <v>0</v>
      </c>
      <c r="F456" s="5">
        <f>IFERROR(__xludf.DUMMYFUNCTION("""COMPUTED_VALUE"""),0.0)</f>
        <v>0</v>
      </c>
    </row>
    <row r="457">
      <c r="A457" s="5" t="str">
        <f>IFERROR(__xludf.DUMMYFUNCTION("""COMPUTED_VALUE"""),"SWE07")</f>
        <v>SWE07</v>
      </c>
      <c r="B457" s="5" t="str">
        <f>IFERROR(__xludf.DUMMYFUNCTION("""COMPUTED_VALUE"""),"SWEDEN")</f>
        <v>SWEDEN</v>
      </c>
      <c r="C457" s="5" t="str">
        <f>IFERROR(__xludf.DUMMYFUNCTION("""COMPUTED_VALUE"""),"NORMAL")</f>
        <v>NORMAL</v>
      </c>
      <c r="D457" s="5" t="str">
        <f>IFERROR(__xludf.DUMMYFUNCTION("""COMPUTED_VALUE"""),"GUSTAF LAGERBIELKE")</f>
        <v>GUSTAF LAGERBIELKE</v>
      </c>
      <c r="E457" s="5">
        <f>IFERROR(__xludf.DUMMYFUNCTION("""COMPUTED_VALUE"""),0.0)</f>
        <v>0</v>
      </c>
      <c r="F457" s="5">
        <f>IFERROR(__xludf.DUMMYFUNCTION("""COMPUTED_VALUE"""),0.0)</f>
        <v>0</v>
      </c>
    </row>
    <row r="458">
      <c r="A458" s="5" t="str">
        <f>IFERROR(__xludf.DUMMYFUNCTION("""COMPUTED_VALUE"""),"SWE08")</f>
        <v>SWE08</v>
      </c>
      <c r="B458" s="5" t="str">
        <f>IFERROR(__xludf.DUMMYFUNCTION("""COMPUTED_VALUE"""),"SWEDEN")</f>
        <v>SWEDEN</v>
      </c>
      <c r="C458" s="5" t="str">
        <f>IFERROR(__xludf.DUMMYFUNCTION("""COMPUTED_VALUE"""),"NORMAL")</f>
        <v>NORMAL</v>
      </c>
      <c r="D458" s="5" t="str">
        <f>IFERROR(__xludf.DUMMYFUNCTION("""COMPUTED_VALUE"""),"LUCAS BERGVALL")</f>
        <v>LUCAS BERGVALL</v>
      </c>
      <c r="E458" s="5">
        <f>IFERROR(__xludf.DUMMYFUNCTION("""COMPUTED_VALUE"""),0.0)</f>
        <v>0</v>
      </c>
      <c r="F458" s="5">
        <f>IFERROR(__xludf.DUMMYFUNCTION("""COMPUTED_VALUE"""),0.0)</f>
        <v>0</v>
      </c>
    </row>
    <row r="459">
      <c r="A459" s="5" t="str">
        <f>IFERROR(__xludf.DUMMYFUNCTION("""COMPUTED_VALUE"""),"SWE09")</f>
        <v>SWE09</v>
      </c>
      <c r="B459" s="5" t="str">
        <f>IFERROR(__xludf.DUMMYFUNCTION("""COMPUTED_VALUE"""),"SWEDEN")</f>
        <v>SWEDEN</v>
      </c>
      <c r="C459" s="5" t="str">
        <f>IFERROR(__xludf.DUMMYFUNCTION("""COMPUTED_VALUE"""),"NORMAL")</f>
        <v>NORMAL</v>
      </c>
      <c r="D459" s="5" t="str">
        <f>IFERROR(__xludf.DUMMYFUNCTION("""COMPUTED_VALUE"""),"HUGO LARSSON")</f>
        <v>HUGO LARSSON</v>
      </c>
      <c r="E459" s="5">
        <f>IFERROR(__xludf.DUMMYFUNCTION("""COMPUTED_VALUE"""),0.0)</f>
        <v>0</v>
      </c>
      <c r="F459" s="5">
        <f>IFERROR(__xludf.DUMMYFUNCTION("""COMPUTED_VALUE"""),0.0)</f>
        <v>0</v>
      </c>
    </row>
    <row r="460">
      <c r="A460" s="5" t="str">
        <f>IFERROR(__xludf.DUMMYFUNCTION("""COMPUTED_VALUE"""),"SWE10")</f>
        <v>SWE10</v>
      </c>
      <c r="B460" s="5" t="str">
        <f>IFERROR(__xludf.DUMMYFUNCTION("""COMPUTED_VALUE"""),"SWEDEN")</f>
        <v>SWEDEN</v>
      </c>
      <c r="C460" s="5" t="str">
        <f>IFERROR(__xludf.DUMMYFUNCTION("""COMPUTED_VALUE"""),"NORMAL")</f>
        <v>NORMAL</v>
      </c>
      <c r="D460" s="5" t="str">
        <f>IFERROR(__xludf.DUMMYFUNCTION("""COMPUTED_VALUE"""),"JESPER KARLSTROM")</f>
        <v>JESPER KARLSTROM</v>
      </c>
      <c r="E460" s="5">
        <f>IFERROR(__xludf.DUMMYFUNCTION("""COMPUTED_VALUE"""),0.0)</f>
        <v>0</v>
      </c>
      <c r="F460" s="5">
        <f>IFERROR(__xludf.DUMMYFUNCTION("""COMPUTED_VALUE"""),0.0)</f>
        <v>0</v>
      </c>
    </row>
    <row r="461">
      <c r="A461" s="5" t="str">
        <f>IFERROR(__xludf.DUMMYFUNCTION("""COMPUTED_VALUE"""),"SWE11")</f>
        <v>SWE11</v>
      </c>
      <c r="B461" s="5" t="str">
        <f>IFERROR(__xludf.DUMMYFUNCTION("""COMPUTED_VALUE"""),"SWEDEN")</f>
        <v>SWEDEN</v>
      </c>
      <c r="C461" s="5" t="str">
        <f>IFERROR(__xludf.DUMMYFUNCTION("""COMPUTED_VALUE"""),"NORMAL")</f>
        <v>NORMAL</v>
      </c>
      <c r="D461" s="5" t="str">
        <f>IFERROR(__xludf.DUMMYFUNCTION("""COMPUTED_VALUE"""),"YASIN AYARI")</f>
        <v>YASIN AYARI</v>
      </c>
      <c r="E461" s="5">
        <f>IFERROR(__xludf.DUMMYFUNCTION("""COMPUTED_VALUE"""),0.0)</f>
        <v>0</v>
      </c>
      <c r="F461" s="5">
        <f>IFERROR(__xludf.DUMMYFUNCTION("""COMPUTED_VALUE"""),0.0)</f>
        <v>0</v>
      </c>
    </row>
    <row r="462">
      <c r="A462" s="5" t="str">
        <f>IFERROR(__xludf.DUMMYFUNCTION("""COMPUTED_VALUE"""),"SWE12")</f>
        <v>SWE12</v>
      </c>
      <c r="B462" s="5" t="str">
        <f>IFERROR(__xludf.DUMMYFUNCTION("""COMPUTED_VALUE"""),"SWEDEN")</f>
        <v>SWEDEN</v>
      </c>
      <c r="C462" s="5" t="str">
        <f>IFERROR(__xludf.DUMMYFUNCTION("""COMPUTED_VALUE"""),"NORMAL")</f>
        <v>NORMAL</v>
      </c>
      <c r="D462" s="5" t="str">
        <f>IFERROR(__xludf.DUMMYFUNCTION("""COMPUTED_VALUE"""),"MATTIAS SVANBERG")</f>
        <v>MATTIAS SVANBERG</v>
      </c>
      <c r="E462" s="5">
        <f>IFERROR(__xludf.DUMMYFUNCTION("""COMPUTED_VALUE"""),0.0)</f>
        <v>0</v>
      </c>
      <c r="F462" s="5">
        <f>IFERROR(__xludf.DUMMYFUNCTION("""COMPUTED_VALUE"""),0.0)</f>
        <v>0</v>
      </c>
    </row>
    <row r="463">
      <c r="A463" s="5" t="str">
        <f>IFERROR(__xludf.DUMMYFUNCTION("""COMPUTED_VALUE"""),"SWE13")</f>
        <v>SWE13</v>
      </c>
      <c r="B463" s="5" t="str">
        <f>IFERROR(__xludf.DUMMYFUNCTION("""COMPUTED_VALUE"""),"SWEDEN")</f>
        <v>SWEDEN</v>
      </c>
      <c r="C463" s="5" t="str">
        <f>IFERROR(__xludf.DUMMYFUNCTION("""COMPUTED_VALUE"""),"TEAM")</f>
        <v>TEAM</v>
      </c>
      <c r="D463" s="5" t="str">
        <f>IFERROR(__xludf.DUMMYFUNCTION("""COMPUTED_VALUE"""),"SWEDEN NATIONAL TEAM")</f>
        <v>SWEDEN NATIONAL TEAM</v>
      </c>
      <c r="E463" s="5">
        <f>IFERROR(__xludf.DUMMYFUNCTION("""COMPUTED_VALUE"""),0.0)</f>
        <v>0</v>
      </c>
      <c r="F463" s="5">
        <f>IFERROR(__xludf.DUMMYFUNCTION("""COMPUTED_VALUE"""),0.0)</f>
        <v>0</v>
      </c>
    </row>
    <row r="464">
      <c r="A464" s="5" t="str">
        <f>IFERROR(__xludf.DUMMYFUNCTION("""COMPUTED_VALUE"""),"SWE14")</f>
        <v>SWE14</v>
      </c>
      <c r="B464" s="5" t="str">
        <f>IFERROR(__xludf.DUMMYFUNCTION("""COMPUTED_VALUE"""),"SWEDEN")</f>
        <v>SWEDEN</v>
      </c>
      <c r="C464" s="5" t="str">
        <f>IFERROR(__xludf.DUMMYFUNCTION("""COMPUTED_VALUE"""),"NORMAL")</f>
        <v>NORMAL</v>
      </c>
      <c r="D464" s="5" t="str">
        <f>IFERROR(__xludf.DUMMYFUNCTION("""COMPUTED_VALUE"""),"DANIEL SVENSSON")</f>
        <v>DANIEL SVENSSON</v>
      </c>
      <c r="E464" s="5">
        <f>IFERROR(__xludf.DUMMYFUNCTION("""COMPUTED_VALUE"""),0.0)</f>
        <v>0</v>
      </c>
      <c r="F464" s="5">
        <f>IFERROR(__xludf.DUMMYFUNCTION("""COMPUTED_VALUE"""),0.0)</f>
        <v>0</v>
      </c>
    </row>
    <row r="465">
      <c r="A465" s="5" t="str">
        <f>IFERROR(__xludf.DUMMYFUNCTION("""COMPUTED_VALUE"""),"SWE15")</f>
        <v>SWE15</v>
      </c>
      <c r="B465" s="5" t="str">
        <f>IFERROR(__xludf.DUMMYFUNCTION("""COMPUTED_VALUE"""),"SWEDEN")</f>
        <v>SWEDEN</v>
      </c>
      <c r="C465" s="5" t="str">
        <f>IFERROR(__xludf.DUMMYFUNCTION("""COMPUTED_VALUE"""),"NORMAL")</f>
        <v>NORMAL</v>
      </c>
      <c r="D465" s="5" t="str">
        <f>IFERROR(__xludf.DUMMYFUNCTION("""COMPUTED_VALUE"""),"KEN SEMA")</f>
        <v>KEN SEMA</v>
      </c>
      <c r="E465" s="5">
        <f>IFERROR(__xludf.DUMMYFUNCTION("""COMPUTED_VALUE"""),0.0)</f>
        <v>0</v>
      </c>
      <c r="F465" s="5">
        <f>IFERROR(__xludf.DUMMYFUNCTION("""COMPUTED_VALUE"""),0.0)</f>
        <v>0</v>
      </c>
    </row>
    <row r="466">
      <c r="A466" s="5" t="str">
        <f>IFERROR(__xludf.DUMMYFUNCTION("""COMPUTED_VALUE"""),"SWE16")</f>
        <v>SWE16</v>
      </c>
      <c r="B466" s="5" t="str">
        <f>IFERROR(__xludf.DUMMYFUNCTION("""COMPUTED_VALUE"""),"SWEDEN")</f>
        <v>SWEDEN</v>
      </c>
      <c r="C466" s="5" t="str">
        <f>IFERROR(__xludf.DUMMYFUNCTION("""COMPUTED_VALUE"""),"NORMAL")</f>
        <v>NORMAL</v>
      </c>
      <c r="D466" s="5" t="str">
        <f>IFERROR(__xludf.DUMMYFUNCTION("""COMPUTED_VALUE"""),"ROONY BARDGHJI")</f>
        <v>ROONY BARDGHJI</v>
      </c>
      <c r="E466" s="5">
        <f>IFERROR(__xludf.DUMMYFUNCTION("""COMPUTED_VALUE"""),0.0)</f>
        <v>0</v>
      </c>
      <c r="F466" s="5">
        <f>IFERROR(__xludf.DUMMYFUNCTION("""COMPUTED_VALUE"""),0.0)</f>
        <v>0</v>
      </c>
    </row>
    <row r="467">
      <c r="A467" s="5" t="str">
        <f>IFERROR(__xludf.DUMMYFUNCTION("""COMPUTED_VALUE"""),"SWE17")</f>
        <v>SWE17</v>
      </c>
      <c r="B467" s="5" t="str">
        <f>IFERROR(__xludf.DUMMYFUNCTION("""COMPUTED_VALUE"""),"SWEDEN")</f>
        <v>SWEDEN</v>
      </c>
      <c r="C467" s="5" t="str">
        <f>IFERROR(__xludf.DUMMYFUNCTION("""COMPUTED_VALUE"""),"NORMAL")</f>
        <v>NORMAL</v>
      </c>
      <c r="D467" s="5" t="str">
        <f>IFERROR(__xludf.DUMMYFUNCTION("""COMPUTED_VALUE"""),"DEJAN KULUSEVSKI")</f>
        <v>DEJAN KULUSEVSKI</v>
      </c>
      <c r="E467" s="5">
        <f>IFERROR(__xludf.DUMMYFUNCTION("""COMPUTED_VALUE"""),0.0)</f>
        <v>0</v>
      </c>
      <c r="F467" s="5">
        <f>IFERROR(__xludf.DUMMYFUNCTION("""COMPUTED_VALUE"""),0.0)</f>
        <v>0</v>
      </c>
    </row>
    <row r="468">
      <c r="A468" s="5" t="str">
        <f>IFERROR(__xludf.DUMMYFUNCTION("""COMPUTED_VALUE"""),"SWE18")</f>
        <v>SWE18</v>
      </c>
      <c r="B468" s="5" t="str">
        <f>IFERROR(__xludf.DUMMYFUNCTION("""COMPUTED_VALUE"""),"SWEDEN")</f>
        <v>SWEDEN</v>
      </c>
      <c r="C468" s="5" t="str">
        <f>IFERROR(__xludf.DUMMYFUNCTION("""COMPUTED_VALUE"""),"NORMAL")</f>
        <v>NORMAL</v>
      </c>
      <c r="D468" s="5" t="str">
        <f>IFERROR(__xludf.DUMMYFUNCTION("""COMPUTED_VALUE"""),"ANTHONY ELANGA")</f>
        <v>ANTHONY ELANGA</v>
      </c>
      <c r="E468" s="5">
        <f>IFERROR(__xludf.DUMMYFUNCTION("""COMPUTED_VALUE"""),0.0)</f>
        <v>0</v>
      </c>
      <c r="F468" s="5">
        <f>IFERROR(__xludf.DUMMYFUNCTION("""COMPUTED_VALUE"""),0.0)</f>
        <v>0</v>
      </c>
    </row>
    <row r="469">
      <c r="A469" s="5" t="str">
        <f>IFERROR(__xludf.DUMMYFUNCTION("""COMPUTED_VALUE"""),"SWE19")</f>
        <v>SWE19</v>
      </c>
      <c r="B469" s="5" t="str">
        <f>IFERROR(__xludf.DUMMYFUNCTION("""COMPUTED_VALUE"""),"SWEDEN")</f>
        <v>SWEDEN</v>
      </c>
      <c r="C469" s="5" t="str">
        <f>IFERROR(__xludf.DUMMYFUNCTION("""COMPUTED_VALUE"""),"NORMAL")</f>
        <v>NORMAL</v>
      </c>
      <c r="D469" s="5" t="str">
        <f>IFERROR(__xludf.DUMMYFUNCTION("""COMPUTED_VALUE"""),"ALEXANDER ISAK")</f>
        <v>ALEXANDER ISAK</v>
      </c>
      <c r="E469" s="5">
        <f>IFERROR(__xludf.DUMMYFUNCTION("""COMPUTED_VALUE"""),0.0)</f>
        <v>0</v>
      </c>
      <c r="F469" s="5">
        <f>IFERROR(__xludf.DUMMYFUNCTION("""COMPUTED_VALUE"""),0.0)</f>
        <v>0</v>
      </c>
    </row>
    <row r="470">
      <c r="A470" s="5" t="str">
        <f>IFERROR(__xludf.DUMMYFUNCTION("""COMPUTED_VALUE"""),"SWE20")</f>
        <v>SWE20</v>
      </c>
      <c r="B470" s="5" t="str">
        <f>IFERROR(__xludf.DUMMYFUNCTION("""COMPUTED_VALUE"""),"SWEDEN")</f>
        <v>SWEDEN</v>
      </c>
      <c r="C470" s="5" t="str">
        <f>IFERROR(__xludf.DUMMYFUNCTION("""COMPUTED_VALUE"""),"NORMAL")</f>
        <v>NORMAL</v>
      </c>
      <c r="D470" s="5" t="str">
        <f>IFERROR(__xludf.DUMMYFUNCTION("""COMPUTED_VALUE"""),"VIKTOR GYOKERES")</f>
        <v>VIKTOR GYOKERES</v>
      </c>
      <c r="E470" s="5">
        <f>IFERROR(__xludf.DUMMYFUNCTION("""COMPUTED_VALUE"""),0.0)</f>
        <v>0</v>
      </c>
      <c r="F470" s="5">
        <f>IFERROR(__xludf.DUMMYFUNCTION("""COMPUTED_VALUE"""),0.0)</f>
        <v>0</v>
      </c>
    </row>
    <row r="471">
      <c r="A471" s="5" t="str">
        <f>IFERROR(__xludf.DUMMYFUNCTION("""COMPUTED_VALUE"""),"TUN01")</f>
        <v>TUN01</v>
      </c>
      <c r="B471" s="5" t="str">
        <f>IFERROR(__xludf.DUMMYFUNCTION("""COMPUTED_VALUE"""),"TUNISIA")</f>
        <v>TUNISIA</v>
      </c>
      <c r="C471" s="5" t="str">
        <f>IFERROR(__xludf.DUMMYFUNCTION("""COMPUTED_VALUE"""),"BADGE")</f>
        <v>BADGE</v>
      </c>
      <c r="D471" s="5" t="str">
        <f>IFERROR(__xludf.DUMMYFUNCTION("""COMPUTED_VALUE"""),"TUNISIA NATIONAL TEAM")</f>
        <v>TUNISIA NATIONAL TEAM</v>
      </c>
      <c r="E471" s="5">
        <f>IFERROR(__xludf.DUMMYFUNCTION("""COMPUTED_VALUE"""),0.0)</f>
        <v>0</v>
      </c>
      <c r="F471" s="5">
        <f>IFERROR(__xludf.DUMMYFUNCTION("""COMPUTED_VALUE"""),0.0)</f>
        <v>0</v>
      </c>
    </row>
    <row r="472">
      <c r="A472" s="5" t="str">
        <f>IFERROR(__xludf.DUMMYFUNCTION("""COMPUTED_VALUE"""),"TUN02")</f>
        <v>TUN02</v>
      </c>
      <c r="B472" s="5" t="str">
        <f>IFERROR(__xludf.DUMMYFUNCTION("""COMPUTED_VALUE"""),"TUNISIA")</f>
        <v>TUNISIA</v>
      </c>
      <c r="C472" s="5" t="str">
        <f>IFERROR(__xludf.DUMMYFUNCTION("""COMPUTED_VALUE"""),"NORMAL")</f>
        <v>NORMAL</v>
      </c>
      <c r="D472" s="5" t="str">
        <f>IFERROR(__xludf.DUMMYFUNCTION("""COMPUTED_VALUE"""),"BECHIR BEN SAID")</f>
        <v>BECHIR BEN SAID</v>
      </c>
      <c r="E472" s="5">
        <f>IFERROR(__xludf.DUMMYFUNCTION("""COMPUTED_VALUE"""),0.0)</f>
        <v>0</v>
      </c>
      <c r="F472" s="5">
        <f>IFERROR(__xludf.DUMMYFUNCTION("""COMPUTED_VALUE"""),0.0)</f>
        <v>0</v>
      </c>
    </row>
    <row r="473">
      <c r="A473" s="5" t="str">
        <f>IFERROR(__xludf.DUMMYFUNCTION("""COMPUTED_VALUE"""),"TUN03")</f>
        <v>TUN03</v>
      </c>
      <c r="B473" s="5" t="str">
        <f>IFERROR(__xludf.DUMMYFUNCTION("""COMPUTED_VALUE"""),"TUNISIA")</f>
        <v>TUNISIA</v>
      </c>
      <c r="C473" s="5" t="str">
        <f>IFERROR(__xludf.DUMMYFUNCTION("""COMPUTED_VALUE"""),"NORMAL")</f>
        <v>NORMAL</v>
      </c>
      <c r="D473" s="5" t="str">
        <f>IFERROR(__xludf.DUMMYFUNCTION("""COMPUTED_VALUE"""),"AYMEHN DAHMEN")</f>
        <v>AYMEHN DAHMEN</v>
      </c>
      <c r="E473" s="5">
        <f>IFERROR(__xludf.DUMMYFUNCTION("""COMPUTED_VALUE"""),0.0)</f>
        <v>0</v>
      </c>
      <c r="F473" s="5">
        <f>IFERROR(__xludf.DUMMYFUNCTION("""COMPUTED_VALUE"""),0.0)</f>
        <v>0</v>
      </c>
    </row>
    <row r="474">
      <c r="A474" s="5" t="str">
        <f>IFERROR(__xludf.DUMMYFUNCTION("""COMPUTED_VALUE"""),"TUN04")</f>
        <v>TUN04</v>
      </c>
      <c r="B474" s="5" t="str">
        <f>IFERROR(__xludf.DUMMYFUNCTION("""COMPUTED_VALUE"""),"TUNISIA")</f>
        <v>TUNISIA</v>
      </c>
      <c r="C474" s="5" t="str">
        <f>IFERROR(__xludf.DUMMYFUNCTION("""COMPUTED_VALUE"""),"NORMAL")</f>
        <v>NORMAL</v>
      </c>
      <c r="D474" s="5" t="str">
        <f>IFERROR(__xludf.DUMMYFUNCTION("""COMPUTED_VALUE"""),"VAN VALERY")</f>
        <v>VAN VALERY</v>
      </c>
      <c r="E474" s="5">
        <f>IFERROR(__xludf.DUMMYFUNCTION("""COMPUTED_VALUE"""),0.0)</f>
        <v>0</v>
      </c>
      <c r="F474" s="5">
        <f>IFERROR(__xludf.DUMMYFUNCTION("""COMPUTED_VALUE"""),0.0)</f>
        <v>0</v>
      </c>
    </row>
    <row r="475">
      <c r="A475" s="5" t="str">
        <f>IFERROR(__xludf.DUMMYFUNCTION("""COMPUTED_VALUE"""),"TUN05")</f>
        <v>TUN05</v>
      </c>
      <c r="B475" s="5" t="str">
        <f>IFERROR(__xludf.DUMMYFUNCTION("""COMPUTED_VALUE"""),"TUNISIA")</f>
        <v>TUNISIA</v>
      </c>
      <c r="C475" s="5" t="str">
        <f>IFERROR(__xludf.DUMMYFUNCTION("""COMPUTED_VALUE"""),"NORMAL")</f>
        <v>NORMAL</v>
      </c>
      <c r="D475" s="5" t="str">
        <f>IFERROR(__xludf.DUMMYFUNCTION("""COMPUTED_VALUE"""),"MONTASSAR TALBI")</f>
        <v>MONTASSAR TALBI</v>
      </c>
      <c r="E475" s="5">
        <f>IFERROR(__xludf.DUMMYFUNCTION("""COMPUTED_VALUE"""),0.0)</f>
        <v>0</v>
      </c>
      <c r="F475" s="5">
        <f>IFERROR(__xludf.DUMMYFUNCTION("""COMPUTED_VALUE"""),0.0)</f>
        <v>0</v>
      </c>
    </row>
    <row r="476">
      <c r="A476" s="5" t="str">
        <f>IFERROR(__xludf.DUMMYFUNCTION("""COMPUTED_VALUE"""),"TUN06")</f>
        <v>TUN06</v>
      </c>
      <c r="B476" s="5" t="str">
        <f>IFERROR(__xludf.DUMMYFUNCTION("""COMPUTED_VALUE"""),"TUNISIA")</f>
        <v>TUNISIA</v>
      </c>
      <c r="C476" s="5" t="str">
        <f>IFERROR(__xludf.DUMMYFUNCTION("""COMPUTED_VALUE"""),"NORMAL")</f>
        <v>NORMAL</v>
      </c>
      <c r="D476" s="5" t="str">
        <f>IFERROR(__xludf.DUMMYFUNCTION("""COMPUTED_VALUE"""),"YASSINE MERIAH")</f>
        <v>YASSINE MERIAH</v>
      </c>
      <c r="E476" s="5">
        <f>IFERROR(__xludf.DUMMYFUNCTION("""COMPUTED_VALUE"""),0.0)</f>
        <v>0</v>
      </c>
      <c r="F476" s="5">
        <f>IFERROR(__xludf.DUMMYFUNCTION("""COMPUTED_VALUE"""),0.0)</f>
        <v>0</v>
      </c>
    </row>
    <row r="477">
      <c r="A477" s="5" t="str">
        <f>IFERROR(__xludf.DUMMYFUNCTION("""COMPUTED_VALUE"""),"TUN07")</f>
        <v>TUN07</v>
      </c>
      <c r="B477" s="5" t="str">
        <f>IFERROR(__xludf.DUMMYFUNCTION("""COMPUTED_VALUE"""),"TUNISIA")</f>
        <v>TUNISIA</v>
      </c>
      <c r="C477" s="5" t="str">
        <f>IFERROR(__xludf.DUMMYFUNCTION("""COMPUTED_VALUE"""),"NORMAL")</f>
        <v>NORMAL</v>
      </c>
      <c r="D477" s="5" t="str">
        <f>IFERROR(__xludf.DUMMYFUNCTION("""COMPUTED_VALUE"""),"ALI ABDI")</f>
        <v>ALI ABDI</v>
      </c>
      <c r="E477" s="5">
        <f>IFERROR(__xludf.DUMMYFUNCTION("""COMPUTED_VALUE"""),0.0)</f>
        <v>0</v>
      </c>
      <c r="F477" s="5">
        <f>IFERROR(__xludf.DUMMYFUNCTION("""COMPUTED_VALUE"""),0.0)</f>
        <v>0</v>
      </c>
    </row>
    <row r="478">
      <c r="A478" s="5" t="str">
        <f>IFERROR(__xludf.DUMMYFUNCTION("""COMPUTED_VALUE"""),"TUN08")</f>
        <v>TUN08</v>
      </c>
      <c r="B478" s="5" t="str">
        <f>IFERROR(__xludf.DUMMYFUNCTION("""COMPUTED_VALUE"""),"TUNISIA")</f>
        <v>TUNISIA</v>
      </c>
      <c r="C478" s="5" t="str">
        <f>IFERROR(__xludf.DUMMYFUNCTION("""COMPUTED_VALUE"""),"NORMAL")</f>
        <v>NORMAL</v>
      </c>
      <c r="D478" s="5" t="str">
        <f>IFERROR(__xludf.DUMMYFUNCTION("""COMPUTED_VALUE"""),"DYLAN BRONN")</f>
        <v>DYLAN BRONN</v>
      </c>
      <c r="E478" s="5">
        <f>IFERROR(__xludf.DUMMYFUNCTION("""COMPUTED_VALUE"""),0.0)</f>
        <v>0</v>
      </c>
      <c r="F478" s="5">
        <f>IFERROR(__xludf.DUMMYFUNCTION("""COMPUTED_VALUE"""),0.0)</f>
        <v>0</v>
      </c>
    </row>
    <row r="479">
      <c r="A479" s="5" t="str">
        <f>IFERROR(__xludf.DUMMYFUNCTION("""COMPUTED_VALUE"""),"TUN09")</f>
        <v>TUN09</v>
      </c>
      <c r="B479" s="5" t="str">
        <f>IFERROR(__xludf.DUMMYFUNCTION("""COMPUTED_VALUE"""),"TUNISIA")</f>
        <v>TUNISIA</v>
      </c>
      <c r="C479" s="5" t="str">
        <f>IFERROR(__xludf.DUMMYFUNCTION("""COMPUTED_VALUE"""),"NORMAL")</f>
        <v>NORMAL</v>
      </c>
      <c r="D479" s="5" t="str">
        <f>IFERROR(__xludf.DUMMYFUNCTION("""COMPUTED_VALUE"""),"ELLYES SKHIRI")</f>
        <v>ELLYES SKHIRI</v>
      </c>
      <c r="E479" s="5">
        <f>IFERROR(__xludf.DUMMYFUNCTION("""COMPUTED_VALUE"""),0.0)</f>
        <v>0</v>
      </c>
      <c r="F479" s="5">
        <f>IFERROR(__xludf.DUMMYFUNCTION("""COMPUTED_VALUE"""),0.0)</f>
        <v>0</v>
      </c>
    </row>
    <row r="480">
      <c r="A480" s="5" t="str">
        <f>IFERROR(__xludf.DUMMYFUNCTION("""COMPUTED_VALUE"""),"TUN10")</f>
        <v>TUN10</v>
      </c>
      <c r="B480" s="5" t="str">
        <f>IFERROR(__xludf.DUMMYFUNCTION("""COMPUTED_VALUE"""),"TUNISIA")</f>
        <v>TUNISIA</v>
      </c>
      <c r="C480" s="5" t="str">
        <f>IFERROR(__xludf.DUMMYFUNCTION("""COMPUTED_VALUE"""),"NORMAL")</f>
        <v>NORMAL</v>
      </c>
      <c r="D480" s="5" t="str">
        <f>IFERROR(__xludf.DUMMYFUNCTION("""COMPUTED_VALUE"""),"AISSA LAIDOUNI")</f>
        <v>AISSA LAIDOUNI</v>
      </c>
      <c r="E480" s="5">
        <f>IFERROR(__xludf.DUMMYFUNCTION("""COMPUTED_VALUE"""),0.0)</f>
        <v>0</v>
      </c>
      <c r="F480" s="5">
        <f>IFERROR(__xludf.DUMMYFUNCTION("""COMPUTED_VALUE"""),0.0)</f>
        <v>0</v>
      </c>
    </row>
    <row r="481">
      <c r="A481" s="5" t="str">
        <f>IFERROR(__xludf.DUMMYFUNCTION("""COMPUTED_VALUE"""),"TUN11")</f>
        <v>TUN11</v>
      </c>
      <c r="B481" s="5" t="str">
        <f>IFERROR(__xludf.DUMMYFUNCTION("""COMPUTED_VALUE"""),"TUNISIA")</f>
        <v>TUNISIA</v>
      </c>
      <c r="C481" s="5" t="str">
        <f>IFERROR(__xludf.DUMMYFUNCTION("""COMPUTED_VALUE"""),"NORMAL")</f>
        <v>NORMAL</v>
      </c>
      <c r="D481" s="5" t="str">
        <f>IFERROR(__xludf.DUMMYFUNCTION("""COMPUTED_VALUE"""),"FERJANI SASSI")</f>
        <v>FERJANI SASSI</v>
      </c>
      <c r="E481" s="5">
        <f>IFERROR(__xludf.DUMMYFUNCTION("""COMPUTED_VALUE"""),0.0)</f>
        <v>0</v>
      </c>
      <c r="F481" s="5">
        <f>IFERROR(__xludf.DUMMYFUNCTION("""COMPUTED_VALUE"""),0.0)</f>
        <v>0</v>
      </c>
    </row>
    <row r="482">
      <c r="A482" s="5" t="str">
        <f>IFERROR(__xludf.DUMMYFUNCTION("""COMPUTED_VALUE"""),"TUN12")</f>
        <v>TUN12</v>
      </c>
      <c r="B482" s="5" t="str">
        <f>IFERROR(__xludf.DUMMYFUNCTION("""COMPUTED_VALUE"""),"TUNISIA")</f>
        <v>TUNISIA</v>
      </c>
      <c r="C482" s="5" t="str">
        <f>IFERROR(__xludf.DUMMYFUNCTION("""COMPUTED_VALUE"""),"NORMAL")</f>
        <v>NORMAL</v>
      </c>
      <c r="D482" s="5" t="str">
        <f>IFERROR(__xludf.DUMMYFUNCTION("""COMPUTED_VALUE"""),"MIOHAMED ALI BEN ROMDHANE")</f>
        <v>MIOHAMED ALI BEN ROMDHANE</v>
      </c>
      <c r="E482" s="5">
        <f>IFERROR(__xludf.DUMMYFUNCTION("""COMPUTED_VALUE"""),0.0)</f>
        <v>0</v>
      </c>
      <c r="F482" s="5">
        <f>IFERROR(__xludf.DUMMYFUNCTION("""COMPUTED_VALUE"""),0.0)</f>
        <v>0</v>
      </c>
    </row>
    <row r="483">
      <c r="A483" s="5" t="str">
        <f>IFERROR(__xludf.DUMMYFUNCTION("""COMPUTED_VALUE"""),"TUN13")</f>
        <v>TUN13</v>
      </c>
      <c r="B483" s="5" t="str">
        <f>IFERROR(__xludf.DUMMYFUNCTION("""COMPUTED_VALUE"""),"TUNISIA")</f>
        <v>TUNISIA</v>
      </c>
      <c r="C483" s="5" t="str">
        <f>IFERROR(__xludf.DUMMYFUNCTION("""COMPUTED_VALUE"""),"TEAM")</f>
        <v>TEAM</v>
      </c>
      <c r="D483" s="5" t="str">
        <f>IFERROR(__xludf.DUMMYFUNCTION("""COMPUTED_VALUE"""),"TUNISIA NATIONAL TEAM")</f>
        <v>TUNISIA NATIONAL TEAM</v>
      </c>
      <c r="E483" s="5">
        <f>IFERROR(__xludf.DUMMYFUNCTION("""COMPUTED_VALUE"""),0.0)</f>
        <v>0</v>
      </c>
      <c r="F483" s="5">
        <f>IFERROR(__xludf.DUMMYFUNCTION("""COMPUTED_VALUE"""),0.0)</f>
        <v>0</v>
      </c>
    </row>
    <row r="484">
      <c r="A484" s="5" t="str">
        <f>IFERROR(__xludf.DUMMYFUNCTION("""COMPUTED_VALUE"""),"TUN14")</f>
        <v>TUN14</v>
      </c>
      <c r="B484" s="5" t="str">
        <f>IFERROR(__xludf.DUMMYFUNCTION("""COMPUTED_VALUE"""),"TUNISIA")</f>
        <v>TUNISIA</v>
      </c>
      <c r="C484" s="5" t="str">
        <f>IFERROR(__xludf.DUMMYFUNCTION("""COMPUTED_VALUE"""),"NORMAL")</f>
        <v>NORMAL</v>
      </c>
      <c r="D484" s="5" t="str">
        <f>IFERROR(__xludf.DUMMYFUNCTION("""COMPUTED_VALUE"""),"HANNIBAL MEJBRI")</f>
        <v>HANNIBAL MEJBRI</v>
      </c>
      <c r="E484" s="5">
        <f>IFERROR(__xludf.DUMMYFUNCTION("""COMPUTED_VALUE"""),0.0)</f>
        <v>0</v>
      </c>
      <c r="F484" s="5">
        <f>IFERROR(__xludf.DUMMYFUNCTION("""COMPUTED_VALUE"""),0.0)</f>
        <v>0</v>
      </c>
    </row>
    <row r="485">
      <c r="A485" s="5" t="str">
        <f>IFERROR(__xludf.DUMMYFUNCTION("""COMPUTED_VALUE"""),"TUN15")</f>
        <v>TUN15</v>
      </c>
      <c r="B485" s="5" t="str">
        <f>IFERROR(__xludf.DUMMYFUNCTION("""COMPUTED_VALUE"""),"TUNISIA")</f>
        <v>TUNISIA</v>
      </c>
      <c r="C485" s="5" t="str">
        <f>IFERROR(__xludf.DUMMYFUNCTION("""COMPUTED_VALUE"""),"NORMAL")</f>
        <v>NORMAL</v>
      </c>
      <c r="D485" s="5" t="str">
        <f>IFERROR(__xludf.DUMMYFUNCTION("""COMPUTED_VALUE"""),"ELIAS ACHOURI")</f>
        <v>ELIAS ACHOURI</v>
      </c>
      <c r="E485" s="5">
        <f>IFERROR(__xludf.DUMMYFUNCTION("""COMPUTED_VALUE"""),0.0)</f>
        <v>0</v>
      </c>
      <c r="F485" s="5">
        <f>IFERROR(__xludf.DUMMYFUNCTION("""COMPUTED_VALUE"""),0.0)</f>
        <v>0</v>
      </c>
    </row>
    <row r="486">
      <c r="A486" s="5" t="str">
        <f>IFERROR(__xludf.DUMMYFUNCTION("""COMPUTED_VALUE"""),"TUN16")</f>
        <v>TUN16</v>
      </c>
      <c r="B486" s="5" t="str">
        <f>IFERROR(__xludf.DUMMYFUNCTION("""COMPUTED_VALUE"""),"TUNISIA")</f>
        <v>TUNISIA</v>
      </c>
      <c r="C486" s="5" t="str">
        <f>IFERROR(__xludf.DUMMYFUNCTION("""COMPUTED_VALUE"""),"NORMAL")</f>
        <v>NORMAL</v>
      </c>
      <c r="D486" s="5" t="str">
        <f>IFERROR(__xludf.DUMMYFUNCTION("""COMPUTED_VALUE"""),"ELIAS SAAD")</f>
        <v>ELIAS SAAD</v>
      </c>
      <c r="E486" s="5">
        <f>IFERROR(__xludf.DUMMYFUNCTION("""COMPUTED_VALUE"""),0.0)</f>
        <v>0</v>
      </c>
      <c r="F486" s="5">
        <f>IFERROR(__xludf.DUMMYFUNCTION("""COMPUTED_VALUE"""),0.0)</f>
        <v>0</v>
      </c>
    </row>
    <row r="487">
      <c r="A487" s="5" t="str">
        <f>IFERROR(__xludf.DUMMYFUNCTION("""COMPUTED_VALUE"""),"TUN17")</f>
        <v>TUN17</v>
      </c>
      <c r="B487" s="5" t="str">
        <f>IFERROR(__xludf.DUMMYFUNCTION("""COMPUTED_VALUE"""),"TUNISIA")</f>
        <v>TUNISIA</v>
      </c>
      <c r="C487" s="5" t="str">
        <f>IFERROR(__xludf.DUMMYFUNCTION("""COMPUTED_VALUE"""),"NORMAL")</f>
        <v>NORMAL</v>
      </c>
      <c r="D487" s="5" t="str">
        <f>IFERROR(__xludf.DUMMYFUNCTION("""COMPUTED_VALUE"""),"HAZEM MASTOURI")</f>
        <v>HAZEM MASTOURI</v>
      </c>
      <c r="E487" s="5">
        <f>IFERROR(__xludf.DUMMYFUNCTION("""COMPUTED_VALUE"""),0.0)</f>
        <v>0</v>
      </c>
      <c r="F487" s="5">
        <f>IFERROR(__xludf.DUMMYFUNCTION("""COMPUTED_VALUE"""),0.0)</f>
        <v>0</v>
      </c>
    </row>
    <row r="488">
      <c r="A488" s="5" t="str">
        <f>IFERROR(__xludf.DUMMYFUNCTION("""COMPUTED_VALUE"""),"TUN18")</f>
        <v>TUN18</v>
      </c>
      <c r="B488" s="5" t="str">
        <f>IFERROR(__xludf.DUMMYFUNCTION("""COMPUTED_VALUE"""),"TUNISIA")</f>
        <v>TUNISIA</v>
      </c>
      <c r="C488" s="5" t="str">
        <f>IFERROR(__xludf.DUMMYFUNCTION("""COMPUTED_VALUE"""),"NORMAL")</f>
        <v>NORMAL</v>
      </c>
      <c r="D488" s="5" t="str">
        <f>IFERROR(__xludf.DUMMYFUNCTION("""COMPUTED_VALUE"""),"ISMAEL GHARBI")</f>
        <v>ISMAEL GHARBI</v>
      </c>
      <c r="E488" s="5">
        <f>IFERROR(__xludf.DUMMYFUNCTION("""COMPUTED_VALUE"""),0.0)</f>
        <v>0</v>
      </c>
      <c r="F488" s="5">
        <f>IFERROR(__xludf.DUMMYFUNCTION("""COMPUTED_VALUE"""),0.0)</f>
        <v>0</v>
      </c>
    </row>
    <row r="489">
      <c r="A489" s="5" t="str">
        <f>IFERROR(__xludf.DUMMYFUNCTION("""COMPUTED_VALUE"""),"TUN19")</f>
        <v>TUN19</v>
      </c>
      <c r="B489" s="5" t="str">
        <f>IFERROR(__xludf.DUMMYFUNCTION("""COMPUTED_VALUE"""),"TUNISIA")</f>
        <v>TUNISIA</v>
      </c>
      <c r="C489" s="5" t="str">
        <f>IFERROR(__xludf.DUMMYFUNCTION("""COMPUTED_VALUE"""),"NORMAL")</f>
        <v>NORMAL</v>
      </c>
      <c r="D489" s="5" t="str">
        <f>IFERROR(__xludf.DUMMYFUNCTION("""COMPUTED_VALUE"""),"SAYFALLAH LTAIEF")</f>
        <v>SAYFALLAH LTAIEF</v>
      </c>
      <c r="E489" s="5">
        <f>IFERROR(__xludf.DUMMYFUNCTION("""COMPUTED_VALUE"""),0.0)</f>
        <v>0</v>
      </c>
      <c r="F489" s="5">
        <f>IFERROR(__xludf.DUMMYFUNCTION("""COMPUTED_VALUE"""),0.0)</f>
        <v>0</v>
      </c>
    </row>
    <row r="490">
      <c r="A490" s="5" t="str">
        <f>IFERROR(__xludf.DUMMYFUNCTION("""COMPUTED_VALUE"""),"TUN20")</f>
        <v>TUN20</v>
      </c>
      <c r="B490" s="5" t="str">
        <f>IFERROR(__xludf.DUMMYFUNCTION("""COMPUTED_VALUE"""),"TUNISIA")</f>
        <v>TUNISIA</v>
      </c>
      <c r="C490" s="5" t="str">
        <f>IFERROR(__xludf.DUMMYFUNCTION("""COMPUTED_VALUE"""),"NORMAL")</f>
        <v>NORMAL</v>
      </c>
      <c r="D490" s="5" t="str">
        <f>IFERROR(__xludf.DUMMYFUNCTION("""COMPUTED_VALUE"""),"NAIM SLITTI")</f>
        <v>NAIM SLITTI</v>
      </c>
      <c r="E490" s="5">
        <f>IFERROR(__xludf.DUMMYFUNCTION("""COMPUTED_VALUE"""),0.0)</f>
        <v>0</v>
      </c>
      <c r="F490" s="5">
        <f>IFERROR(__xludf.DUMMYFUNCTION("""COMPUTED_VALUE"""),0.0)</f>
        <v>0</v>
      </c>
    </row>
    <row r="491">
      <c r="A491" s="7" t="str">
        <f>IFERROR(__xludf.DUMMYFUNCTION("""COMPUTED_VALUE"""),"CC1")</f>
        <v>CC1</v>
      </c>
      <c r="B491" s="5" t="str">
        <f>IFERROR(__xludf.DUMMYFUNCTION("""COMPUTED_VALUE"""),"SECTION 3")</f>
        <v>SECTION 3</v>
      </c>
      <c r="C491" s="5" t="str">
        <f>IFERROR(__xludf.DUMMYFUNCTION("""COMPUTED_VALUE"""),"SPECIAL")</f>
        <v>SPECIAL</v>
      </c>
      <c r="D491" s="5" t="str">
        <f>IFERROR(__xludf.DUMMYFUNCTION("""COMPUTED_VALUE"""),"LAMINE YAMAL")</f>
        <v>LAMINE YAMAL</v>
      </c>
      <c r="E491" s="8">
        <f>IFERROR(__xludf.DUMMYFUNCTION("""COMPUTED_VALUE"""),0.0)</f>
        <v>0</v>
      </c>
      <c r="F491" s="5">
        <f>IFERROR(__xludf.DUMMYFUNCTION("""COMPUTED_VALUE"""),0.0)</f>
        <v>0</v>
      </c>
    </row>
    <row r="492">
      <c r="A492" s="5" t="str">
        <f>IFERROR(__xludf.DUMMYFUNCTION("""COMPUTED_VALUE"""),"CC2")</f>
        <v>CC2</v>
      </c>
      <c r="B492" s="5" t="str">
        <f>IFERROR(__xludf.DUMMYFUNCTION("""COMPUTED_VALUE"""),"SECTION 3")</f>
        <v>SECTION 3</v>
      </c>
      <c r="C492" s="5" t="str">
        <f>IFERROR(__xludf.DUMMYFUNCTION("""COMPUTED_VALUE"""),"SPECIAL")</f>
        <v>SPECIAL</v>
      </c>
      <c r="D492" s="5" t="str">
        <f>IFERROR(__xludf.DUMMYFUNCTION("""COMPUTED_VALUE"""),"JOSHUE KIMMICH")</f>
        <v>JOSHUE KIMMICH</v>
      </c>
      <c r="E492" s="8">
        <f>IFERROR(__xludf.DUMMYFUNCTION("""COMPUTED_VALUE"""),0.0)</f>
        <v>0</v>
      </c>
      <c r="F492" s="5">
        <f>IFERROR(__xludf.DUMMYFUNCTION("""COMPUTED_VALUE"""),0.0)</f>
        <v>0</v>
      </c>
    </row>
    <row r="493">
      <c r="A493" s="5" t="str">
        <f>IFERROR(__xludf.DUMMYFUNCTION("""COMPUTED_VALUE"""),"CC3")</f>
        <v>CC3</v>
      </c>
      <c r="B493" s="5" t="str">
        <f>IFERROR(__xludf.DUMMYFUNCTION("""COMPUTED_VALUE"""),"SECTION 3")</f>
        <v>SECTION 3</v>
      </c>
      <c r="C493" s="5" t="str">
        <f>IFERROR(__xludf.DUMMYFUNCTION("""COMPUTED_VALUE"""),"SPECIAL")</f>
        <v>SPECIAL</v>
      </c>
      <c r="D493" s="5" t="str">
        <f>IFERROR(__xludf.DUMMYFUNCTION("""COMPUTED_VALUE"""),"HARRY KANE")</f>
        <v>HARRY KANE</v>
      </c>
      <c r="E493" s="8">
        <f>IFERROR(__xludf.DUMMYFUNCTION("""COMPUTED_VALUE"""),0.0)</f>
        <v>0</v>
      </c>
      <c r="F493" s="5">
        <f>IFERROR(__xludf.DUMMYFUNCTION("""COMPUTED_VALUE"""),0.0)</f>
        <v>0</v>
      </c>
    </row>
    <row r="494">
      <c r="A494" s="7" t="str">
        <f>IFERROR(__xludf.DUMMYFUNCTION("""COMPUTED_VALUE"""),"CC4")</f>
        <v>CC4</v>
      </c>
      <c r="B494" s="5" t="str">
        <f>IFERROR(__xludf.DUMMYFUNCTION("""COMPUTED_VALUE"""),"SECTION 3")</f>
        <v>SECTION 3</v>
      </c>
      <c r="C494" s="5" t="str">
        <f>IFERROR(__xludf.DUMMYFUNCTION("""COMPUTED_VALUE"""),"SPECIAL")</f>
        <v>SPECIAL</v>
      </c>
      <c r="D494" s="5" t="str">
        <f>IFERROR(__xludf.DUMMYFUNCTION("""COMPUTED_VALUE"""),"SANTIAGO GIMENEZ")</f>
        <v>SANTIAGO GIMENEZ</v>
      </c>
      <c r="E494" s="8">
        <f>IFERROR(__xludf.DUMMYFUNCTION("""COMPUTED_VALUE"""),0.0)</f>
        <v>0</v>
      </c>
      <c r="F494" s="5">
        <f>IFERROR(__xludf.DUMMYFUNCTION("""COMPUTED_VALUE"""),0.0)</f>
        <v>0</v>
      </c>
    </row>
    <row r="495">
      <c r="A495" s="5" t="str">
        <f>IFERROR(__xludf.DUMMYFUNCTION("""COMPUTED_VALUE"""),"CC5")</f>
        <v>CC5</v>
      </c>
      <c r="B495" s="5" t="str">
        <f>IFERROR(__xludf.DUMMYFUNCTION("""COMPUTED_VALUE"""),"SECTION 3")</f>
        <v>SECTION 3</v>
      </c>
      <c r="C495" s="5" t="str">
        <f>IFERROR(__xludf.DUMMYFUNCTION("""COMPUTED_VALUE"""),"SPECIAL")</f>
        <v>SPECIAL</v>
      </c>
      <c r="D495" s="5" t="str">
        <f>IFERROR(__xludf.DUMMYFUNCTION("""COMPUTED_VALUE"""),"JOSKO GVARDIOL")</f>
        <v>JOSKO GVARDIOL</v>
      </c>
      <c r="E495" s="8">
        <f>IFERROR(__xludf.DUMMYFUNCTION("""COMPUTED_VALUE"""),0.0)</f>
        <v>0</v>
      </c>
      <c r="F495" s="5">
        <f>IFERROR(__xludf.DUMMYFUNCTION("""COMPUTED_VALUE"""),0.0)</f>
        <v>0</v>
      </c>
    </row>
    <row r="496">
      <c r="A496" s="5" t="str">
        <f>IFERROR(__xludf.DUMMYFUNCTION("""COMPUTED_VALUE"""),"CC6")</f>
        <v>CC6</v>
      </c>
      <c r="B496" s="5" t="str">
        <f>IFERROR(__xludf.DUMMYFUNCTION("""COMPUTED_VALUE"""),"SECTION 3")</f>
        <v>SECTION 3</v>
      </c>
      <c r="C496" s="5" t="str">
        <f>IFERROR(__xludf.DUMMYFUNCTION("""COMPUTED_VALUE"""),"SPECIAL")</f>
        <v>SPECIAL</v>
      </c>
      <c r="D496" s="5" t="str">
        <f>IFERROR(__xludf.DUMMYFUNCTION("""COMPUTED_VALUE"""),"FEDERICO VALVERDE")</f>
        <v>FEDERICO VALVERDE</v>
      </c>
      <c r="E496" s="8">
        <f>IFERROR(__xludf.DUMMYFUNCTION("""COMPUTED_VALUE"""),0.0)</f>
        <v>0</v>
      </c>
      <c r="F496" s="5">
        <f>IFERROR(__xludf.DUMMYFUNCTION("""COMPUTED_VALUE"""),0.0)</f>
        <v>0</v>
      </c>
    </row>
    <row r="497">
      <c r="A497" s="7" t="str">
        <f>IFERROR(__xludf.DUMMYFUNCTION("""COMPUTED_VALUE"""),"CC7")</f>
        <v>CC7</v>
      </c>
      <c r="B497" s="5" t="str">
        <f>IFERROR(__xludf.DUMMYFUNCTION("""COMPUTED_VALUE"""),"SECTION 3")</f>
        <v>SECTION 3</v>
      </c>
      <c r="C497" s="5" t="str">
        <f>IFERROR(__xludf.DUMMYFUNCTION("""COMPUTED_VALUE"""),"SPECIAL")</f>
        <v>SPECIAL</v>
      </c>
      <c r="D497" s="5" t="str">
        <f>IFERROR(__xludf.DUMMYFUNCTION("""COMPUTED_VALUE"""),"JEFFERSON LERMA")</f>
        <v>JEFFERSON LERMA</v>
      </c>
      <c r="E497" s="8">
        <f>IFERROR(__xludf.DUMMYFUNCTION("""COMPUTED_VALUE"""),0.0)</f>
        <v>0</v>
      </c>
      <c r="F497" s="5">
        <f>IFERROR(__xludf.DUMMYFUNCTION("""COMPUTED_VALUE"""),0.0)</f>
        <v>0</v>
      </c>
    </row>
    <row r="498">
      <c r="A498" s="5" t="str">
        <f>IFERROR(__xludf.DUMMYFUNCTION("""COMPUTED_VALUE"""),"CC8")</f>
        <v>CC8</v>
      </c>
      <c r="B498" s="5" t="str">
        <f>IFERROR(__xludf.DUMMYFUNCTION("""COMPUTED_VALUE"""),"SECTION 3")</f>
        <v>SECTION 3</v>
      </c>
      <c r="C498" s="5" t="str">
        <f>IFERROR(__xludf.DUMMYFUNCTION("""COMPUTED_VALUE"""),"SPECIAL")</f>
        <v>SPECIAL</v>
      </c>
      <c r="D498" s="5" t="str">
        <f>IFERROR(__xludf.DUMMYFUNCTION("""COMPUTED_VALUE"""),"ENNER VALENCIA")</f>
        <v>ENNER VALENCIA</v>
      </c>
      <c r="E498" s="8">
        <f>IFERROR(__xludf.DUMMYFUNCTION("""COMPUTED_VALUE"""),0.0)</f>
        <v>0</v>
      </c>
      <c r="F498" s="5">
        <f>IFERROR(__xludf.DUMMYFUNCTION("""COMPUTED_VALUE"""),0.0)</f>
        <v>0</v>
      </c>
    </row>
    <row r="499">
      <c r="A499" s="5" t="str">
        <f>IFERROR(__xludf.DUMMYFUNCTION("""COMPUTED_VALUE"""),"CC9")</f>
        <v>CC9</v>
      </c>
      <c r="B499" s="5" t="str">
        <f>IFERROR(__xludf.DUMMYFUNCTION("""COMPUTED_VALUE"""),"SECTION 3")</f>
        <v>SECTION 3</v>
      </c>
      <c r="C499" s="5" t="str">
        <f>IFERROR(__xludf.DUMMYFUNCTION("""COMPUTED_VALUE"""),"SPECIAL")</f>
        <v>SPECIAL</v>
      </c>
      <c r="D499" s="5" t="str">
        <f>IFERROR(__xludf.DUMMYFUNCTION("""COMPUTED_VALUE"""),"GABRIEL MAGALHAES")</f>
        <v>GABRIEL MAGALHAES</v>
      </c>
      <c r="E499" s="8">
        <f>IFERROR(__xludf.DUMMYFUNCTION("""COMPUTED_VALUE"""),0.0)</f>
        <v>0</v>
      </c>
      <c r="F499" s="5">
        <f>IFERROR(__xludf.DUMMYFUNCTION("""COMPUTED_VALUE"""),0.0)</f>
        <v>0</v>
      </c>
    </row>
    <row r="500">
      <c r="A500" s="7" t="str">
        <f>IFERROR(__xludf.DUMMYFUNCTION("""COMPUTED_VALUE"""),"CC10")</f>
        <v>CC10</v>
      </c>
      <c r="B500" s="5" t="str">
        <f>IFERROR(__xludf.DUMMYFUNCTION("""COMPUTED_VALUE"""),"SECTION 3")</f>
        <v>SECTION 3</v>
      </c>
      <c r="C500" s="5" t="str">
        <f>IFERROR(__xludf.DUMMYFUNCTION("""COMPUTED_VALUE"""),"SPECIAL")</f>
        <v>SPECIAL</v>
      </c>
      <c r="D500" s="5" t="str">
        <f>IFERROR(__xludf.DUMMYFUNCTION("""COMPUTED_VALUE"""),"VIRGIL VAN DIJK")</f>
        <v>VIRGIL VAN DIJK</v>
      </c>
      <c r="E500" s="8">
        <f>IFERROR(__xludf.DUMMYFUNCTION("""COMPUTED_VALUE"""),0.0)</f>
        <v>0</v>
      </c>
      <c r="F500" s="5">
        <f>IFERROR(__xludf.DUMMYFUNCTION("""COMPUTED_VALUE"""),0.0)</f>
        <v>0</v>
      </c>
    </row>
    <row r="501">
      <c r="A501" s="5" t="str">
        <f>IFERROR(__xludf.DUMMYFUNCTION("""COMPUTED_VALUE"""),"CC11")</f>
        <v>CC11</v>
      </c>
      <c r="B501" s="5" t="str">
        <f>IFERROR(__xludf.DUMMYFUNCTION("""COMPUTED_VALUE"""),"SECTION 3")</f>
        <v>SECTION 3</v>
      </c>
      <c r="C501" s="5" t="str">
        <f>IFERROR(__xludf.DUMMYFUNCTION("""COMPUTED_VALUE"""),"SPECIAL")</f>
        <v>SPECIAL</v>
      </c>
      <c r="D501" s="5" t="str">
        <f>IFERROR(__xludf.DUMMYFUNCTION("""COMPUTED_VALUE"""),"ALPHONSO DAVIES")</f>
        <v>ALPHONSO DAVIES</v>
      </c>
      <c r="E501" s="8">
        <f>IFERROR(__xludf.DUMMYFUNCTION("""COMPUTED_VALUE"""),0.0)</f>
        <v>0</v>
      </c>
      <c r="F501" s="5">
        <f>IFERROR(__xludf.DUMMYFUNCTION("""COMPUTED_VALUE"""),0.0)</f>
        <v>0</v>
      </c>
    </row>
    <row r="502">
      <c r="A502" s="5" t="str">
        <f>IFERROR(__xludf.DUMMYFUNCTION("""COMPUTED_VALUE"""),"CC12")</f>
        <v>CC12</v>
      </c>
      <c r="B502" s="5" t="str">
        <f>IFERROR(__xludf.DUMMYFUNCTION("""COMPUTED_VALUE"""),"SECTION 3")</f>
        <v>SECTION 3</v>
      </c>
      <c r="C502" s="5" t="str">
        <f>IFERROR(__xludf.DUMMYFUNCTION("""COMPUTED_VALUE"""),"SPECIAL")</f>
        <v>SPECIAL</v>
      </c>
      <c r="D502" s="5" t="str">
        <f>IFERROR(__xludf.DUMMYFUNCTION("""COMPUTED_VALUE"""),"EMILIANO MARTINEZ")</f>
        <v>EMILIANO MARTINEZ</v>
      </c>
      <c r="E502" s="8">
        <f>IFERROR(__xludf.DUMMYFUNCTION("""COMPUTED_VALUE"""),0.0)</f>
        <v>0</v>
      </c>
      <c r="F502" s="5">
        <f>IFERROR(__xludf.DUMMYFUNCTION("""COMPUTED_VALUE"""),0.0)</f>
        <v>0</v>
      </c>
    </row>
    <row r="503">
      <c r="A503" s="7" t="str">
        <f>IFERROR(__xludf.DUMMYFUNCTION("""COMPUTED_VALUE"""),"CC13")</f>
        <v>CC13</v>
      </c>
      <c r="B503" s="5" t="str">
        <f>IFERROR(__xludf.DUMMYFUNCTION("""COMPUTED_VALUE"""),"SECTION 3")</f>
        <v>SECTION 3</v>
      </c>
      <c r="C503" s="5" t="str">
        <f>IFERROR(__xludf.DUMMYFUNCTION("""COMPUTED_VALUE"""),"SPECIAL")</f>
        <v>SPECIAL</v>
      </c>
      <c r="D503" s="5" t="str">
        <f>IFERROR(__xludf.DUMMYFUNCTION("""COMPUTED_VALUE"""),"RAUL JIMENEZ")</f>
        <v>RAUL JIMENEZ</v>
      </c>
      <c r="E503" s="8">
        <f>IFERROR(__xludf.DUMMYFUNCTION("""COMPUTED_VALUE"""),0.0)</f>
        <v>0</v>
      </c>
      <c r="F503" s="5">
        <f>IFERROR(__xludf.DUMMYFUNCTION("""COMPUTED_VALUE"""),0.0)</f>
        <v>0</v>
      </c>
    </row>
    <row r="504">
      <c r="A504" s="5" t="str">
        <f>IFERROR(__xludf.DUMMYFUNCTION("""COMPUTED_VALUE"""),"CC14")</f>
        <v>CC14</v>
      </c>
      <c r="B504" s="5" t="str">
        <f>IFERROR(__xludf.DUMMYFUNCTION("""COMPUTED_VALUE"""),"SECTION 3")</f>
        <v>SECTION 3</v>
      </c>
      <c r="C504" s="5" t="str">
        <f>IFERROR(__xludf.DUMMYFUNCTION("""COMPUTED_VALUE"""),"SPECIAL")</f>
        <v>SPECIAL</v>
      </c>
      <c r="D504" s="5" t="str">
        <f>IFERROR(__xludf.DUMMYFUNCTION("""COMPUTED_VALUE"""),"LAUTARO MARTINEZ")</f>
        <v>LAUTARO MARTINEZ</v>
      </c>
      <c r="E504" s="8">
        <f>IFERROR(__xludf.DUMMYFUNCTION("""COMPUTED_VALUE"""),0.0)</f>
        <v>0</v>
      </c>
      <c r="F504" s="5">
        <f>IFERROR(__xludf.DUMMYFUNCTION("""COMPUTED_VALUE"""),0.0)</f>
        <v>0</v>
      </c>
    </row>
    <row r="505">
      <c r="A505" s="5" t="str">
        <f>IFERROR(__xludf.DUMMYFUNCTION("""COMPUTED_VALUE"""),"BEL01")</f>
        <v>BEL01</v>
      </c>
      <c r="B505" s="5" t="str">
        <f>IFERROR(__xludf.DUMMYFUNCTION("""COMPUTED_VALUE"""),"BELGIUM")</f>
        <v>BELGIUM</v>
      </c>
      <c r="C505" s="5" t="str">
        <f>IFERROR(__xludf.DUMMYFUNCTION("""COMPUTED_VALUE"""),"BADGE")</f>
        <v>BADGE</v>
      </c>
      <c r="D505" s="5" t="str">
        <f>IFERROR(__xludf.DUMMYFUNCTION("""COMPUTED_VALUE"""),"BELGIUM NATIONAL TEAM")</f>
        <v>BELGIUM NATIONAL TEAM</v>
      </c>
      <c r="E505" s="5">
        <f>IFERROR(__xludf.DUMMYFUNCTION("""COMPUTED_VALUE"""),0.0)</f>
        <v>0</v>
      </c>
      <c r="F505" s="5">
        <f>IFERROR(__xludf.DUMMYFUNCTION("""COMPUTED_VALUE"""),0.0)</f>
        <v>0</v>
      </c>
    </row>
    <row r="506">
      <c r="A506" s="5" t="str">
        <f>IFERROR(__xludf.DUMMYFUNCTION("""COMPUTED_VALUE"""),"BEL02")</f>
        <v>BEL02</v>
      </c>
      <c r="B506" s="5" t="str">
        <f>IFERROR(__xludf.DUMMYFUNCTION("""COMPUTED_VALUE"""),"BELGIUM")</f>
        <v>BELGIUM</v>
      </c>
      <c r="C506" s="5" t="str">
        <f>IFERROR(__xludf.DUMMYFUNCTION("""COMPUTED_VALUE"""),"NORMAL")</f>
        <v>NORMAL</v>
      </c>
      <c r="D506" s="5" t="str">
        <f>IFERROR(__xludf.DUMMYFUNCTION("""COMPUTED_VALUE"""),"THIBAUT COURTOIS")</f>
        <v>THIBAUT COURTOIS</v>
      </c>
      <c r="E506" s="5">
        <f>IFERROR(__xludf.DUMMYFUNCTION("""COMPUTED_VALUE"""),0.0)</f>
        <v>0</v>
      </c>
      <c r="F506" s="5">
        <f>IFERROR(__xludf.DUMMYFUNCTION("""COMPUTED_VALUE"""),0.0)</f>
        <v>0</v>
      </c>
    </row>
    <row r="507">
      <c r="A507" s="5" t="str">
        <f>IFERROR(__xludf.DUMMYFUNCTION("""COMPUTED_VALUE"""),"BEL03")</f>
        <v>BEL03</v>
      </c>
      <c r="B507" s="5" t="str">
        <f>IFERROR(__xludf.DUMMYFUNCTION("""COMPUTED_VALUE"""),"BELGIUM")</f>
        <v>BELGIUM</v>
      </c>
      <c r="C507" s="5" t="str">
        <f>IFERROR(__xludf.DUMMYFUNCTION("""COMPUTED_VALUE"""),"NORMAL")</f>
        <v>NORMAL</v>
      </c>
      <c r="D507" s="5" t="str">
        <f>IFERROR(__xludf.DUMMYFUNCTION("""COMPUTED_VALUE"""),"ARTHUR THEATE")</f>
        <v>ARTHUR THEATE</v>
      </c>
      <c r="E507" s="5">
        <f>IFERROR(__xludf.DUMMYFUNCTION("""COMPUTED_VALUE"""),0.0)</f>
        <v>0</v>
      </c>
      <c r="F507" s="5">
        <f>IFERROR(__xludf.DUMMYFUNCTION("""COMPUTED_VALUE"""),0.0)</f>
        <v>0</v>
      </c>
    </row>
    <row r="508">
      <c r="A508" s="5" t="str">
        <f>IFERROR(__xludf.DUMMYFUNCTION("""COMPUTED_VALUE"""),"BEL04")</f>
        <v>BEL04</v>
      </c>
      <c r="B508" s="5" t="str">
        <f>IFERROR(__xludf.DUMMYFUNCTION("""COMPUTED_VALUE"""),"BELGIUM")</f>
        <v>BELGIUM</v>
      </c>
      <c r="C508" s="5" t="str">
        <f>IFERROR(__xludf.DUMMYFUNCTION("""COMPUTED_VALUE"""),"NORMAL")</f>
        <v>NORMAL</v>
      </c>
      <c r="D508" s="5" t="str">
        <f>IFERROR(__xludf.DUMMYFUNCTION("""COMPUTED_VALUE"""),"TIMOTHY CASTAGNE")</f>
        <v>TIMOTHY CASTAGNE</v>
      </c>
      <c r="E508" s="5">
        <f>IFERROR(__xludf.DUMMYFUNCTION("""COMPUTED_VALUE"""),0.0)</f>
        <v>0</v>
      </c>
      <c r="F508" s="5">
        <f>IFERROR(__xludf.DUMMYFUNCTION("""COMPUTED_VALUE"""),0.0)</f>
        <v>0</v>
      </c>
    </row>
    <row r="509">
      <c r="A509" s="5" t="str">
        <f>IFERROR(__xludf.DUMMYFUNCTION("""COMPUTED_VALUE"""),"BEL05")</f>
        <v>BEL05</v>
      </c>
      <c r="B509" s="5" t="str">
        <f>IFERROR(__xludf.DUMMYFUNCTION("""COMPUTED_VALUE"""),"BELGIUM")</f>
        <v>BELGIUM</v>
      </c>
      <c r="C509" s="5" t="str">
        <f>IFERROR(__xludf.DUMMYFUNCTION("""COMPUTED_VALUE"""),"NORMAL")</f>
        <v>NORMAL</v>
      </c>
      <c r="D509" s="5" t="str">
        <f>IFERROR(__xludf.DUMMYFUNCTION("""COMPUTED_VALUE"""),"ZENO DEBASR")</f>
        <v>ZENO DEBASR</v>
      </c>
      <c r="E509" s="5">
        <f>IFERROR(__xludf.DUMMYFUNCTION("""COMPUTED_VALUE"""),0.0)</f>
        <v>0</v>
      </c>
      <c r="F509" s="5">
        <f>IFERROR(__xludf.DUMMYFUNCTION("""COMPUTED_VALUE"""),0.0)</f>
        <v>0</v>
      </c>
    </row>
    <row r="510">
      <c r="A510" s="5" t="str">
        <f>IFERROR(__xludf.DUMMYFUNCTION("""COMPUTED_VALUE"""),"BEL06")</f>
        <v>BEL06</v>
      </c>
      <c r="B510" s="5" t="str">
        <f>IFERROR(__xludf.DUMMYFUNCTION("""COMPUTED_VALUE"""),"BELGIUM")</f>
        <v>BELGIUM</v>
      </c>
      <c r="C510" s="5" t="str">
        <f>IFERROR(__xludf.DUMMYFUNCTION("""COMPUTED_VALUE"""),"NORMAL")</f>
        <v>NORMAL</v>
      </c>
      <c r="D510" s="5" t="str">
        <f>IFERROR(__xludf.DUMMYFUNCTION("""COMPUTED_VALUE"""),"BRANDON MECHELE")</f>
        <v>BRANDON MECHELE</v>
      </c>
      <c r="E510" s="5">
        <f>IFERROR(__xludf.DUMMYFUNCTION("""COMPUTED_VALUE"""),0.0)</f>
        <v>0</v>
      </c>
      <c r="F510" s="5">
        <f>IFERROR(__xludf.DUMMYFUNCTION("""COMPUTED_VALUE"""),0.0)</f>
        <v>0</v>
      </c>
    </row>
    <row r="511">
      <c r="A511" s="5" t="str">
        <f>IFERROR(__xludf.DUMMYFUNCTION("""COMPUTED_VALUE"""),"BEL07")</f>
        <v>BEL07</v>
      </c>
      <c r="B511" s="5" t="str">
        <f>IFERROR(__xludf.DUMMYFUNCTION("""COMPUTED_VALUE"""),"BELGIUM")</f>
        <v>BELGIUM</v>
      </c>
      <c r="C511" s="5" t="str">
        <f>IFERROR(__xludf.DUMMYFUNCTION("""COMPUTED_VALUE"""),"NORMAL")</f>
        <v>NORMAL</v>
      </c>
      <c r="D511" s="5" t="str">
        <f>IFERROR(__xludf.DUMMYFUNCTION("""COMPUTED_VALUE"""),"MAXIM DE CUYPER")</f>
        <v>MAXIM DE CUYPER</v>
      </c>
      <c r="E511" s="5">
        <f>IFERROR(__xludf.DUMMYFUNCTION("""COMPUTED_VALUE"""),0.0)</f>
        <v>0</v>
      </c>
      <c r="F511" s="5">
        <f>IFERROR(__xludf.DUMMYFUNCTION("""COMPUTED_VALUE"""),0.0)</f>
        <v>0</v>
      </c>
    </row>
    <row r="512">
      <c r="A512" s="5" t="str">
        <f>IFERROR(__xludf.DUMMYFUNCTION("""COMPUTED_VALUE"""),"BEL08")</f>
        <v>BEL08</v>
      </c>
      <c r="B512" s="5" t="str">
        <f>IFERROR(__xludf.DUMMYFUNCTION("""COMPUTED_VALUE"""),"BELGIUM")</f>
        <v>BELGIUM</v>
      </c>
      <c r="C512" s="5" t="str">
        <f>IFERROR(__xludf.DUMMYFUNCTION("""COMPUTED_VALUE"""),"NORMAL")</f>
        <v>NORMAL</v>
      </c>
      <c r="D512" s="5" t="str">
        <f>IFERROR(__xludf.DUMMYFUNCTION("""COMPUTED_VALUE"""),"THOMAS MEUNIER")</f>
        <v>THOMAS MEUNIER</v>
      </c>
      <c r="E512" s="5">
        <f>IFERROR(__xludf.DUMMYFUNCTION("""COMPUTED_VALUE"""),0.0)</f>
        <v>0</v>
      </c>
      <c r="F512" s="5">
        <f>IFERROR(__xludf.DUMMYFUNCTION("""COMPUTED_VALUE"""),0.0)</f>
        <v>0</v>
      </c>
    </row>
    <row r="513">
      <c r="A513" s="5" t="str">
        <f>IFERROR(__xludf.DUMMYFUNCTION("""COMPUTED_VALUE"""),"BEL09")</f>
        <v>BEL09</v>
      </c>
      <c r="B513" s="5" t="str">
        <f>IFERROR(__xludf.DUMMYFUNCTION("""COMPUTED_VALUE"""),"BELGIUM")</f>
        <v>BELGIUM</v>
      </c>
      <c r="C513" s="5" t="str">
        <f>IFERROR(__xludf.DUMMYFUNCTION("""COMPUTED_VALUE"""),"NORMAL")</f>
        <v>NORMAL</v>
      </c>
      <c r="D513" s="5" t="str">
        <f>IFERROR(__xludf.DUMMYFUNCTION("""COMPUTED_VALUE"""),"YOURI TIELEMANS")</f>
        <v>YOURI TIELEMANS</v>
      </c>
      <c r="E513" s="5">
        <f>IFERROR(__xludf.DUMMYFUNCTION("""COMPUTED_VALUE"""),0.0)</f>
        <v>0</v>
      </c>
      <c r="F513" s="5">
        <f>IFERROR(__xludf.DUMMYFUNCTION("""COMPUTED_VALUE"""),0.0)</f>
        <v>0</v>
      </c>
    </row>
    <row r="514">
      <c r="A514" s="5" t="str">
        <f>IFERROR(__xludf.DUMMYFUNCTION("""COMPUTED_VALUE"""),"BEL10")</f>
        <v>BEL10</v>
      </c>
      <c r="B514" s="5" t="str">
        <f>IFERROR(__xludf.DUMMYFUNCTION("""COMPUTED_VALUE"""),"BELGIUM")</f>
        <v>BELGIUM</v>
      </c>
      <c r="C514" s="5" t="str">
        <f>IFERROR(__xludf.DUMMYFUNCTION("""COMPUTED_VALUE"""),"NORMAL")</f>
        <v>NORMAL</v>
      </c>
      <c r="D514" s="5" t="str">
        <f>IFERROR(__xludf.DUMMYFUNCTION("""COMPUTED_VALUE"""),"AMADOU ONANA")</f>
        <v>AMADOU ONANA</v>
      </c>
      <c r="E514" s="5">
        <f>IFERROR(__xludf.DUMMYFUNCTION("""COMPUTED_VALUE"""),0.0)</f>
        <v>0</v>
      </c>
      <c r="F514" s="5">
        <f>IFERROR(__xludf.DUMMYFUNCTION("""COMPUTED_VALUE"""),0.0)</f>
        <v>0</v>
      </c>
    </row>
    <row r="515">
      <c r="A515" s="5" t="str">
        <f>IFERROR(__xludf.DUMMYFUNCTION("""COMPUTED_VALUE"""),"BEL11")</f>
        <v>BEL11</v>
      </c>
      <c r="B515" s="5" t="str">
        <f>IFERROR(__xludf.DUMMYFUNCTION("""COMPUTED_VALUE"""),"BELGIUM")</f>
        <v>BELGIUM</v>
      </c>
      <c r="C515" s="5" t="str">
        <f>IFERROR(__xludf.DUMMYFUNCTION("""COMPUTED_VALUE"""),"NORMAL")</f>
        <v>NORMAL</v>
      </c>
      <c r="D515" s="5" t="str">
        <f>IFERROR(__xludf.DUMMYFUNCTION("""COMPUTED_VALUE"""),"NICOLAS RASKIN")</f>
        <v>NICOLAS RASKIN</v>
      </c>
      <c r="E515" s="5">
        <f>IFERROR(__xludf.DUMMYFUNCTION("""COMPUTED_VALUE"""),0.0)</f>
        <v>0</v>
      </c>
      <c r="F515" s="5">
        <f>IFERROR(__xludf.DUMMYFUNCTION("""COMPUTED_VALUE"""),0.0)</f>
        <v>0</v>
      </c>
    </row>
    <row r="516">
      <c r="A516" s="5" t="str">
        <f>IFERROR(__xludf.DUMMYFUNCTION("""COMPUTED_VALUE"""),"BEL12")</f>
        <v>BEL12</v>
      </c>
      <c r="B516" s="5" t="str">
        <f>IFERROR(__xludf.DUMMYFUNCTION("""COMPUTED_VALUE"""),"BELGIUM")</f>
        <v>BELGIUM</v>
      </c>
      <c r="C516" s="5" t="str">
        <f>IFERROR(__xludf.DUMMYFUNCTION("""COMPUTED_VALUE"""),"NORMAL")</f>
        <v>NORMAL</v>
      </c>
      <c r="D516" s="5" t="str">
        <f>IFERROR(__xludf.DUMMYFUNCTION("""COMPUTED_VALUE"""),"ALEXIS SAELEMAEKERS")</f>
        <v>ALEXIS SAELEMAEKERS</v>
      </c>
      <c r="E516" s="5">
        <f>IFERROR(__xludf.DUMMYFUNCTION("""COMPUTED_VALUE"""),0.0)</f>
        <v>0</v>
      </c>
      <c r="F516" s="5">
        <f>IFERROR(__xludf.DUMMYFUNCTION("""COMPUTED_VALUE"""),0.0)</f>
        <v>0</v>
      </c>
    </row>
    <row r="517">
      <c r="A517" s="5" t="str">
        <f>IFERROR(__xludf.DUMMYFUNCTION("""COMPUTED_VALUE"""),"BEL13")</f>
        <v>BEL13</v>
      </c>
      <c r="B517" s="5" t="str">
        <f>IFERROR(__xludf.DUMMYFUNCTION("""COMPUTED_VALUE"""),"BELGIUM")</f>
        <v>BELGIUM</v>
      </c>
      <c r="C517" s="5" t="str">
        <f>IFERROR(__xludf.DUMMYFUNCTION("""COMPUTED_VALUE"""),"TEAM")</f>
        <v>TEAM</v>
      </c>
      <c r="D517" s="5" t="str">
        <f>IFERROR(__xludf.DUMMYFUNCTION("""COMPUTED_VALUE"""),"BELGIUM NATIONAL TEAM")</f>
        <v>BELGIUM NATIONAL TEAM</v>
      </c>
      <c r="E517" s="5">
        <f>IFERROR(__xludf.DUMMYFUNCTION("""COMPUTED_VALUE"""),0.0)</f>
        <v>0</v>
      </c>
      <c r="F517" s="5">
        <f>IFERROR(__xludf.DUMMYFUNCTION("""COMPUTED_VALUE"""),0.0)</f>
        <v>0</v>
      </c>
    </row>
    <row r="518">
      <c r="A518" s="5" t="str">
        <f>IFERROR(__xludf.DUMMYFUNCTION("""COMPUTED_VALUE"""),"BEL14")</f>
        <v>BEL14</v>
      </c>
      <c r="B518" s="5" t="str">
        <f>IFERROR(__xludf.DUMMYFUNCTION("""COMPUTED_VALUE"""),"BELGIUM")</f>
        <v>BELGIUM</v>
      </c>
      <c r="C518" s="5" t="str">
        <f>IFERROR(__xludf.DUMMYFUNCTION("""COMPUTED_VALUE"""),"NORMAL")</f>
        <v>NORMAL</v>
      </c>
      <c r="D518" s="5" t="str">
        <f>IFERROR(__xludf.DUMMYFUNCTION("""COMPUTED_VALUE"""),"HANS VANAKEN")</f>
        <v>HANS VANAKEN</v>
      </c>
      <c r="E518" s="5">
        <f>IFERROR(__xludf.DUMMYFUNCTION("""COMPUTED_VALUE"""),0.0)</f>
        <v>0</v>
      </c>
      <c r="F518" s="5">
        <f>IFERROR(__xludf.DUMMYFUNCTION("""COMPUTED_VALUE"""),0.0)</f>
        <v>0</v>
      </c>
    </row>
    <row r="519">
      <c r="A519" s="5" t="str">
        <f>IFERROR(__xludf.DUMMYFUNCTION("""COMPUTED_VALUE"""),"BEL15")</f>
        <v>BEL15</v>
      </c>
      <c r="B519" s="5" t="str">
        <f>IFERROR(__xludf.DUMMYFUNCTION("""COMPUTED_VALUE"""),"BELGIUM")</f>
        <v>BELGIUM</v>
      </c>
      <c r="C519" s="5" t="str">
        <f>IFERROR(__xludf.DUMMYFUNCTION("""COMPUTED_VALUE"""),"NORMAL")</f>
        <v>NORMAL</v>
      </c>
      <c r="D519" s="5" t="str">
        <f>IFERROR(__xludf.DUMMYFUNCTION("""COMPUTED_VALUE"""),"KEVIN DEBRUYNE")</f>
        <v>KEVIN DEBRUYNE</v>
      </c>
      <c r="E519" s="5">
        <f>IFERROR(__xludf.DUMMYFUNCTION("""COMPUTED_VALUE"""),0.0)</f>
        <v>0</v>
      </c>
      <c r="F519" s="5">
        <f>IFERROR(__xludf.DUMMYFUNCTION("""COMPUTED_VALUE"""),0.0)</f>
        <v>0</v>
      </c>
    </row>
    <row r="520">
      <c r="A520" s="5" t="str">
        <f>IFERROR(__xludf.DUMMYFUNCTION("""COMPUTED_VALUE"""),"BEL16")</f>
        <v>BEL16</v>
      </c>
      <c r="B520" s="5" t="str">
        <f>IFERROR(__xludf.DUMMYFUNCTION("""COMPUTED_VALUE"""),"BELGIUM")</f>
        <v>BELGIUM</v>
      </c>
      <c r="C520" s="5" t="str">
        <f>IFERROR(__xludf.DUMMYFUNCTION("""COMPUTED_VALUE"""),"NORMAL")</f>
        <v>NORMAL</v>
      </c>
      <c r="D520" s="5" t="str">
        <f>IFERROR(__xludf.DUMMYFUNCTION("""COMPUTED_VALUE"""),"JEREMY DOKU")</f>
        <v>JEREMY DOKU</v>
      </c>
      <c r="E520" s="5">
        <f>IFERROR(__xludf.DUMMYFUNCTION("""COMPUTED_VALUE"""),0.0)</f>
        <v>0</v>
      </c>
      <c r="F520" s="5">
        <f>IFERROR(__xludf.DUMMYFUNCTION("""COMPUTED_VALUE"""),0.0)</f>
        <v>0</v>
      </c>
    </row>
    <row r="521">
      <c r="A521" s="5" t="str">
        <f>IFERROR(__xludf.DUMMYFUNCTION("""COMPUTED_VALUE"""),"BEL17")</f>
        <v>BEL17</v>
      </c>
      <c r="B521" s="5" t="str">
        <f>IFERROR(__xludf.DUMMYFUNCTION("""COMPUTED_VALUE"""),"BELGIUM")</f>
        <v>BELGIUM</v>
      </c>
      <c r="C521" s="5" t="str">
        <f>IFERROR(__xludf.DUMMYFUNCTION("""COMPUTED_VALUE"""),"NORMAL")</f>
        <v>NORMAL</v>
      </c>
      <c r="D521" s="5" t="str">
        <f>IFERROR(__xludf.DUMMYFUNCTION("""COMPUTED_VALUE"""),"CHARLES DE KETELAERE")</f>
        <v>CHARLES DE KETELAERE</v>
      </c>
      <c r="E521" s="5">
        <f>IFERROR(__xludf.DUMMYFUNCTION("""COMPUTED_VALUE"""),0.0)</f>
        <v>0</v>
      </c>
      <c r="F521" s="5">
        <f>IFERROR(__xludf.DUMMYFUNCTION("""COMPUTED_VALUE"""),0.0)</f>
        <v>0</v>
      </c>
    </row>
    <row r="522">
      <c r="A522" s="5" t="str">
        <f>IFERROR(__xludf.DUMMYFUNCTION("""COMPUTED_VALUE"""),"BEL18")</f>
        <v>BEL18</v>
      </c>
      <c r="B522" s="5" t="str">
        <f>IFERROR(__xludf.DUMMYFUNCTION("""COMPUTED_VALUE"""),"BELGIUM")</f>
        <v>BELGIUM</v>
      </c>
      <c r="C522" s="5" t="str">
        <f>IFERROR(__xludf.DUMMYFUNCTION("""COMPUTED_VALUE"""),"NORMAL")</f>
        <v>NORMAL</v>
      </c>
      <c r="D522" s="5" t="str">
        <f>IFERROR(__xludf.DUMMYFUNCTION("""COMPUTED_VALUE"""),"LEANDRO TROSSARD")</f>
        <v>LEANDRO TROSSARD</v>
      </c>
      <c r="E522" s="5">
        <f>IFERROR(__xludf.DUMMYFUNCTION("""COMPUTED_VALUE"""),0.0)</f>
        <v>0</v>
      </c>
      <c r="F522" s="5">
        <f>IFERROR(__xludf.DUMMYFUNCTION("""COMPUTED_VALUE"""),0.0)</f>
        <v>0</v>
      </c>
    </row>
    <row r="523">
      <c r="A523" s="5" t="str">
        <f>IFERROR(__xludf.DUMMYFUNCTION("""COMPUTED_VALUE"""),"BEL19")</f>
        <v>BEL19</v>
      </c>
      <c r="B523" s="5" t="str">
        <f>IFERROR(__xludf.DUMMYFUNCTION("""COMPUTED_VALUE"""),"BELGIUM")</f>
        <v>BELGIUM</v>
      </c>
      <c r="C523" s="5" t="str">
        <f>IFERROR(__xludf.DUMMYFUNCTION("""COMPUTED_VALUE"""),"NORMAL")</f>
        <v>NORMAL</v>
      </c>
      <c r="D523" s="5" t="str">
        <f>IFERROR(__xludf.DUMMYFUNCTION("""COMPUTED_VALUE"""),"LIOS OPENDA")</f>
        <v>LIOS OPENDA</v>
      </c>
      <c r="E523" s="5">
        <f>IFERROR(__xludf.DUMMYFUNCTION("""COMPUTED_VALUE"""),0.0)</f>
        <v>0</v>
      </c>
      <c r="F523" s="5">
        <f>IFERROR(__xludf.DUMMYFUNCTION("""COMPUTED_VALUE"""),0.0)</f>
        <v>0</v>
      </c>
    </row>
    <row r="524">
      <c r="A524" s="5" t="str">
        <f>IFERROR(__xludf.DUMMYFUNCTION("""COMPUTED_VALUE"""),"BEL20")</f>
        <v>BEL20</v>
      </c>
      <c r="B524" s="5" t="str">
        <f>IFERROR(__xludf.DUMMYFUNCTION("""COMPUTED_VALUE"""),"BELGIUM")</f>
        <v>BELGIUM</v>
      </c>
      <c r="C524" s="5" t="str">
        <f>IFERROR(__xludf.DUMMYFUNCTION("""COMPUTED_VALUE"""),"NORMAL")</f>
        <v>NORMAL</v>
      </c>
      <c r="D524" s="5" t="str">
        <f>IFERROR(__xludf.DUMMYFUNCTION("""COMPUTED_VALUE"""),"ROMELU LUKAKU")</f>
        <v>ROMELU LUKAKU</v>
      </c>
      <c r="E524" s="5">
        <f>IFERROR(__xludf.DUMMYFUNCTION("""COMPUTED_VALUE"""),0.0)</f>
        <v>0</v>
      </c>
      <c r="F524" s="5">
        <f>IFERROR(__xludf.DUMMYFUNCTION("""COMPUTED_VALUE"""),0.0)</f>
        <v>0</v>
      </c>
    </row>
    <row r="525">
      <c r="A525" s="7" t="str">
        <f>IFERROR(__xludf.DUMMYFUNCTION("""COMPUTED_VALUE"""),"EGY01")</f>
        <v>EGY01</v>
      </c>
      <c r="B525" s="5" t="str">
        <f>IFERROR(__xludf.DUMMYFUNCTION("""COMPUTED_VALUE"""),"EGYPT")</f>
        <v>EGYPT</v>
      </c>
      <c r="C525" s="5" t="str">
        <f>IFERROR(__xludf.DUMMYFUNCTION("""COMPUTED_VALUE"""),"BADGE")</f>
        <v>BADGE</v>
      </c>
      <c r="D525" s="5" t="str">
        <f>IFERROR(__xludf.DUMMYFUNCTION("""COMPUTED_VALUE"""),"EGYPT NATIONAL TEAM")</f>
        <v>EGYPT NATIONAL TEAM</v>
      </c>
      <c r="E525" s="5">
        <f>IFERROR(__xludf.DUMMYFUNCTION("""COMPUTED_VALUE"""),0.0)</f>
        <v>0</v>
      </c>
      <c r="F525" s="5">
        <f>IFERROR(__xludf.DUMMYFUNCTION("""COMPUTED_VALUE"""),0.0)</f>
        <v>0</v>
      </c>
    </row>
    <row r="526">
      <c r="A526" s="7" t="str">
        <f>IFERROR(__xludf.DUMMYFUNCTION("""COMPUTED_VALUE"""),"EGY02")</f>
        <v>EGY02</v>
      </c>
      <c r="B526" s="5" t="str">
        <f>IFERROR(__xludf.DUMMYFUNCTION("""COMPUTED_VALUE"""),"EGYPT")</f>
        <v>EGYPT</v>
      </c>
      <c r="C526" s="5" t="str">
        <f>IFERROR(__xludf.DUMMYFUNCTION("""COMPUTED_VALUE"""),"NORMAL")</f>
        <v>NORMAL</v>
      </c>
      <c r="D526" s="5" t="str">
        <f>IFERROR(__xludf.DUMMYFUNCTION("""COMPUTED_VALUE"""),"MOHAMED ELSHENAWY")</f>
        <v>MOHAMED ELSHENAWY</v>
      </c>
      <c r="E526" s="5">
        <f>IFERROR(__xludf.DUMMYFUNCTION("""COMPUTED_VALUE"""),0.0)</f>
        <v>0</v>
      </c>
      <c r="F526" s="5">
        <f>IFERROR(__xludf.DUMMYFUNCTION("""COMPUTED_VALUE"""),0.0)</f>
        <v>0</v>
      </c>
    </row>
    <row r="527">
      <c r="A527" s="7" t="str">
        <f>IFERROR(__xludf.DUMMYFUNCTION("""COMPUTED_VALUE"""),"EGY03")</f>
        <v>EGY03</v>
      </c>
      <c r="B527" s="5" t="str">
        <f>IFERROR(__xludf.DUMMYFUNCTION("""COMPUTED_VALUE"""),"EGYPT")</f>
        <v>EGYPT</v>
      </c>
      <c r="C527" s="5" t="str">
        <f>IFERROR(__xludf.DUMMYFUNCTION("""COMPUTED_VALUE"""),"NORMAL")</f>
        <v>NORMAL</v>
      </c>
      <c r="D527" s="5" t="str">
        <f>IFERROR(__xludf.DUMMYFUNCTION("""COMPUTED_VALUE"""),"MOHAMED HANY")</f>
        <v>MOHAMED HANY</v>
      </c>
      <c r="E527" s="5">
        <f>IFERROR(__xludf.DUMMYFUNCTION("""COMPUTED_VALUE"""),0.0)</f>
        <v>0</v>
      </c>
      <c r="F527" s="5">
        <f>IFERROR(__xludf.DUMMYFUNCTION("""COMPUTED_VALUE"""),0.0)</f>
        <v>0</v>
      </c>
    </row>
    <row r="528">
      <c r="A528" s="7" t="str">
        <f>IFERROR(__xludf.DUMMYFUNCTION("""COMPUTED_VALUE"""),"EGY04")</f>
        <v>EGY04</v>
      </c>
      <c r="B528" s="5" t="str">
        <f>IFERROR(__xludf.DUMMYFUNCTION("""COMPUTED_VALUE"""),"EGYPT")</f>
        <v>EGYPT</v>
      </c>
      <c r="C528" s="5" t="str">
        <f>IFERROR(__xludf.DUMMYFUNCTION("""COMPUTED_VALUE"""),"NORMAL")</f>
        <v>NORMAL</v>
      </c>
      <c r="D528" s="5" t="str">
        <f>IFERROR(__xludf.DUMMYFUNCTION("""COMPUTED_VALUE"""),"MOHAMED HAMBY")</f>
        <v>MOHAMED HAMBY</v>
      </c>
      <c r="E528" s="5">
        <f>IFERROR(__xludf.DUMMYFUNCTION("""COMPUTED_VALUE"""),0.0)</f>
        <v>0</v>
      </c>
      <c r="F528" s="5">
        <f>IFERROR(__xludf.DUMMYFUNCTION("""COMPUTED_VALUE"""),0.0)</f>
        <v>0</v>
      </c>
    </row>
    <row r="529">
      <c r="A529" s="7" t="str">
        <f>IFERROR(__xludf.DUMMYFUNCTION("""COMPUTED_VALUE"""),"EGY05")</f>
        <v>EGY05</v>
      </c>
      <c r="B529" s="5" t="str">
        <f>IFERROR(__xludf.DUMMYFUNCTION("""COMPUTED_VALUE"""),"EGYPT")</f>
        <v>EGYPT</v>
      </c>
      <c r="C529" s="5" t="str">
        <f>IFERROR(__xludf.DUMMYFUNCTION("""COMPUTED_VALUE"""),"NORMAL")</f>
        <v>NORMAL</v>
      </c>
      <c r="D529" s="5" t="str">
        <f>IFERROR(__xludf.DUMMYFUNCTION("""COMPUTED_VALUE"""),"YASSER IBRAHIM")</f>
        <v>YASSER IBRAHIM</v>
      </c>
      <c r="E529" s="5">
        <f>IFERROR(__xludf.DUMMYFUNCTION("""COMPUTED_VALUE"""),0.0)</f>
        <v>0</v>
      </c>
      <c r="F529" s="5">
        <f>IFERROR(__xludf.DUMMYFUNCTION("""COMPUTED_VALUE"""),0.0)</f>
        <v>0</v>
      </c>
    </row>
    <row r="530">
      <c r="A530" s="7" t="str">
        <f>IFERROR(__xludf.DUMMYFUNCTION("""COMPUTED_VALUE"""),"EGY06")</f>
        <v>EGY06</v>
      </c>
      <c r="B530" s="5" t="str">
        <f>IFERROR(__xludf.DUMMYFUNCTION("""COMPUTED_VALUE"""),"EGYPT")</f>
        <v>EGYPT</v>
      </c>
      <c r="C530" s="5" t="str">
        <f>IFERROR(__xludf.DUMMYFUNCTION("""COMPUTED_VALUE"""),"NORMAL")</f>
        <v>NORMAL</v>
      </c>
      <c r="D530" s="5" t="str">
        <f>IFERROR(__xludf.DUMMYFUNCTION("""COMPUTED_VALUE"""),"KHALED SOBHI")</f>
        <v>KHALED SOBHI</v>
      </c>
      <c r="E530" s="5">
        <f>IFERROR(__xludf.DUMMYFUNCTION("""COMPUTED_VALUE"""),0.0)</f>
        <v>0</v>
      </c>
      <c r="F530" s="5">
        <f>IFERROR(__xludf.DUMMYFUNCTION("""COMPUTED_VALUE"""),0.0)</f>
        <v>0</v>
      </c>
    </row>
    <row r="531">
      <c r="A531" s="7" t="str">
        <f>IFERROR(__xludf.DUMMYFUNCTION("""COMPUTED_VALUE"""),"EGY07")</f>
        <v>EGY07</v>
      </c>
      <c r="B531" s="5" t="str">
        <f>IFERROR(__xludf.DUMMYFUNCTION("""COMPUTED_VALUE"""),"EGYPT")</f>
        <v>EGYPT</v>
      </c>
      <c r="C531" s="5" t="str">
        <f>IFERROR(__xludf.DUMMYFUNCTION("""COMPUTED_VALUE"""),"NORMAL")</f>
        <v>NORMAL</v>
      </c>
      <c r="D531" s="5" t="str">
        <f>IFERROR(__xludf.DUMMYFUNCTION("""COMPUTED_VALUE"""),"RAMY RABIA")</f>
        <v>RAMY RABIA</v>
      </c>
      <c r="E531" s="5">
        <f>IFERROR(__xludf.DUMMYFUNCTION("""COMPUTED_VALUE"""),0.0)</f>
        <v>0</v>
      </c>
      <c r="F531" s="5">
        <f>IFERROR(__xludf.DUMMYFUNCTION("""COMPUTED_VALUE"""),0.0)</f>
        <v>0</v>
      </c>
    </row>
    <row r="532">
      <c r="A532" s="7" t="str">
        <f>IFERROR(__xludf.DUMMYFUNCTION("""COMPUTED_VALUE"""),"EGY08")</f>
        <v>EGY08</v>
      </c>
      <c r="B532" s="5" t="str">
        <f>IFERROR(__xludf.DUMMYFUNCTION("""COMPUTED_VALUE"""),"EGYPT")</f>
        <v>EGYPT</v>
      </c>
      <c r="C532" s="5" t="str">
        <f>IFERROR(__xludf.DUMMYFUNCTION("""COMPUTED_VALUE"""),"NORMAL")</f>
        <v>NORMAL</v>
      </c>
      <c r="D532" s="5" t="str">
        <f>IFERROR(__xludf.DUMMYFUNCTION("""COMPUTED_VALUE"""),"HOSSAM ABDELMAGUID")</f>
        <v>HOSSAM ABDELMAGUID</v>
      </c>
      <c r="E532" s="5">
        <f>IFERROR(__xludf.DUMMYFUNCTION("""COMPUTED_VALUE"""),0.0)</f>
        <v>0</v>
      </c>
      <c r="F532" s="5">
        <f>IFERROR(__xludf.DUMMYFUNCTION("""COMPUTED_VALUE"""),0.0)</f>
        <v>0</v>
      </c>
    </row>
    <row r="533">
      <c r="A533" s="7" t="str">
        <f>IFERROR(__xludf.DUMMYFUNCTION("""COMPUTED_VALUE"""),"EGY09")</f>
        <v>EGY09</v>
      </c>
      <c r="B533" s="5" t="str">
        <f>IFERROR(__xludf.DUMMYFUNCTION("""COMPUTED_VALUE"""),"EGYPT")</f>
        <v>EGYPT</v>
      </c>
      <c r="C533" s="5" t="str">
        <f>IFERROR(__xludf.DUMMYFUNCTION("""COMPUTED_VALUE"""),"NORMAL")</f>
        <v>NORMAL</v>
      </c>
      <c r="D533" s="5" t="str">
        <f>IFERROR(__xludf.DUMMYFUNCTION("""COMPUTED_VALUE"""),"AHMED FATOUH")</f>
        <v>AHMED FATOUH</v>
      </c>
      <c r="E533" s="5">
        <f>IFERROR(__xludf.DUMMYFUNCTION("""COMPUTED_VALUE"""),0.0)</f>
        <v>0</v>
      </c>
      <c r="F533" s="5">
        <f>IFERROR(__xludf.DUMMYFUNCTION("""COMPUTED_VALUE"""),0.0)</f>
        <v>0</v>
      </c>
    </row>
    <row r="534">
      <c r="A534" s="7" t="str">
        <f>IFERROR(__xludf.DUMMYFUNCTION("""COMPUTED_VALUE"""),"EGY10")</f>
        <v>EGY10</v>
      </c>
      <c r="B534" s="5" t="str">
        <f>IFERROR(__xludf.DUMMYFUNCTION("""COMPUTED_VALUE"""),"EGYPT")</f>
        <v>EGYPT</v>
      </c>
      <c r="C534" s="5" t="str">
        <f>IFERROR(__xludf.DUMMYFUNCTION("""COMPUTED_VALUE"""),"NORMAL")</f>
        <v>NORMAL</v>
      </c>
      <c r="D534" s="5" t="str">
        <f>IFERROR(__xludf.DUMMYFUNCTION("""COMPUTED_VALUE"""),"MARWAN ATTIA")</f>
        <v>MARWAN ATTIA</v>
      </c>
      <c r="E534" s="5">
        <f>IFERROR(__xludf.DUMMYFUNCTION("""COMPUTED_VALUE"""),0.0)</f>
        <v>0</v>
      </c>
      <c r="F534" s="5">
        <f>IFERROR(__xludf.DUMMYFUNCTION("""COMPUTED_VALUE"""),0.0)</f>
        <v>0</v>
      </c>
    </row>
    <row r="535">
      <c r="A535" s="7" t="str">
        <f>IFERROR(__xludf.DUMMYFUNCTION("""COMPUTED_VALUE"""),"EGY11")</f>
        <v>EGY11</v>
      </c>
      <c r="B535" s="5" t="str">
        <f>IFERROR(__xludf.DUMMYFUNCTION("""COMPUTED_VALUE"""),"EGYPT")</f>
        <v>EGYPT</v>
      </c>
      <c r="C535" s="5" t="str">
        <f>IFERROR(__xludf.DUMMYFUNCTION("""COMPUTED_VALUE"""),"NORMAL")</f>
        <v>NORMAL</v>
      </c>
      <c r="D535" s="5" t="str">
        <f>IFERROR(__xludf.DUMMYFUNCTION("""COMPUTED_VALUE"""),"ZIZO")</f>
        <v>ZIZO</v>
      </c>
      <c r="E535" s="5">
        <f>IFERROR(__xludf.DUMMYFUNCTION("""COMPUTED_VALUE"""),0.0)</f>
        <v>0</v>
      </c>
      <c r="F535" s="5">
        <f>IFERROR(__xludf.DUMMYFUNCTION("""COMPUTED_VALUE"""),0.0)</f>
        <v>0</v>
      </c>
    </row>
    <row r="536">
      <c r="A536" s="7" t="str">
        <f>IFERROR(__xludf.DUMMYFUNCTION("""COMPUTED_VALUE"""),"EGY12")</f>
        <v>EGY12</v>
      </c>
      <c r="B536" s="5" t="str">
        <f>IFERROR(__xludf.DUMMYFUNCTION("""COMPUTED_VALUE"""),"EGYPT")</f>
        <v>EGYPT</v>
      </c>
      <c r="C536" s="5" t="str">
        <f>IFERROR(__xludf.DUMMYFUNCTION("""COMPUTED_VALUE"""),"NORMAL")</f>
        <v>NORMAL</v>
      </c>
      <c r="D536" s="5" t="str">
        <f>IFERROR(__xludf.DUMMYFUNCTION("""COMPUTED_VALUE"""),"HAMDY FATHY")</f>
        <v>HAMDY FATHY</v>
      </c>
      <c r="E536" s="5">
        <f>IFERROR(__xludf.DUMMYFUNCTION("""COMPUTED_VALUE"""),0.0)</f>
        <v>0</v>
      </c>
      <c r="F536" s="5">
        <f>IFERROR(__xludf.DUMMYFUNCTION("""COMPUTED_VALUE"""),0.0)</f>
        <v>0</v>
      </c>
    </row>
    <row r="537">
      <c r="A537" s="7" t="str">
        <f>IFERROR(__xludf.DUMMYFUNCTION("""COMPUTED_VALUE"""),"EGY13")</f>
        <v>EGY13</v>
      </c>
      <c r="B537" s="5" t="str">
        <f>IFERROR(__xludf.DUMMYFUNCTION("""COMPUTED_VALUE"""),"EGYPT")</f>
        <v>EGYPT</v>
      </c>
      <c r="C537" s="5" t="str">
        <f>IFERROR(__xludf.DUMMYFUNCTION("""COMPUTED_VALUE"""),"TEAM")</f>
        <v>TEAM</v>
      </c>
      <c r="D537" s="5" t="str">
        <f>IFERROR(__xludf.DUMMYFUNCTION("""COMPUTED_VALUE"""),"EGYPT NATIONAL TEAM")</f>
        <v>EGYPT NATIONAL TEAM</v>
      </c>
      <c r="E537" s="5">
        <f>IFERROR(__xludf.DUMMYFUNCTION("""COMPUTED_VALUE"""),0.0)</f>
        <v>0</v>
      </c>
      <c r="F537" s="5">
        <f>IFERROR(__xludf.DUMMYFUNCTION("""COMPUTED_VALUE"""),0.0)</f>
        <v>0</v>
      </c>
    </row>
    <row r="538">
      <c r="A538" s="7" t="str">
        <f>IFERROR(__xludf.DUMMYFUNCTION("""COMPUTED_VALUE"""),"EGY14")</f>
        <v>EGY14</v>
      </c>
      <c r="B538" s="5" t="str">
        <f>IFERROR(__xludf.DUMMYFUNCTION("""COMPUTED_VALUE"""),"EGYPT")</f>
        <v>EGYPT</v>
      </c>
      <c r="C538" s="5" t="str">
        <f>IFERROR(__xludf.DUMMYFUNCTION("""COMPUTED_VALUE"""),"NORMAL")</f>
        <v>NORMAL</v>
      </c>
      <c r="D538" s="5" t="str">
        <f>IFERROR(__xludf.DUMMYFUNCTION("""COMPUTED_VALUE"""),"MOHANAD LASHEEN")</f>
        <v>MOHANAD LASHEEN</v>
      </c>
      <c r="E538" s="5">
        <f>IFERROR(__xludf.DUMMYFUNCTION("""COMPUTED_VALUE"""),0.0)</f>
        <v>0</v>
      </c>
      <c r="F538" s="5">
        <f>IFERROR(__xludf.DUMMYFUNCTION("""COMPUTED_VALUE"""),0.0)</f>
        <v>0</v>
      </c>
    </row>
    <row r="539">
      <c r="A539" s="7" t="str">
        <f>IFERROR(__xludf.DUMMYFUNCTION("""COMPUTED_VALUE"""),"EGY15")</f>
        <v>EGY15</v>
      </c>
      <c r="B539" s="5" t="str">
        <f>IFERROR(__xludf.DUMMYFUNCTION("""COMPUTED_VALUE"""),"EGYPT")</f>
        <v>EGYPT</v>
      </c>
      <c r="C539" s="5" t="str">
        <f>IFERROR(__xludf.DUMMYFUNCTION("""COMPUTED_VALUE"""),"NORMAL")</f>
        <v>NORMAL</v>
      </c>
      <c r="D539" s="5" t="str">
        <f>IFERROR(__xludf.DUMMYFUNCTION("""COMPUTED_VALUE"""),"EMAM ASHOUR")</f>
        <v>EMAM ASHOUR</v>
      </c>
      <c r="E539" s="5">
        <f>IFERROR(__xludf.DUMMYFUNCTION("""COMPUTED_VALUE"""),0.0)</f>
        <v>0</v>
      </c>
      <c r="F539" s="5">
        <f>IFERROR(__xludf.DUMMYFUNCTION("""COMPUTED_VALUE"""),0.0)</f>
        <v>0</v>
      </c>
    </row>
    <row r="540">
      <c r="A540" s="7" t="str">
        <f>IFERROR(__xludf.DUMMYFUNCTION("""COMPUTED_VALUE"""),"EGY16")</f>
        <v>EGY16</v>
      </c>
      <c r="B540" s="5" t="str">
        <f>IFERROR(__xludf.DUMMYFUNCTION("""COMPUTED_VALUE"""),"EGYPT")</f>
        <v>EGYPT</v>
      </c>
      <c r="C540" s="5" t="str">
        <f>IFERROR(__xludf.DUMMYFUNCTION("""COMPUTED_VALUE"""),"NORMAL")</f>
        <v>NORMAL</v>
      </c>
      <c r="D540" s="5" t="str">
        <f>IFERROR(__xludf.DUMMYFUNCTION("""COMPUTED_VALUE"""),"OSAMA FAISAL")</f>
        <v>OSAMA FAISAL</v>
      </c>
      <c r="E540" s="5">
        <f>IFERROR(__xludf.DUMMYFUNCTION("""COMPUTED_VALUE"""),0.0)</f>
        <v>0</v>
      </c>
      <c r="F540" s="5">
        <f>IFERROR(__xludf.DUMMYFUNCTION("""COMPUTED_VALUE"""),0.0)</f>
        <v>0</v>
      </c>
    </row>
    <row r="541">
      <c r="A541" s="7" t="str">
        <f>IFERROR(__xludf.DUMMYFUNCTION("""COMPUTED_VALUE"""),"EGY17")</f>
        <v>EGY17</v>
      </c>
      <c r="B541" s="5" t="str">
        <f>IFERROR(__xludf.DUMMYFUNCTION("""COMPUTED_VALUE"""),"EGYPT")</f>
        <v>EGYPT</v>
      </c>
      <c r="C541" s="5" t="str">
        <f>IFERROR(__xludf.DUMMYFUNCTION("""COMPUTED_VALUE"""),"NORMAL")</f>
        <v>NORMAL</v>
      </c>
      <c r="D541" s="5" t="str">
        <f>IFERROR(__xludf.DUMMYFUNCTION("""COMPUTED_VALUE"""),"MOHAMED SALAH")</f>
        <v>MOHAMED SALAH</v>
      </c>
      <c r="E541" s="5">
        <f>IFERROR(__xludf.DUMMYFUNCTION("""COMPUTED_VALUE"""),0.0)</f>
        <v>0</v>
      </c>
      <c r="F541" s="5">
        <f>IFERROR(__xludf.DUMMYFUNCTION("""COMPUTED_VALUE"""),0.0)</f>
        <v>0</v>
      </c>
    </row>
    <row r="542">
      <c r="A542" s="7" t="str">
        <f>IFERROR(__xludf.DUMMYFUNCTION("""COMPUTED_VALUE"""),"EGY18")</f>
        <v>EGY18</v>
      </c>
      <c r="B542" s="5" t="str">
        <f>IFERROR(__xludf.DUMMYFUNCTION("""COMPUTED_VALUE"""),"EGYPT")</f>
        <v>EGYPT</v>
      </c>
      <c r="C542" s="5" t="str">
        <f>IFERROR(__xludf.DUMMYFUNCTION("""COMPUTED_VALUE"""),"NORMAL")</f>
        <v>NORMAL</v>
      </c>
      <c r="D542" s="5" t="str">
        <f>IFERROR(__xludf.DUMMYFUNCTION("""COMPUTED_VALUE"""),"MOSTAFA MOHAMED")</f>
        <v>MOSTAFA MOHAMED</v>
      </c>
      <c r="E542" s="5">
        <f>IFERROR(__xludf.DUMMYFUNCTION("""COMPUTED_VALUE"""),0.0)</f>
        <v>0</v>
      </c>
      <c r="F542" s="5">
        <f>IFERROR(__xludf.DUMMYFUNCTION("""COMPUTED_VALUE"""),0.0)</f>
        <v>0</v>
      </c>
    </row>
    <row r="543">
      <c r="A543" s="7" t="str">
        <f>IFERROR(__xludf.DUMMYFUNCTION("""COMPUTED_VALUE"""),"EGY19")</f>
        <v>EGY19</v>
      </c>
      <c r="B543" s="5" t="str">
        <f>IFERROR(__xludf.DUMMYFUNCTION("""COMPUTED_VALUE"""),"EGYPT")</f>
        <v>EGYPT</v>
      </c>
      <c r="C543" s="5" t="str">
        <f>IFERROR(__xludf.DUMMYFUNCTION("""COMPUTED_VALUE"""),"NORMAL")</f>
        <v>NORMAL</v>
      </c>
      <c r="D543" s="5" t="str">
        <f>IFERROR(__xludf.DUMMYFUNCTION("""COMPUTED_VALUE"""),"TREZEGUET")</f>
        <v>TREZEGUET</v>
      </c>
      <c r="E543" s="5">
        <f>IFERROR(__xludf.DUMMYFUNCTION("""COMPUTED_VALUE"""),0.0)</f>
        <v>0</v>
      </c>
      <c r="F543" s="5">
        <f>IFERROR(__xludf.DUMMYFUNCTION("""COMPUTED_VALUE"""),0.0)</f>
        <v>0</v>
      </c>
    </row>
    <row r="544">
      <c r="A544" s="7" t="str">
        <f>IFERROR(__xludf.DUMMYFUNCTION("""COMPUTED_VALUE"""),"EGY20")</f>
        <v>EGY20</v>
      </c>
      <c r="B544" s="5" t="str">
        <f>IFERROR(__xludf.DUMMYFUNCTION("""COMPUTED_VALUE"""),"EGYPT")</f>
        <v>EGYPT</v>
      </c>
      <c r="C544" s="5" t="str">
        <f>IFERROR(__xludf.DUMMYFUNCTION("""COMPUTED_VALUE"""),"NORMAL")</f>
        <v>NORMAL</v>
      </c>
      <c r="D544" s="5" t="str">
        <f>IFERROR(__xludf.DUMMYFUNCTION("""COMPUTED_VALUE"""),"OMAR MARMOUSH")</f>
        <v>OMAR MARMOUSH</v>
      </c>
      <c r="E544" s="5">
        <f>IFERROR(__xludf.DUMMYFUNCTION("""COMPUTED_VALUE"""),0.0)</f>
        <v>0</v>
      </c>
      <c r="F544" s="5">
        <f>IFERROR(__xludf.DUMMYFUNCTION("""COMPUTED_VALUE"""),0.0)</f>
        <v>0</v>
      </c>
    </row>
    <row r="545">
      <c r="A545" s="5" t="str">
        <f>IFERROR(__xludf.DUMMYFUNCTION("""COMPUTED_VALUE"""),"IRN01")</f>
        <v>IRN01</v>
      </c>
      <c r="B545" s="5" t="str">
        <f>IFERROR(__xludf.DUMMYFUNCTION("""COMPUTED_VALUE"""),"IRAN")</f>
        <v>IRAN</v>
      </c>
      <c r="C545" s="5" t="str">
        <f>IFERROR(__xludf.DUMMYFUNCTION("""COMPUTED_VALUE"""),"BADGE")</f>
        <v>BADGE</v>
      </c>
      <c r="D545" s="5" t="str">
        <f>IFERROR(__xludf.DUMMYFUNCTION("""COMPUTED_VALUE"""),"IRAN NATIONAL TEAM")</f>
        <v>IRAN NATIONAL TEAM</v>
      </c>
      <c r="E545" s="5">
        <f>IFERROR(__xludf.DUMMYFUNCTION("""COMPUTED_VALUE"""),0.0)</f>
        <v>0</v>
      </c>
      <c r="F545" s="5">
        <f>IFERROR(__xludf.DUMMYFUNCTION("""COMPUTED_VALUE"""),0.0)</f>
        <v>0</v>
      </c>
    </row>
    <row r="546">
      <c r="A546" s="5" t="str">
        <f>IFERROR(__xludf.DUMMYFUNCTION("""COMPUTED_VALUE"""),"IRN02")</f>
        <v>IRN02</v>
      </c>
      <c r="B546" s="5" t="str">
        <f>IFERROR(__xludf.DUMMYFUNCTION("""COMPUTED_VALUE"""),"IRAN")</f>
        <v>IRAN</v>
      </c>
      <c r="C546" s="5" t="str">
        <f>IFERROR(__xludf.DUMMYFUNCTION("""COMPUTED_VALUE"""),"NORMAL")</f>
        <v>NORMAL</v>
      </c>
      <c r="D546" s="5" t="str">
        <f>IFERROR(__xludf.DUMMYFUNCTION("""COMPUTED_VALUE"""),"ALIREZA BEIRANVAND")</f>
        <v>ALIREZA BEIRANVAND</v>
      </c>
      <c r="E546" s="5">
        <f>IFERROR(__xludf.DUMMYFUNCTION("""COMPUTED_VALUE"""),0.0)</f>
        <v>0</v>
      </c>
      <c r="F546" s="5">
        <f>IFERROR(__xludf.DUMMYFUNCTION("""COMPUTED_VALUE"""),0.0)</f>
        <v>0</v>
      </c>
    </row>
    <row r="547">
      <c r="A547" s="5" t="str">
        <f>IFERROR(__xludf.DUMMYFUNCTION("""COMPUTED_VALUE"""),"IRN03")</f>
        <v>IRN03</v>
      </c>
      <c r="B547" s="5" t="str">
        <f>IFERROR(__xludf.DUMMYFUNCTION("""COMPUTED_VALUE"""),"IRAN")</f>
        <v>IRAN</v>
      </c>
      <c r="C547" s="5" t="str">
        <f>IFERROR(__xludf.DUMMYFUNCTION("""COMPUTED_VALUE"""),"NORMAL")</f>
        <v>NORMAL</v>
      </c>
      <c r="D547" s="5" t="str">
        <f>IFERROR(__xludf.DUMMYFUNCTION("""COMPUTED_VALUE"""),"MORTEZA POURALIGANJI")</f>
        <v>MORTEZA POURALIGANJI</v>
      </c>
      <c r="E547" s="5">
        <f>IFERROR(__xludf.DUMMYFUNCTION("""COMPUTED_VALUE"""),0.0)</f>
        <v>0</v>
      </c>
      <c r="F547" s="5">
        <f>IFERROR(__xludf.DUMMYFUNCTION("""COMPUTED_VALUE"""),0.0)</f>
        <v>0</v>
      </c>
    </row>
    <row r="548">
      <c r="A548" s="5" t="str">
        <f>IFERROR(__xludf.DUMMYFUNCTION("""COMPUTED_VALUE"""),"IRN04")</f>
        <v>IRN04</v>
      </c>
      <c r="B548" s="5" t="str">
        <f>IFERROR(__xludf.DUMMYFUNCTION("""COMPUTED_VALUE"""),"IRAN")</f>
        <v>IRAN</v>
      </c>
      <c r="C548" s="5" t="str">
        <f>IFERROR(__xludf.DUMMYFUNCTION("""COMPUTED_VALUE"""),"NORMAL")</f>
        <v>NORMAL</v>
      </c>
      <c r="D548" s="5" t="str">
        <f>IFERROR(__xludf.DUMMYFUNCTION("""COMPUTED_VALUE"""),"EHSAN HAJSAFI")</f>
        <v>EHSAN HAJSAFI</v>
      </c>
      <c r="E548" s="5">
        <f>IFERROR(__xludf.DUMMYFUNCTION("""COMPUTED_VALUE"""),0.0)</f>
        <v>0</v>
      </c>
      <c r="F548" s="5">
        <f>IFERROR(__xludf.DUMMYFUNCTION("""COMPUTED_VALUE"""),0.0)</f>
        <v>0</v>
      </c>
    </row>
    <row r="549">
      <c r="A549" s="5" t="str">
        <f>IFERROR(__xludf.DUMMYFUNCTION("""COMPUTED_VALUE"""),"IRN05")</f>
        <v>IRN05</v>
      </c>
      <c r="B549" s="5" t="str">
        <f>IFERROR(__xludf.DUMMYFUNCTION("""COMPUTED_VALUE"""),"IRAN")</f>
        <v>IRAN</v>
      </c>
      <c r="C549" s="5" t="str">
        <f>IFERROR(__xludf.DUMMYFUNCTION("""COMPUTED_VALUE"""),"NORMAL")</f>
        <v>NORMAL</v>
      </c>
      <c r="D549" s="5" t="str">
        <f>IFERROR(__xludf.DUMMYFUNCTION("""COMPUTED_VALUE"""),"MILAD MOHAMMADI")</f>
        <v>MILAD MOHAMMADI</v>
      </c>
      <c r="E549" s="5">
        <f>IFERROR(__xludf.DUMMYFUNCTION("""COMPUTED_VALUE"""),0.0)</f>
        <v>0</v>
      </c>
      <c r="F549" s="5">
        <f>IFERROR(__xludf.DUMMYFUNCTION("""COMPUTED_VALUE"""),0.0)</f>
        <v>0</v>
      </c>
    </row>
    <row r="550">
      <c r="A550" s="5" t="str">
        <f>IFERROR(__xludf.DUMMYFUNCTION("""COMPUTED_VALUE"""),"IRN06")</f>
        <v>IRN06</v>
      </c>
      <c r="B550" s="5" t="str">
        <f>IFERROR(__xludf.DUMMYFUNCTION("""COMPUTED_VALUE"""),"IRAN")</f>
        <v>IRAN</v>
      </c>
      <c r="C550" s="5" t="str">
        <f>IFERROR(__xludf.DUMMYFUNCTION("""COMPUTED_VALUE"""),"NORMAL")</f>
        <v>NORMAL</v>
      </c>
      <c r="D550" s="5" t="str">
        <f>IFERROR(__xludf.DUMMYFUNCTION("""COMPUTED_VALUE"""),"SHOJAE KHALILZAEDH")</f>
        <v>SHOJAE KHALILZAEDH</v>
      </c>
      <c r="E550" s="5">
        <f>IFERROR(__xludf.DUMMYFUNCTION("""COMPUTED_VALUE"""),0.0)</f>
        <v>0</v>
      </c>
      <c r="F550" s="5">
        <f>IFERROR(__xludf.DUMMYFUNCTION("""COMPUTED_VALUE"""),0.0)</f>
        <v>0</v>
      </c>
    </row>
    <row r="551">
      <c r="A551" s="5" t="str">
        <f>IFERROR(__xludf.DUMMYFUNCTION("""COMPUTED_VALUE"""),"IRN07")</f>
        <v>IRN07</v>
      </c>
      <c r="B551" s="5" t="str">
        <f>IFERROR(__xludf.DUMMYFUNCTION("""COMPUTED_VALUE"""),"IRAN")</f>
        <v>IRAN</v>
      </c>
      <c r="C551" s="5" t="str">
        <f>IFERROR(__xludf.DUMMYFUNCTION("""COMPUTED_VALUE"""),"NORMAL")</f>
        <v>NORMAL</v>
      </c>
      <c r="D551" s="5" t="str">
        <f>IFERROR(__xludf.DUMMYFUNCTION("""COMPUTED_VALUE"""),"RAMIN REZAEIAN")</f>
        <v>RAMIN REZAEIAN</v>
      </c>
      <c r="E551" s="5">
        <f>IFERROR(__xludf.DUMMYFUNCTION("""COMPUTED_VALUE"""),0.0)</f>
        <v>0</v>
      </c>
      <c r="F551" s="5">
        <f>IFERROR(__xludf.DUMMYFUNCTION("""COMPUTED_VALUE"""),0.0)</f>
        <v>0</v>
      </c>
    </row>
    <row r="552">
      <c r="A552" s="5" t="str">
        <f>IFERROR(__xludf.DUMMYFUNCTION("""COMPUTED_VALUE"""),"IRN08")</f>
        <v>IRN08</v>
      </c>
      <c r="B552" s="5" t="str">
        <f>IFERROR(__xludf.DUMMYFUNCTION("""COMPUTED_VALUE"""),"IRAN")</f>
        <v>IRAN</v>
      </c>
      <c r="C552" s="5" t="str">
        <f>IFERROR(__xludf.DUMMYFUNCTION("""COMPUTED_VALUE"""),"NORMAL")</f>
        <v>NORMAL</v>
      </c>
      <c r="D552" s="5" t="str">
        <f>IFERROR(__xludf.DUMMYFUNCTION("""COMPUTED_VALUE"""),"HOSSEIN KANAANI")</f>
        <v>HOSSEIN KANAANI</v>
      </c>
      <c r="E552" s="5">
        <f>IFERROR(__xludf.DUMMYFUNCTION("""COMPUTED_VALUE"""),0.0)</f>
        <v>0</v>
      </c>
      <c r="F552" s="5">
        <f>IFERROR(__xludf.DUMMYFUNCTION("""COMPUTED_VALUE"""),0.0)</f>
        <v>0</v>
      </c>
    </row>
    <row r="553">
      <c r="A553" s="5" t="str">
        <f>IFERROR(__xludf.DUMMYFUNCTION("""COMPUTED_VALUE"""),"IRN09")</f>
        <v>IRN09</v>
      </c>
      <c r="B553" s="5" t="str">
        <f>IFERROR(__xludf.DUMMYFUNCTION("""COMPUTED_VALUE"""),"IRAN")</f>
        <v>IRAN</v>
      </c>
      <c r="C553" s="5" t="str">
        <f>IFERROR(__xludf.DUMMYFUNCTION("""COMPUTED_VALUE"""),"NORMAL")</f>
        <v>NORMAL</v>
      </c>
      <c r="D553" s="5" t="str">
        <f>IFERROR(__xludf.DUMMYFUNCTION("""COMPUTED_VALUE"""),"SADEGH MOHARRAMI")</f>
        <v>SADEGH MOHARRAMI</v>
      </c>
      <c r="E553" s="5">
        <f>IFERROR(__xludf.DUMMYFUNCTION("""COMPUTED_VALUE"""),0.0)</f>
        <v>0</v>
      </c>
      <c r="F553" s="5">
        <f>IFERROR(__xludf.DUMMYFUNCTION("""COMPUTED_VALUE"""),0.0)</f>
        <v>0</v>
      </c>
    </row>
    <row r="554">
      <c r="A554" s="5" t="str">
        <f>IFERROR(__xludf.DUMMYFUNCTION("""COMPUTED_VALUE"""),"IRN10")</f>
        <v>IRN10</v>
      </c>
      <c r="B554" s="5" t="str">
        <f>IFERROR(__xludf.DUMMYFUNCTION("""COMPUTED_VALUE"""),"IRAN")</f>
        <v>IRAN</v>
      </c>
      <c r="C554" s="5" t="str">
        <f>IFERROR(__xludf.DUMMYFUNCTION("""COMPUTED_VALUE"""),"NORMAL")</f>
        <v>NORMAL</v>
      </c>
      <c r="D554" s="5" t="str">
        <f>IFERROR(__xludf.DUMMYFUNCTION("""COMPUTED_VALUE"""),"SALEH HARDANI")</f>
        <v>SALEH HARDANI</v>
      </c>
      <c r="E554" s="5">
        <f>IFERROR(__xludf.DUMMYFUNCTION("""COMPUTED_VALUE"""),0.0)</f>
        <v>0</v>
      </c>
      <c r="F554" s="5">
        <f>IFERROR(__xludf.DUMMYFUNCTION("""COMPUTED_VALUE"""),0.0)</f>
        <v>0</v>
      </c>
    </row>
    <row r="555">
      <c r="A555" s="5" t="str">
        <f>IFERROR(__xludf.DUMMYFUNCTION("""COMPUTED_VALUE"""),"IRN11")</f>
        <v>IRN11</v>
      </c>
      <c r="B555" s="5" t="str">
        <f>IFERROR(__xludf.DUMMYFUNCTION("""COMPUTED_VALUE"""),"IRAN")</f>
        <v>IRAN</v>
      </c>
      <c r="C555" s="5" t="str">
        <f>IFERROR(__xludf.DUMMYFUNCTION("""COMPUTED_VALUE"""),"NORMAL")</f>
        <v>NORMAL</v>
      </c>
      <c r="D555" s="5" t="str">
        <f>IFERROR(__xludf.DUMMYFUNCTION("""COMPUTED_VALUE"""),"SAEED EZTOLAHI")</f>
        <v>SAEED EZTOLAHI</v>
      </c>
      <c r="E555" s="5">
        <f>IFERROR(__xludf.DUMMYFUNCTION("""COMPUTED_VALUE"""),0.0)</f>
        <v>0</v>
      </c>
      <c r="F555" s="5">
        <f>IFERROR(__xludf.DUMMYFUNCTION("""COMPUTED_VALUE"""),0.0)</f>
        <v>0</v>
      </c>
    </row>
    <row r="556">
      <c r="A556" s="5" t="str">
        <f>IFERROR(__xludf.DUMMYFUNCTION("""COMPUTED_VALUE"""),"IRN12")</f>
        <v>IRN12</v>
      </c>
      <c r="B556" s="5" t="str">
        <f>IFERROR(__xludf.DUMMYFUNCTION("""COMPUTED_VALUE"""),"IRAN")</f>
        <v>IRAN</v>
      </c>
      <c r="C556" s="5" t="str">
        <f>IFERROR(__xludf.DUMMYFUNCTION("""COMPUTED_VALUE"""),"NORMAL")</f>
        <v>NORMAL</v>
      </c>
      <c r="D556" s="5" t="str">
        <f>IFERROR(__xludf.DUMMYFUNCTION("""COMPUTED_VALUE"""),"SAMAN GHODDOS")</f>
        <v>SAMAN GHODDOS</v>
      </c>
      <c r="E556" s="5">
        <f>IFERROR(__xludf.DUMMYFUNCTION("""COMPUTED_VALUE"""),0.0)</f>
        <v>0</v>
      </c>
      <c r="F556" s="5">
        <f>IFERROR(__xludf.DUMMYFUNCTION("""COMPUTED_VALUE"""),0.0)</f>
        <v>0</v>
      </c>
    </row>
    <row r="557">
      <c r="A557" s="5" t="str">
        <f>IFERROR(__xludf.DUMMYFUNCTION("""COMPUTED_VALUE"""),"IRN13")</f>
        <v>IRN13</v>
      </c>
      <c r="B557" s="5" t="str">
        <f>IFERROR(__xludf.DUMMYFUNCTION("""COMPUTED_VALUE"""),"IRAN")</f>
        <v>IRAN</v>
      </c>
      <c r="C557" s="5" t="str">
        <f>IFERROR(__xludf.DUMMYFUNCTION("""COMPUTED_VALUE"""),"TEAM")</f>
        <v>TEAM</v>
      </c>
      <c r="D557" s="5" t="str">
        <f>IFERROR(__xludf.DUMMYFUNCTION("""COMPUTED_VALUE"""),"IRAN NATIONAL TEAM")</f>
        <v>IRAN NATIONAL TEAM</v>
      </c>
      <c r="E557" s="5">
        <f>IFERROR(__xludf.DUMMYFUNCTION("""COMPUTED_VALUE"""),0.0)</f>
        <v>0</v>
      </c>
      <c r="F557" s="5">
        <f>IFERROR(__xludf.DUMMYFUNCTION("""COMPUTED_VALUE"""),0.0)</f>
        <v>0</v>
      </c>
    </row>
    <row r="558">
      <c r="A558" s="5" t="str">
        <f>IFERROR(__xludf.DUMMYFUNCTION("""COMPUTED_VALUE"""),"IRN14")</f>
        <v>IRN14</v>
      </c>
      <c r="B558" s="5" t="str">
        <f>IFERROR(__xludf.DUMMYFUNCTION("""COMPUTED_VALUE"""),"IRAN")</f>
        <v>IRAN</v>
      </c>
      <c r="C558" s="5" t="str">
        <f>IFERROR(__xludf.DUMMYFUNCTION("""COMPUTED_VALUE"""),"NORMAL")</f>
        <v>NORMAL</v>
      </c>
      <c r="D558" s="5" t="str">
        <f>IFERROR(__xludf.DUMMYFUNCTION("""COMPUTED_VALUE"""),"OMID NOORAFKAN")</f>
        <v>OMID NOORAFKAN</v>
      </c>
      <c r="E558" s="5">
        <f>IFERROR(__xludf.DUMMYFUNCTION("""COMPUTED_VALUE"""),0.0)</f>
        <v>0</v>
      </c>
      <c r="F558" s="5">
        <f>IFERROR(__xludf.DUMMYFUNCTION("""COMPUTED_VALUE"""),0.0)</f>
        <v>0</v>
      </c>
    </row>
    <row r="559">
      <c r="A559" s="5" t="str">
        <f>IFERROR(__xludf.DUMMYFUNCTION("""COMPUTED_VALUE"""),"IRN15")</f>
        <v>IRN15</v>
      </c>
      <c r="B559" s="5" t="str">
        <f>IFERROR(__xludf.DUMMYFUNCTION("""COMPUTED_VALUE"""),"IRAN")</f>
        <v>IRAN</v>
      </c>
      <c r="C559" s="5" t="str">
        <f>IFERROR(__xludf.DUMMYFUNCTION("""COMPUTED_VALUE"""),"NORMAL")</f>
        <v>NORMAL</v>
      </c>
      <c r="D559" s="5" t="str">
        <f>IFERROR(__xludf.DUMMYFUNCTION("""COMPUTED_VALUE"""),"ROOZBEH CHESHMI")</f>
        <v>ROOZBEH CHESHMI</v>
      </c>
      <c r="E559" s="5">
        <f>IFERROR(__xludf.DUMMYFUNCTION("""COMPUTED_VALUE"""),0.0)</f>
        <v>0</v>
      </c>
      <c r="F559" s="5">
        <f>IFERROR(__xludf.DUMMYFUNCTION("""COMPUTED_VALUE"""),0.0)</f>
        <v>0</v>
      </c>
    </row>
    <row r="560">
      <c r="A560" s="5" t="str">
        <f>IFERROR(__xludf.DUMMYFUNCTION("""COMPUTED_VALUE"""),"IRN16")</f>
        <v>IRN16</v>
      </c>
      <c r="B560" s="5" t="str">
        <f>IFERROR(__xludf.DUMMYFUNCTION("""COMPUTED_VALUE"""),"IRAN")</f>
        <v>IRAN</v>
      </c>
      <c r="C560" s="5" t="str">
        <f>IFERROR(__xludf.DUMMYFUNCTION("""COMPUTED_VALUE"""),"NORMAL")</f>
        <v>NORMAL</v>
      </c>
      <c r="D560" s="5" t="str">
        <f>IFERROR(__xludf.DUMMYFUNCTION("""COMPUTED_VALUE"""),"MOHAMMAD MOHEBI")</f>
        <v>MOHAMMAD MOHEBI</v>
      </c>
      <c r="E560" s="5">
        <f>IFERROR(__xludf.DUMMYFUNCTION("""COMPUTED_VALUE"""),0.0)</f>
        <v>0</v>
      </c>
      <c r="F560" s="5">
        <f>IFERROR(__xludf.DUMMYFUNCTION("""COMPUTED_VALUE"""),0.0)</f>
        <v>0</v>
      </c>
    </row>
    <row r="561">
      <c r="A561" s="5" t="str">
        <f>IFERROR(__xludf.DUMMYFUNCTION("""COMPUTED_VALUE"""),"IRN17")</f>
        <v>IRN17</v>
      </c>
      <c r="B561" s="5" t="str">
        <f>IFERROR(__xludf.DUMMYFUNCTION("""COMPUTED_VALUE"""),"IRAN")</f>
        <v>IRAN</v>
      </c>
      <c r="C561" s="5" t="str">
        <f>IFERROR(__xludf.DUMMYFUNCTION("""COMPUTED_VALUE"""),"NORMAL")</f>
        <v>NORMAL</v>
      </c>
      <c r="D561" s="5" t="str">
        <f>IFERROR(__xludf.DUMMYFUNCTION("""COMPUTED_VALUE"""),"SARDAR AZMOUN")</f>
        <v>SARDAR AZMOUN</v>
      </c>
      <c r="E561" s="5">
        <f>IFERROR(__xludf.DUMMYFUNCTION("""COMPUTED_VALUE"""),0.0)</f>
        <v>0</v>
      </c>
      <c r="F561" s="5">
        <f>IFERROR(__xludf.DUMMYFUNCTION("""COMPUTED_VALUE"""),0.0)</f>
        <v>0</v>
      </c>
    </row>
    <row r="562">
      <c r="A562" s="5" t="str">
        <f>IFERROR(__xludf.DUMMYFUNCTION("""COMPUTED_VALUE"""),"IRN18")</f>
        <v>IRN18</v>
      </c>
      <c r="B562" s="5" t="str">
        <f>IFERROR(__xludf.DUMMYFUNCTION("""COMPUTED_VALUE"""),"IRAN")</f>
        <v>IRAN</v>
      </c>
      <c r="C562" s="5" t="str">
        <f>IFERROR(__xludf.DUMMYFUNCTION("""COMPUTED_VALUE"""),"NORMAL")</f>
        <v>NORMAL</v>
      </c>
      <c r="D562" s="5" t="str">
        <f>IFERROR(__xludf.DUMMYFUNCTION("""COMPUTED_VALUE"""),"MEHDI TAREMI")</f>
        <v>MEHDI TAREMI</v>
      </c>
      <c r="E562" s="5">
        <f>IFERROR(__xludf.DUMMYFUNCTION("""COMPUTED_VALUE"""),0.0)</f>
        <v>0</v>
      </c>
      <c r="F562" s="5">
        <f>IFERROR(__xludf.DUMMYFUNCTION("""COMPUTED_VALUE"""),0.0)</f>
        <v>0</v>
      </c>
    </row>
    <row r="563">
      <c r="A563" s="5" t="str">
        <f>IFERROR(__xludf.DUMMYFUNCTION("""COMPUTED_VALUE"""),"IRN19")</f>
        <v>IRN19</v>
      </c>
      <c r="B563" s="5" t="str">
        <f>IFERROR(__xludf.DUMMYFUNCTION("""COMPUTED_VALUE"""),"IRAN")</f>
        <v>IRAN</v>
      </c>
      <c r="C563" s="5" t="str">
        <f>IFERROR(__xludf.DUMMYFUNCTION("""COMPUTED_VALUE"""),"NORMAL")</f>
        <v>NORMAL</v>
      </c>
      <c r="D563" s="5" t="str">
        <f>IFERROR(__xludf.DUMMYFUNCTION("""COMPUTED_VALUE"""),"ALIREZA JAHANBAKHSH")</f>
        <v>ALIREZA JAHANBAKHSH</v>
      </c>
      <c r="E563" s="5">
        <f>IFERROR(__xludf.DUMMYFUNCTION("""COMPUTED_VALUE"""),0.0)</f>
        <v>0</v>
      </c>
      <c r="F563" s="5">
        <f>IFERROR(__xludf.DUMMYFUNCTION("""COMPUTED_VALUE"""),0.0)</f>
        <v>0</v>
      </c>
    </row>
    <row r="564">
      <c r="A564" s="5" t="str">
        <f>IFERROR(__xludf.DUMMYFUNCTION("""COMPUTED_VALUE"""),"IRN20")</f>
        <v>IRN20</v>
      </c>
      <c r="B564" s="5" t="str">
        <f>IFERROR(__xludf.DUMMYFUNCTION("""COMPUTED_VALUE"""),"IRAN")</f>
        <v>IRAN</v>
      </c>
      <c r="C564" s="5" t="str">
        <f>IFERROR(__xludf.DUMMYFUNCTION("""COMPUTED_VALUE"""),"NORMAL")</f>
        <v>NORMAL</v>
      </c>
      <c r="D564" s="5" t="str">
        <f>IFERROR(__xludf.DUMMYFUNCTION("""COMPUTED_VALUE"""),"ALI GHOLIZADEH")</f>
        <v>ALI GHOLIZADEH</v>
      </c>
      <c r="E564" s="5">
        <f>IFERROR(__xludf.DUMMYFUNCTION("""COMPUTED_VALUE"""),0.0)</f>
        <v>0</v>
      </c>
      <c r="F564" s="5">
        <f>IFERROR(__xludf.DUMMYFUNCTION("""COMPUTED_VALUE"""),0.0)</f>
        <v>0</v>
      </c>
    </row>
    <row r="565">
      <c r="A565" s="5" t="str">
        <f>IFERROR(__xludf.DUMMYFUNCTION("""COMPUTED_VALUE"""),"NZL01")</f>
        <v>NZL01</v>
      </c>
      <c r="B565" s="5" t="str">
        <f>IFERROR(__xludf.DUMMYFUNCTION("""COMPUTED_VALUE"""),"NEW ZEALAND")</f>
        <v>NEW ZEALAND</v>
      </c>
      <c r="C565" s="5" t="str">
        <f>IFERROR(__xludf.DUMMYFUNCTION("""COMPUTED_VALUE"""),"BADGE")</f>
        <v>BADGE</v>
      </c>
      <c r="D565" s="5" t="str">
        <f>IFERROR(__xludf.DUMMYFUNCTION("""COMPUTED_VALUE"""),"NEW ZEALAND NATIONAL TEAM")</f>
        <v>NEW ZEALAND NATIONAL TEAM</v>
      </c>
      <c r="E565" s="5">
        <f>IFERROR(__xludf.DUMMYFUNCTION("""COMPUTED_VALUE"""),0.0)</f>
        <v>0</v>
      </c>
      <c r="F565" s="5">
        <f>IFERROR(__xludf.DUMMYFUNCTION("""COMPUTED_VALUE"""),0.0)</f>
        <v>0</v>
      </c>
    </row>
    <row r="566">
      <c r="A566" s="5" t="str">
        <f>IFERROR(__xludf.DUMMYFUNCTION("""COMPUTED_VALUE"""),"NZL02")</f>
        <v>NZL02</v>
      </c>
      <c r="B566" s="5" t="str">
        <f>IFERROR(__xludf.DUMMYFUNCTION("""COMPUTED_VALUE"""),"NEW ZEALAND")</f>
        <v>NEW ZEALAND</v>
      </c>
      <c r="C566" s="5" t="str">
        <f>IFERROR(__xludf.DUMMYFUNCTION("""COMPUTED_VALUE"""),"NORMAL")</f>
        <v>NORMAL</v>
      </c>
      <c r="D566" s="5" t="str">
        <f>IFERROR(__xludf.DUMMYFUNCTION("""COMPUTED_VALUE"""),"MAX CROCOMBE")</f>
        <v>MAX CROCOMBE</v>
      </c>
      <c r="E566" s="5">
        <f>IFERROR(__xludf.DUMMYFUNCTION("""COMPUTED_VALUE"""),0.0)</f>
        <v>0</v>
      </c>
      <c r="F566" s="5">
        <f>IFERROR(__xludf.DUMMYFUNCTION("""COMPUTED_VALUE"""),0.0)</f>
        <v>0</v>
      </c>
    </row>
    <row r="567">
      <c r="A567" s="5" t="str">
        <f>IFERROR(__xludf.DUMMYFUNCTION("""COMPUTED_VALUE"""),"NZL03")</f>
        <v>NZL03</v>
      </c>
      <c r="B567" s="5" t="str">
        <f>IFERROR(__xludf.DUMMYFUNCTION("""COMPUTED_VALUE"""),"NEW ZEALAND")</f>
        <v>NEW ZEALAND</v>
      </c>
      <c r="C567" s="5" t="str">
        <f>IFERROR(__xludf.DUMMYFUNCTION("""COMPUTED_VALUE"""),"NORMAL")</f>
        <v>NORMAL</v>
      </c>
      <c r="D567" s="5" t="str">
        <f>IFERROR(__xludf.DUMMYFUNCTION("""COMPUTED_VALUE"""),"ALEX PAULSEN")</f>
        <v>ALEX PAULSEN</v>
      </c>
      <c r="E567" s="5">
        <f>IFERROR(__xludf.DUMMYFUNCTION("""COMPUTED_VALUE"""),0.0)</f>
        <v>0</v>
      </c>
      <c r="F567" s="5">
        <f>IFERROR(__xludf.DUMMYFUNCTION("""COMPUTED_VALUE"""),0.0)</f>
        <v>0</v>
      </c>
    </row>
    <row r="568">
      <c r="A568" s="5" t="str">
        <f>IFERROR(__xludf.DUMMYFUNCTION("""COMPUTED_VALUE"""),"NZL04")</f>
        <v>NZL04</v>
      </c>
      <c r="B568" s="5" t="str">
        <f>IFERROR(__xludf.DUMMYFUNCTION("""COMPUTED_VALUE"""),"NEW ZEALAND")</f>
        <v>NEW ZEALAND</v>
      </c>
      <c r="C568" s="5" t="str">
        <f>IFERROR(__xludf.DUMMYFUNCTION("""COMPUTED_VALUE"""),"NORMAL")</f>
        <v>NORMAL</v>
      </c>
      <c r="D568" s="5" t="str">
        <f>IFERROR(__xludf.DUMMYFUNCTION("""COMPUTED_VALUE"""),"MICHAEL BOXALL")</f>
        <v>MICHAEL BOXALL</v>
      </c>
      <c r="E568" s="5">
        <f>IFERROR(__xludf.DUMMYFUNCTION("""COMPUTED_VALUE"""),0.0)</f>
        <v>0</v>
      </c>
      <c r="F568" s="5">
        <f>IFERROR(__xludf.DUMMYFUNCTION("""COMPUTED_VALUE"""),0.0)</f>
        <v>0</v>
      </c>
    </row>
    <row r="569">
      <c r="A569" s="5" t="str">
        <f>IFERROR(__xludf.DUMMYFUNCTION("""COMPUTED_VALUE"""),"NZL05")</f>
        <v>NZL05</v>
      </c>
      <c r="B569" s="5" t="str">
        <f>IFERROR(__xludf.DUMMYFUNCTION("""COMPUTED_VALUE"""),"NEW ZEALAND")</f>
        <v>NEW ZEALAND</v>
      </c>
      <c r="C569" s="5" t="str">
        <f>IFERROR(__xludf.DUMMYFUNCTION("""COMPUTED_VALUE"""),"NORMAL")</f>
        <v>NORMAL</v>
      </c>
      <c r="D569" s="5" t="str">
        <f>IFERROR(__xludf.DUMMYFUNCTION("""COMPUTED_VALUE"""),"LIBERATO CACACE")</f>
        <v>LIBERATO CACACE</v>
      </c>
      <c r="E569" s="5">
        <f>IFERROR(__xludf.DUMMYFUNCTION("""COMPUTED_VALUE"""),0.0)</f>
        <v>0</v>
      </c>
      <c r="F569" s="5">
        <f>IFERROR(__xludf.DUMMYFUNCTION("""COMPUTED_VALUE"""),0.0)</f>
        <v>0</v>
      </c>
    </row>
    <row r="570">
      <c r="A570" s="5" t="str">
        <f>IFERROR(__xludf.DUMMYFUNCTION("""COMPUTED_VALUE"""),"NZL06")</f>
        <v>NZL06</v>
      </c>
      <c r="B570" s="5" t="str">
        <f>IFERROR(__xludf.DUMMYFUNCTION("""COMPUTED_VALUE"""),"NEW ZEALAND")</f>
        <v>NEW ZEALAND</v>
      </c>
      <c r="C570" s="5" t="str">
        <f>IFERROR(__xludf.DUMMYFUNCTION("""COMPUTED_VALUE"""),"NORMAL")</f>
        <v>NORMAL</v>
      </c>
      <c r="D570" s="5" t="str">
        <f>IFERROR(__xludf.DUMMYFUNCTION("""COMPUTED_VALUE"""),"TIM PAYNE")</f>
        <v>TIM PAYNE</v>
      </c>
      <c r="E570" s="5">
        <f>IFERROR(__xludf.DUMMYFUNCTION("""COMPUTED_VALUE"""),0.0)</f>
        <v>0</v>
      </c>
      <c r="F570" s="5">
        <f>IFERROR(__xludf.DUMMYFUNCTION("""COMPUTED_VALUE"""),0.0)</f>
        <v>0</v>
      </c>
    </row>
    <row r="571">
      <c r="A571" s="5" t="str">
        <f>IFERROR(__xludf.DUMMYFUNCTION("""COMPUTED_VALUE"""),"NZL07")</f>
        <v>NZL07</v>
      </c>
      <c r="B571" s="5" t="str">
        <f>IFERROR(__xludf.DUMMYFUNCTION("""COMPUTED_VALUE"""),"NEW ZEALAND")</f>
        <v>NEW ZEALAND</v>
      </c>
      <c r="C571" s="5" t="str">
        <f>IFERROR(__xludf.DUMMYFUNCTION("""COMPUTED_VALUE"""),"NORMAL")</f>
        <v>NORMAL</v>
      </c>
      <c r="D571" s="5" t="str">
        <f>IFERROR(__xludf.DUMMYFUNCTION("""COMPUTED_VALUE"""),"TYLER BINDON")</f>
        <v>TYLER BINDON</v>
      </c>
      <c r="E571" s="5">
        <f>IFERROR(__xludf.DUMMYFUNCTION("""COMPUTED_VALUE"""),0.0)</f>
        <v>0</v>
      </c>
      <c r="F571" s="5">
        <f>IFERROR(__xludf.DUMMYFUNCTION("""COMPUTED_VALUE"""),0.0)</f>
        <v>0</v>
      </c>
    </row>
    <row r="572">
      <c r="A572" s="5" t="str">
        <f>IFERROR(__xludf.DUMMYFUNCTION("""COMPUTED_VALUE"""),"NZL08")</f>
        <v>NZL08</v>
      </c>
      <c r="B572" s="5" t="str">
        <f>IFERROR(__xludf.DUMMYFUNCTION("""COMPUTED_VALUE"""),"NEW ZEALAND")</f>
        <v>NEW ZEALAND</v>
      </c>
      <c r="C572" s="5" t="str">
        <f>IFERROR(__xludf.DUMMYFUNCTION("""COMPUTED_VALUE"""),"NORMAL")</f>
        <v>NORMAL</v>
      </c>
      <c r="D572" s="5" t="str">
        <f>IFERROR(__xludf.DUMMYFUNCTION("""COMPUTED_VALUE"""),"FRANCIS DE VRIES")</f>
        <v>FRANCIS DE VRIES</v>
      </c>
      <c r="E572" s="5">
        <f>IFERROR(__xludf.DUMMYFUNCTION("""COMPUTED_VALUE"""),0.0)</f>
        <v>0</v>
      </c>
      <c r="F572" s="5">
        <f>IFERROR(__xludf.DUMMYFUNCTION("""COMPUTED_VALUE"""),0.0)</f>
        <v>0</v>
      </c>
    </row>
    <row r="573">
      <c r="A573" s="5" t="str">
        <f>IFERROR(__xludf.DUMMYFUNCTION("""COMPUTED_VALUE"""),"NZL09")</f>
        <v>NZL09</v>
      </c>
      <c r="B573" s="5" t="str">
        <f>IFERROR(__xludf.DUMMYFUNCTION("""COMPUTED_VALUE"""),"NEW ZEALAND")</f>
        <v>NEW ZEALAND</v>
      </c>
      <c r="C573" s="5" t="str">
        <f>IFERROR(__xludf.DUMMYFUNCTION("""COMPUTED_VALUE"""),"NORMAL")</f>
        <v>NORMAL</v>
      </c>
      <c r="D573" s="5" t="str">
        <f>IFERROR(__xludf.DUMMYFUNCTION("""COMPUTED_VALUE"""),"FINN SURMAN")</f>
        <v>FINN SURMAN</v>
      </c>
      <c r="E573" s="5">
        <f>IFERROR(__xludf.DUMMYFUNCTION("""COMPUTED_VALUE"""),0.0)</f>
        <v>0</v>
      </c>
      <c r="F573" s="5">
        <f>IFERROR(__xludf.DUMMYFUNCTION("""COMPUTED_VALUE"""),0.0)</f>
        <v>0</v>
      </c>
    </row>
    <row r="574">
      <c r="A574" s="5" t="str">
        <f>IFERROR(__xludf.DUMMYFUNCTION("""COMPUTED_VALUE"""),"NZL10")</f>
        <v>NZL10</v>
      </c>
      <c r="B574" s="5" t="str">
        <f>IFERROR(__xludf.DUMMYFUNCTION("""COMPUTED_VALUE"""),"NEW ZEALAND")</f>
        <v>NEW ZEALAND</v>
      </c>
      <c r="C574" s="5" t="str">
        <f>IFERROR(__xludf.DUMMYFUNCTION("""COMPUTED_VALUE"""),"NORMAL")</f>
        <v>NORMAL</v>
      </c>
      <c r="D574" s="5" t="str">
        <f>IFERROR(__xludf.DUMMYFUNCTION("""COMPUTED_VALUE"""),"JOE BELL")</f>
        <v>JOE BELL</v>
      </c>
      <c r="E574" s="5">
        <f>IFERROR(__xludf.DUMMYFUNCTION("""COMPUTED_VALUE"""),0.0)</f>
        <v>0</v>
      </c>
      <c r="F574" s="5">
        <f>IFERROR(__xludf.DUMMYFUNCTION("""COMPUTED_VALUE"""),0.0)</f>
        <v>0</v>
      </c>
    </row>
    <row r="575">
      <c r="A575" s="5" t="str">
        <f>IFERROR(__xludf.DUMMYFUNCTION("""COMPUTED_VALUE"""),"NZL11")</f>
        <v>NZL11</v>
      </c>
      <c r="B575" s="5" t="str">
        <f>IFERROR(__xludf.DUMMYFUNCTION("""COMPUTED_VALUE"""),"NEW ZEALAND")</f>
        <v>NEW ZEALAND</v>
      </c>
      <c r="C575" s="5" t="str">
        <f>IFERROR(__xludf.DUMMYFUNCTION("""COMPUTED_VALUE"""),"NORMAL")</f>
        <v>NORMAL</v>
      </c>
      <c r="D575" s="5" t="str">
        <f>IFERROR(__xludf.DUMMYFUNCTION("""COMPUTED_VALUE"""),"SARPREET SINGH")</f>
        <v>SARPREET SINGH</v>
      </c>
      <c r="E575" s="5">
        <f>IFERROR(__xludf.DUMMYFUNCTION("""COMPUTED_VALUE"""),0.0)</f>
        <v>0</v>
      </c>
      <c r="F575" s="5">
        <f>IFERROR(__xludf.DUMMYFUNCTION("""COMPUTED_VALUE"""),0.0)</f>
        <v>0</v>
      </c>
    </row>
    <row r="576">
      <c r="A576" s="5" t="str">
        <f>IFERROR(__xludf.DUMMYFUNCTION("""COMPUTED_VALUE"""),"NZL12")</f>
        <v>NZL12</v>
      </c>
      <c r="B576" s="5" t="str">
        <f>IFERROR(__xludf.DUMMYFUNCTION("""COMPUTED_VALUE"""),"NEW ZEALAND")</f>
        <v>NEW ZEALAND</v>
      </c>
      <c r="C576" s="5" t="str">
        <f>IFERROR(__xludf.DUMMYFUNCTION("""COMPUTED_VALUE"""),"NORMAL")</f>
        <v>NORMAL</v>
      </c>
      <c r="D576" s="5" t="str">
        <f>IFERROR(__xludf.DUMMYFUNCTION("""COMPUTED_VALUE"""),"RYAN THOMAS")</f>
        <v>RYAN THOMAS</v>
      </c>
      <c r="E576" s="5">
        <f>IFERROR(__xludf.DUMMYFUNCTION("""COMPUTED_VALUE"""),0.0)</f>
        <v>0</v>
      </c>
      <c r="F576" s="5">
        <f>IFERROR(__xludf.DUMMYFUNCTION("""COMPUTED_VALUE"""),0.0)</f>
        <v>0</v>
      </c>
    </row>
    <row r="577">
      <c r="A577" s="5" t="str">
        <f>IFERROR(__xludf.DUMMYFUNCTION("""COMPUTED_VALUE"""),"NZL13")</f>
        <v>NZL13</v>
      </c>
      <c r="B577" s="5" t="str">
        <f>IFERROR(__xludf.DUMMYFUNCTION("""COMPUTED_VALUE"""),"NEW ZEALAND")</f>
        <v>NEW ZEALAND</v>
      </c>
      <c r="C577" s="5" t="str">
        <f>IFERROR(__xludf.DUMMYFUNCTION("""COMPUTED_VALUE"""),"TEAM")</f>
        <v>TEAM</v>
      </c>
      <c r="D577" s="5" t="str">
        <f>IFERROR(__xludf.DUMMYFUNCTION("""COMPUTED_VALUE"""),"NEW ZEALAND NATIONAL TEAM")</f>
        <v>NEW ZEALAND NATIONAL TEAM</v>
      </c>
      <c r="E577" s="5">
        <f>IFERROR(__xludf.DUMMYFUNCTION("""COMPUTED_VALUE"""),0.0)</f>
        <v>0</v>
      </c>
      <c r="F577" s="5">
        <f>IFERROR(__xludf.DUMMYFUNCTION("""COMPUTED_VALUE"""),0.0)</f>
        <v>0</v>
      </c>
    </row>
    <row r="578">
      <c r="A578" s="5" t="str">
        <f>IFERROR(__xludf.DUMMYFUNCTION("""COMPUTED_VALUE"""),"NZL14")</f>
        <v>NZL14</v>
      </c>
      <c r="B578" s="5" t="str">
        <f>IFERROR(__xludf.DUMMYFUNCTION("""COMPUTED_VALUE"""),"NEW ZEALAND")</f>
        <v>NEW ZEALAND</v>
      </c>
      <c r="C578" s="5" t="str">
        <f>IFERROR(__xludf.DUMMYFUNCTION("""COMPUTED_VALUE"""),"NORMAL")</f>
        <v>NORMAL</v>
      </c>
      <c r="D578" s="5" t="str">
        <f>IFERROR(__xludf.DUMMYFUNCTION("""COMPUTED_VALUE"""),"MATTHEW GARBETT")</f>
        <v>MATTHEW GARBETT</v>
      </c>
      <c r="E578" s="5">
        <f>IFERROR(__xludf.DUMMYFUNCTION("""COMPUTED_VALUE"""),0.0)</f>
        <v>0</v>
      </c>
      <c r="F578" s="5">
        <f>IFERROR(__xludf.DUMMYFUNCTION("""COMPUTED_VALUE"""),0.0)</f>
        <v>0</v>
      </c>
    </row>
    <row r="579">
      <c r="A579" s="5" t="str">
        <f>IFERROR(__xludf.DUMMYFUNCTION("""COMPUTED_VALUE"""),"NZL15")</f>
        <v>NZL15</v>
      </c>
      <c r="B579" s="5" t="str">
        <f>IFERROR(__xludf.DUMMYFUNCTION("""COMPUTED_VALUE"""),"NEW ZEALAND")</f>
        <v>NEW ZEALAND</v>
      </c>
      <c r="C579" s="5" t="str">
        <f>IFERROR(__xludf.DUMMYFUNCTION("""COMPUTED_VALUE"""),"NORMAL")</f>
        <v>NORMAL</v>
      </c>
      <c r="D579" s="5" t="str">
        <f>IFERROR(__xludf.DUMMYFUNCTION("""COMPUTED_VALUE"""),"MARKO STAMENIC")</f>
        <v>MARKO STAMENIC</v>
      </c>
      <c r="E579" s="5">
        <f>IFERROR(__xludf.DUMMYFUNCTION("""COMPUTED_VALUE"""),0.0)</f>
        <v>0</v>
      </c>
      <c r="F579" s="5">
        <f>IFERROR(__xludf.DUMMYFUNCTION("""COMPUTED_VALUE"""),0.0)</f>
        <v>0</v>
      </c>
    </row>
    <row r="580">
      <c r="A580" s="5" t="str">
        <f>IFERROR(__xludf.DUMMYFUNCTION("""COMPUTED_VALUE"""),"NZL16")</f>
        <v>NZL16</v>
      </c>
      <c r="B580" s="5" t="str">
        <f>IFERROR(__xludf.DUMMYFUNCTION("""COMPUTED_VALUE"""),"NEW ZEALAND")</f>
        <v>NEW ZEALAND</v>
      </c>
      <c r="C580" s="5" t="str">
        <f>IFERROR(__xludf.DUMMYFUNCTION("""COMPUTED_VALUE"""),"NORMAL")</f>
        <v>NORMAL</v>
      </c>
      <c r="D580" s="5" t="str">
        <f>IFERROR(__xludf.DUMMYFUNCTION("""COMPUTED_VALUE"""),"BEN OLD")</f>
        <v>BEN OLD</v>
      </c>
      <c r="E580" s="5">
        <f>IFERROR(__xludf.DUMMYFUNCTION("""COMPUTED_VALUE"""),0.0)</f>
        <v>0</v>
      </c>
      <c r="F580" s="5">
        <f>IFERROR(__xludf.DUMMYFUNCTION("""COMPUTED_VALUE"""),0.0)</f>
        <v>0</v>
      </c>
    </row>
    <row r="581">
      <c r="A581" s="5" t="str">
        <f>IFERROR(__xludf.DUMMYFUNCTION("""COMPUTED_VALUE"""),"NZL17")</f>
        <v>NZL17</v>
      </c>
      <c r="B581" s="5" t="str">
        <f>IFERROR(__xludf.DUMMYFUNCTION("""COMPUTED_VALUE"""),"NEW ZEALAND")</f>
        <v>NEW ZEALAND</v>
      </c>
      <c r="C581" s="5" t="str">
        <f>IFERROR(__xludf.DUMMYFUNCTION("""COMPUTED_VALUE"""),"NORMAL")</f>
        <v>NORMAL</v>
      </c>
      <c r="D581" s="5" t="str">
        <f>IFERROR(__xludf.DUMMYFUNCTION("""COMPUTED_VALUE"""),"CHRIS WOOD")</f>
        <v>CHRIS WOOD</v>
      </c>
      <c r="E581" s="5">
        <f>IFERROR(__xludf.DUMMYFUNCTION("""COMPUTED_VALUE"""),0.0)</f>
        <v>0</v>
      </c>
      <c r="F581" s="5">
        <f>IFERROR(__xludf.DUMMYFUNCTION("""COMPUTED_VALUE"""),0.0)</f>
        <v>0</v>
      </c>
    </row>
    <row r="582">
      <c r="A582" s="5" t="str">
        <f>IFERROR(__xludf.DUMMYFUNCTION("""COMPUTED_VALUE"""),"NZL18")</f>
        <v>NZL18</v>
      </c>
      <c r="B582" s="5" t="str">
        <f>IFERROR(__xludf.DUMMYFUNCTION("""COMPUTED_VALUE"""),"NEW ZEALAND")</f>
        <v>NEW ZEALAND</v>
      </c>
      <c r="C582" s="5" t="str">
        <f>IFERROR(__xludf.DUMMYFUNCTION("""COMPUTED_VALUE"""),"NORMAL")</f>
        <v>NORMAL</v>
      </c>
      <c r="D582" s="5" t="str">
        <f>IFERROR(__xludf.DUMMYFUNCTION("""COMPUTED_VALUE"""),"ELIJAH JUST")</f>
        <v>ELIJAH JUST</v>
      </c>
      <c r="E582" s="5">
        <f>IFERROR(__xludf.DUMMYFUNCTION("""COMPUTED_VALUE"""),0.0)</f>
        <v>0</v>
      </c>
      <c r="F582" s="5">
        <f>IFERROR(__xludf.DUMMYFUNCTION("""COMPUTED_VALUE"""),0.0)</f>
        <v>0</v>
      </c>
    </row>
    <row r="583">
      <c r="A583" s="5" t="str">
        <f>IFERROR(__xludf.DUMMYFUNCTION("""COMPUTED_VALUE"""),"NZL19")</f>
        <v>NZL19</v>
      </c>
      <c r="B583" s="5" t="str">
        <f>IFERROR(__xludf.DUMMYFUNCTION("""COMPUTED_VALUE"""),"NEW ZEALAND")</f>
        <v>NEW ZEALAND</v>
      </c>
      <c r="C583" s="5" t="str">
        <f>IFERROR(__xludf.DUMMYFUNCTION("""COMPUTED_VALUE"""),"NORMAL")</f>
        <v>NORMAL</v>
      </c>
      <c r="D583" s="5" t="str">
        <f>IFERROR(__xludf.DUMMYFUNCTION("""COMPUTED_VALUE"""),"CALLUM MCCOWATT")</f>
        <v>CALLUM MCCOWATT</v>
      </c>
      <c r="E583" s="5">
        <f>IFERROR(__xludf.DUMMYFUNCTION("""COMPUTED_VALUE"""),0.0)</f>
        <v>0</v>
      </c>
      <c r="F583" s="5">
        <f>IFERROR(__xludf.DUMMYFUNCTION("""COMPUTED_VALUE"""),0.0)</f>
        <v>0</v>
      </c>
    </row>
    <row r="584">
      <c r="A584" s="5" t="str">
        <f>IFERROR(__xludf.DUMMYFUNCTION("""COMPUTED_VALUE"""),"NZL20")</f>
        <v>NZL20</v>
      </c>
      <c r="B584" s="5" t="str">
        <f>IFERROR(__xludf.DUMMYFUNCTION("""COMPUTED_VALUE"""),"NEW ZEALAND")</f>
        <v>NEW ZEALAND</v>
      </c>
      <c r="C584" s="5" t="str">
        <f>IFERROR(__xludf.DUMMYFUNCTION("""COMPUTED_VALUE"""),"NORMAL")</f>
        <v>NORMAL</v>
      </c>
      <c r="D584" s="5" t="str">
        <f>IFERROR(__xludf.DUMMYFUNCTION("""COMPUTED_VALUE"""),"KOSTA BARBAROUSES")</f>
        <v>KOSTA BARBAROUSES</v>
      </c>
      <c r="E584" s="5">
        <f>IFERROR(__xludf.DUMMYFUNCTION("""COMPUTED_VALUE"""),0.0)</f>
        <v>0</v>
      </c>
      <c r="F584" s="5">
        <f>IFERROR(__xludf.DUMMYFUNCTION("""COMPUTED_VALUE"""),0.0)</f>
        <v>0</v>
      </c>
    </row>
    <row r="585">
      <c r="A585" s="5" t="str">
        <f>IFERROR(__xludf.DUMMYFUNCTION("""COMPUTED_VALUE"""),"ESP01")</f>
        <v>ESP01</v>
      </c>
      <c r="B585" s="5" t="str">
        <f>IFERROR(__xludf.DUMMYFUNCTION("""COMPUTED_VALUE"""),"SPAIN")</f>
        <v>SPAIN</v>
      </c>
      <c r="C585" s="5" t="str">
        <f>IFERROR(__xludf.DUMMYFUNCTION("""COMPUTED_VALUE"""),"BADGE")</f>
        <v>BADGE</v>
      </c>
      <c r="D585" s="5" t="str">
        <f>IFERROR(__xludf.DUMMYFUNCTION("""COMPUTED_VALUE"""),"SPAIN NATIONAL TEAM")</f>
        <v>SPAIN NATIONAL TEAM</v>
      </c>
      <c r="E585" s="5">
        <f>IFERROR(__xludf.DUMMYFUNCTION("""COMPUTED_VALUE"""),0.0)</f>
        <v>0</v>
      </c>
      <c r="F585" s="5">
        <f>IFERROR(__xludf.DUMMYFUNCTION("""COMPUTED_VALUE"""),0.0)</f>
        <v>0</v>
      </c>
    </row>
    <row r="586">
      <c r="A586" s="5" t="str">
        <f>IFERROR(__xludf.DUMMYFUNCTION("""COMPUTED_VALUE"""),"ESP02")</f>
        <v>ESP02</v>
      </c>
      <c r="B586" s="5" t="str">
        <f>IFERROR(__xludf.DUMMYFUNCTION("""COMPUTED_VALUE"""),"SPAIN")</f>
        <v>SPAIN</v>
      </c>
      <c r="C586" s="5" t="str">
        <f>IFERROR(__xludf.DUMMYFUNCTION("""COMPUTED_VALUE"""),"NORMAL")</f>
        <v>NORMAL</v>
      </c>
      <c r="D586" s="5" t="str">
        <f>IFERROR(__xludf.DUMMYFUNCTION("""COMPUTED_VALUE"""),"UNAI SIMON")</f>
        <v>UNAI SIMON</v>
      </c>
      <c r="E586" s="5">
        <f>IFERROR(__xludf.DUMMYFUNCTION("""COMPUTED_VALUE"""),0.0)</f>
        <v>0</v>
      </c>
      <c r="F586" s="5">
        <f>IFERROR(__xludf.DUMMYFUNCTION("""COMPUTED_VALUE"""),0.0)</f>
        <v>0</v>
      </c>
    </row>
    <row r="587">
      <c r="A587" s="5" t="str">
        <f>IFERROR(__xludf.DUMMYFUNCTION("""COMPUTED_VALUE"""),"ESP03")</f>
        <v>ESP03</v>
      </c>
      <c r="B587" s="5" t="str">
        <f>IFERROR(__xludf.DUMMYFUNCTION("""COMPUTED_VALUE"""),"SPAIN")</f>
        <v>SPAIN</v>
      </c>
      <c r="C587" s="5" t="str">
        <f>IFERROR(__xludf.DUMMYFUNCTION("""COMPUTED_VALUE"""),"NORMAL")</f>
        <v>NORMAL</v>
      </c>
      <c r="D587" s="5" t="str">
        <f>IFERROR(__xludf.DUMMYFUNCTION("""COMPUTED_VALUE"""),"ROBIN LE NORMAND")</f>
        <v>ROBIN LE NORMAND</v>
      </c>
      <c r="E587" s="5">
        <f>IFERROR(__xludf.DUMMYFUNCTION("""COMPUTED_VALUE"""),0.0)</f>
        <v>0</v>
      </c>
      <c r="F587" s="5">
        <f>IFERROR(__xludf.DUMMYFUNCTION("""COMPUTED_VALUE"""),0.0)</f>
        <v>0</v>
      </c>
    </row>
    <row r="588">
      <c r="A588" s="5" t="str">
        <f>IFERROR(__xludf.DUMMYFUNCTION("""COMPUTED_VALUE"""),"ESP04")</f>
        <v>ESP04</v>
      </c>
      <c r="B588" s="5" t="str">
        <f>IFERROR(__xludf.DUMMYFUNCTION("""COMPUTED_VALUE"""),"SPAIN")</f>
        <v>SPAIN</v>
      </c>
      <c r="C588" s="5" t="str">
        <f>IFERROR(__xludf.DUMMYFUNCTION("""COMPUTED_VALUE"""),"NORMAL")</f>
        <v>NORMAL</v>
      </c>
      <c r="D588" s="5" t="str">
        <f>IFERROR(__xludf.DUMMYFUNCTION("""COMPUTED_VALUE"""),"AYMERIC LAPORTE")</f>
        <v>AYMERIC LAPORTE</v>
      </c>
      <c r="E588" s="5">
        <f>IFERROR(__xludf.DUMMYFUNCTION("""COMPUTED_VALUE"""),0.0)</f>
        <v>0</v>
      </c>
      <c r="F588" s="5">
        <f>IFERROR(__xludf.DUMMYFUNCTION("""COMPUTED_VALUE"""),0.0)</f>
        <v>0</v>
      </c>
    </row>
    <row r="589">
      <c r="A589" s="5" t="str">
        <f>IFERROR(__xludf.DUMMYFUNCTION("""COMPUTED_VALUE"""),"ESP05")</f>
        <v>ESP05</v>
      </c>
      <c r="B589" s="5" t="str">
        <f>IFERROR(__xludf.DUMMYFUNCTION("""COMPUTED_VALUE"""),"SPAIN")</f>
        <v>SPAIN</v>
      </c>
      <c r="C589" s="5" t="str">
        <f>IFERROR(__xludf.DUMMYFUNCTION("""COMPUTED_VALUE"""),"NORMAL")</f>
        <v>NORMAL</v>
      </c>
      <c r="D589" s="5" t="str">
        <f>IFERROR(__xludf.DUMMYFUNCTION("""COMPUTED_VALUE"""),"DEAN HUIJSEN")</f>
        <v>DEAN HUIJSEN</v>
      </c>
      <c r="E589" s="5">
        <f>IFERROR(__xludf.DUMMYFUNCTION("""COMPUTED_VALUE"""),0.0)</f>
        <v>0</v>
      </c>
      <c r="F589" s="5">
        <f>IFERROR(__xludf.DUMMYFUNCTION("""COMPUTED_VALUE"""),0.0)</f>
        <v>0</v>
      </c>
    </row>
    <row r="590">
      <c r="A590" s="5" t="str">
        <f>IFERROR(__xludf.DUMMYFUNCTION("""COMPUTED_VALUE"""),"ESP06")</f>
        <v>ESP06</v>
      </c>
      <c r="B590" s="5" t="str">
        <f>IFERROR(__xludf.DUMMYFUNCTION("""COMPUTED_VALUE"""),"SPAIN")</f>
        <v>SPAIN</v>
      </c>
      <c r="C590" s="5" t="str">
        <f>IFERROR(__xludf.DUMMYFUNCTION("""COMPUTED_VALUE"""),"NORMAL")</f>
        <v>NORMAL</v>
      </c>
      <c r="D590" s="5" t="str">
        <f>IFERROR(__xludf.DUMMYFUNCTION("""COMPUTED_VALUE"""),"PEDRO PORRO")</f>
        <v>PEDRO PORRO</v>
      </c>
      <c r="E590" s="5">
        <f>IFERROR(__xludf.DUMMYFUNCTION("""COMPUTED_VALUE"""),0.0)</f>
        <v>0</v>
      </c>
      <c r="F590" s="5">
        <f>IFERROR(__xludf.DUMMYFUNCTION("""COMPUTED_VALUE"""),0.0)</f>
        <v>0</v>
      </c>
    </row>
    <row r="591">
      <c r="A591" s="5" t="str">
        <f>IFERROR(__xludf.DUMMYFUNCTION("""COMPUTED_VALUE"""),"ESP07")</f>
        <v>ESP07</v>
      </c>
      <c r="B591" s="5" t="str">
        <f>IFERROR(__xludf.DUMMYFUNCTION("""COMPUTED_VALUE"""),"SPAIN")</f>
        <v>SPAIN</v>
      </c>
      <c r="C591" s="5" t="str">
        <f>IFERROR(__xludf.DUMMYFUNCTION("""COMPUTED_VALUE"""),"NORMAL")</f>
        <v>NORMAL</v>
      </c>
      <c r="D591" s="5" t="str">
        <f>IFERROR(__xludf.DUMMYFUNCTION("""COMPUTED_VALUE"""),"DANI CARVAJAL")</f>
        <v>DANI CARVAJAL</v>
      </c>
      <c r="E591" s="5">
        <f>IFERROR(__xludf.DUMMYFUNCTION("""COMPUTED_VALUE"""),0.0)</f>
        <v>0</v>
      </c>
      <c r="F591" s="5">
        <f>IFERROR(__xludf.DUMMYFUNCTION("""COMPUTED_VALUE"""),0.0)</f>
        <v>0</v>
      </c>
    </row>
    <row r="592">
      <c r="A592" s="5" t="str">
        <f>IFERROR(__xludf.DUMMYFUNCTION("""COMPUTED_VALUE"""),"ESP08")</f>
        <v>ESP08</v>
      </c>
      <c r="B592" s="5" t="str">
        <f>IFERROR(__xludf.DUMMYFUNCTION("""COMPUTED_VALUE"""),"SPAIN")</f>
        <v>SPAIN</v>
      </c>
      <c r="C592" s="5" t="str">
        <f>IFERROR(__xludf.DUMMYFUNCTION("""COMPUTED_VALUE"""),"NORMAL")</f>
        <v>NORMAL</v>
      </c>
      <c r="D592" s="5" t="str">
        <f>IFERROR(__xludf.DUMMYFUNCTION("""COMPUTED_VALUE"""),"MARC CUCURELLA")</f>
        <v>MARC CUCURELLA</v>
      </c>
      <c r="E592" s="5">
        <f>IFERROR(__xludf.DUMMYFUNCTION("""COMPUTED_VALUE"""),0.0)</f>
        <v>0</v>
      </c>
      <c r="F592" s="5">
        <f>IFERROR(__xludf.DUMMYFUNCTION("""COMPUTED_VALUE"""),0.0)</f>
        <v>0</v>
      </c>
    </row>
    <row r="593">
      <c r="A593" s="5" t="str">
        <f>IFERROR(__xludf.DUMMYFUNCTION("""COMPUTED_VALUE"""),"ESP09")</f>
        <v>ESP09</v>
      </c>
      <c r="B593" s="5" t="str">
        <f>IFERROR(__xludf.DUMMYFUNCTION("""COMPUTED_VALUE"""),"SPAIN")</f>
        <v>SPAIN</v>
      </c>
      <c r="C593" s="5" t="str">
        <f>IFERROR(__xludf.DUMMYFUNCTION("""COMPUTED_VALUE"""),"NORMAL")</f>
        <v>NORMAL</v>
      </c>
      <c r="D593" s="5" t="str">
        <f>IFERROR(__xludf.DUMMYFUNCTION("""COMPUTED_VALUE"""),"MARTIN ZUBIMENDI")</f>
        <v>MARTIN ZUBIMENDI</v>
      </c>
      <c r="E593" s="5">
        <f>IFERROR(__xludf.DUMMYFUNCTION("""COMPUTED_VALUE"""),0.0)</f>
        <v>0</v>
      </c>
      <c r="F593" s="5">
        <f>IFERROR(__xludf.DUMMYFUNCTION("""COMPUTED_VALUE"""),0.0)</f>
        <v>0</v>
      </c>
    </row>
    <row r="594">
      <c r="A594" s="5" t="str">
        <f>IFERROR(__xludf.DUMMYFUNCTION("""COMPUTED_VALUE"""),"ESP10")</f>
        <v>ESP10</v>
      </c>
      <c r="B594" s="5" t="str">
        <f>IFERROR(__xludf.DUMMYFUNCTION("""COMPUTED_VALUE"""),"SPAIN")</f>
        <v>SPAIN</v>
      </c>
      <c r="C594" s="5" t="str">
        <f>IFERROR(__xludf.DUMMYFUNCTION("""COMPUTED_VALUE"""),"NORMAL")</f>
        <v>NORMAL</v>
      </c>
      <c r="D594" s="5" t="str">
        <f>IFERROR(__xludf.DUMMYFUNCTION("""COMPUTED_VALUE"""),"RODRI")</f>
        <v>RODRI</v>
      </c>
      <c r="E594" s="5">
        <f>IFERROR(__xludf.DUMMYFUNCTION("""COMPUTED_VALUE"""),0.0)</f>
        <v>0</v>
      </c>
      <c r="F594" s="5">
        <f>IFERROR(__xludf.DUMMYFUNCTION("""COMPUTED_VALUE"""),0.0)</f>
        <v>0</v>
      </c>
    </row>
    <row r="595">
      <c r="A595" s="5" t="str">
        <f>IFERROR(__xludf.DUMMYFUNCTION("""COMPUTED_VALUE"""),"ESP11")</f>
        <v>ESP11</v>
      </c>
      <c r="B595" s="5" t="str">
        <f>IFERROR(__xludf.DUMMYFUNCTION("""COMPUTED_VALUE"""),"SPAIN")</f>
        <v>SPAIN</v>
      </c>
      <c r="C595" s="5" t="str">
        <f>IFERROR(__xludf.DUMMYFUNCTION("""COMPUTED_VALUE"""),"NORMAL")</f>
        <v>NORMAL</v>
      </c>
      <c r="D595" s="5" t="str">
        <f>IFERROR(__xludf.DUMMYFUNCTION("""COMPUTED_VALUE"""),"PEDRI")</f>
        <v>PEDRI</v>
      </c>
      <c r="E595" s="5">
        <f>IFERROR(__xludf.DUMMYFUNCTION("""COMPUTED_VALUE"""),0.0)</f>
        <v>0</v>
      </c>
      <c r="F595" s="5">
        <f>IFERROR(__xludf.DUMMYFUNCTION("""COMPUTED_VALUE"""),0.0)</f>
        <v>0</v>
      </c>
    </row>
    <row r="596">
      <c r="A596" s="5" t="str">
        <f>IFERROR(__xludf.DUMMYFUNCTION("""COMPUTED_VALUE"""),"ESP12")</f>
        <v>ESP12</v>
      </c>
      <c r="B596" s="5" t="str">
        <f>IFERROR(__xludf.DUMMYFUNCTION("""COMPUTED_VALUE"""),"SPAIN")</f>
        <v>SPAIN</v>
      </c>
      <c r="C596" s="5" t="str">
        <f>IFERROR(__xludf.DUMMYFUNCTION("""COMPUTED_VALUE"""),"NORMAL")</f>
        <v>NORMAL</v>
      </c>
      <c r="D596" s="5" t="str">
        <f>IFERROR(__xludf.DUMMYFUNCTION("""COMPUTED_VALUE"""),"FABIAN RUIZ")</f>
        <v>FABIAN RUIZ</v>
      </c>
      <c r="E596" s="5">
        <f>IFERROR(__xludf.DUMMYFUNCTION("""COMPUTED_VALUE"""),0.0)</f>
        <v>0</v>
      </c>
      <c r="F596" s="5">
        <f>IFERROR(__xludf.DUMMYFUNCTION("""COMPUTED_VALUE"""),0.0)</f>
        <v>0</v>
      </c>
    </row>
    <row r="597">
      <c r="A597" s="5" t="str">
        <f>IFERROR(__xludf.DUMMYFUNCTION("""COMPUTED_VALUE"""),"ESP13")</f>
        <v>ESP13</v>
      </c>
      <c r="B597" s="5" t="str">
        <f>IFERROR(__xludf.DUMMYFUNCTION("""COMPUTED_VALUE"""),"SPAIN")</f>
        <v>SPAIN</v>
      </c>
      <c r="C597" s="5" t="str">
        <f>IFERROR(__xludf.DUMMYFUNCTION("""COMPUTED_VALUE"""),"TEAM")</f>
        <v>TEAM</v>
      </c>
      <c r="D597" s="5" t="str">
        <f>IFERROR(__xludf.DUMMYFUNCTION("""COMPUTED_VALUE"""),"SPAIN NATIONAL TEAM")</f>
        <v>SPAIN NATIONAL TEAM</v>
      </c>
      <c r="E597" s="5">
        <f>IFERROR(__xludf.DUMMYFUNCTION("""COMPUTED_VALUE"""),0.0)</f>
        <v>0</v>
      </c>
      <c r="F597" s="5">
        <f>IFERROR(__xludf.DUMMYFUNCTION("""COMPUTED_VALUE"""),0.0)</f>
        <v>0</v>
      </c>
    </row>
    <row r="598">
      <c r="A598" s="5" t="str">
        <f>IFERROR(__xludf.DUMMYFUNCTION("""COMPUTED_VALUE"""),"ESP14")</f>
        <v>ESP14</v>
      </c>
      <c r="B598" s="5" t="str">
        <f>IFERROR(__xludf.DUMMYFUNCTION("""COMPUTED_VALUE"""),"SPAIN")</f>
        <v>SPAIN</v>
      </c>
      <c r="C598" s="5" t="str">
        <f>IFERROR(__xludf.DUMMYFUNCTION("""COMPUTED_VALUE"""),"NORMAL")</f>
        <v>NORMAL</v>
      </c>
      <c r="D598" s="5" t="str">
        <f>IFERROR(__xludf.DUMMYFUNCTION("""COMPUTED_VALUE"""),"MIKEL MERINO")</f>
        <v>MIKEL MERINO</v>
      </c>
      <c r="E598" s="5">
        <f>IFERROR(__xludf.DUMMYFUNCTION("""COMPUTED_VALUE"""),0.0)</f>
        <v>0</v>
      </c>
      <c r="F598" s="5">
        <f>IFERROR(__xludf.DUMMYFUNCTION("""COMPUTED_VALUE"""),0.0)</f>
        <v>0</v>
      </c>
    </row>
    <row r="599">
      <c r="A599" s="5" t="str">
        <f>IFERROR(__xludf.DUMMYFUNCTION("""COMPUTED_VALUE"""),"ESP15")</f>
        <v>ESP15</v>
      </c>
      <c r="B599" s="5" t="str">
        <f>IFERROR(__xludf.DUMMYFUNCTION("""COMPUTED_VALUE"""),"SPAIN")</f>
        <v>SPAIN</v>
      </c>
      <c r="C599" s="5" t="str">
        <f>IFERROR(__xludf.DUMMYFUNCTION("""COMPUTED_VALUE"""),"NORMAL")</f>
        <v>NORMAL</v>
      </c>
      <c r="D599" s="5" t="str">
        <f>IFERROR(__xludf.DUMMYFUNCTION("""COMPUTED_VALUE"""),"LAMINE YAMAL")</f>
        <v>LAMINE YAMAL</v>
      </c>
      <c r="E599" s="5">
        <f>IFERROR(__xludf.DUMMYFUNCTION("""COMPUTED_VALUE"""),0.0)</f>
        <v>0</v>
      </c>
      <c r="F599" s="5">
        <f>IFERROR(__xludf.DUMMYFUNCTION("""COMPUTED_VALUE"""),0.0)</f>
        <v>0</v>
      </c>
    </row>
    <row r="600">
      <c r="A600" s="5" t="str">
        <f>IFERROR(__xludf.DUMMYFUNCTION("""COMPUTED_VALUE"""),"ESP16")</f>
        <v>ESP16</v>
      </c>
      <c r="B600" s="5" t="str">
        <f>IFERROR(__xludf.DUMMYFUNCTION("""COMPUTED_VALUE"""),"SPAIN")</f>
        <v>SPAIN</v>
      </c>
      <c r="C600" s="5" t="str">
        <f>IFERROR(__xludf.DUMMYFUNCTION("""COMPUTED_VALUE"""),"NORMAL")</f>
        <v>NORMAL</v>
      </c>
      <c r="D600" s="5" t="str">
        <f>IFERROR(__xludf.DUMMYFUNCTION("""COMPUTED_VALUE"""),"DANI OLMO")</f>
        <v>DANI OLMO</v>
      </c>
      <c r="E600" s="5">
        <f>IFERROR(__xludf.DUMMYFUNCTION("""COMPUTED_VALUE"""),0.0)</f>
        <v>0</v>
      </c>
      <c r="F600" s="5">
        <f>IFERROR(__xludf.DUMMYFUNCTION("""COMPUTED_VALUE"""),0.0)</f>
        <v>0</v>
      </c>
    </row>
    <row r="601">
      <c r="A601" s="5" t="str">
        <f>IFERROR(__xludf.DUMMYFUNCTION("""COMPUTED_VALUE"""),"ESP17")</f>
        <v>ESP17</v>
      </c>
      <c r="B601" s="5" t="str">
        <f>IFERROR(__xludf.DUMMYFUNCTION("""COMPUTED_VALUE"""),"SPAIN")</f>
        <v>SPAIN</v>
      </c>
      <c r="C601" s="5" t="str">
        <f>IFERROR(__xludf.DUMMYFUNCTION("""COMPUTED_VALUE"""),"NORMAL")</f>
        <v>NORMAL</v>
      </c>
      <c r="D601" s="5" t="str">
        <f>IFERROR(__xludf.DUMMYFUNCTION("""COMPUTED_VALUE"""),"NICO WILLIAMS")</f>
        <v>NICO WILLIAMS</v>
      </c>
      <c r="E601" s="5">
        <f>IFERROR(__xludf.DUMMYFUNCTION("""COMPUTED_VALUE"""),0.0)</f>
        <v>0</v>
      </c>
      <c r="F601" s="5">
        <f>IFERROR(__xludf.DUMMYFUNCTION("""COMPUTED_VALUE"""),0.0)</f>
        <v>0</v>
      </c>
    </row>
    <row r="602">
      <c r="A602" s="5" t="str">
        <f>IFERROR(__xludf.DUMMYFUNCTION("""COMPUTED_VALUE"""),"ESP18")</f>
        <v>ESP18</v>
      </c>
      <c r="B602" s="5" t="str">
        <f>IFERROR(__xludf.DUMMYFUNCTION("""COMPUTED_VALUE"""),"SPAIN")</f>
        <v>SPAIN</v>
      </c>
      <c r="C602" s="5" t="str">
        <f>IFERROR(__xludf.DUMMYFUNCTION("""COMPUTED_VALUE"""),"NORMAL")</f>
        <v>NORMAL</v>
      </c>
      <c r="D602" s="5" t="str">
        <f>IFERROR(__xludf.DUMMYFUNCTION("""COMPUTED_VALUE"""),"FERRAN TORRES")</f>
        <v>FERRAN TORRES</v>
      </c>
      <c r="E602" s="5">
        <f>IFERROR(__xludf.DUMMYFUNCTION("""COMPUTED_VALUE"""),0.0)</f>
        <v>0</v>
      </c>
      <c r="F602" s="5">
        <f>IFERROR(__xludf.DUMMYFUNCTION("""COMPUTED_VALUE"""),0.0)</f>
        <v>0</v>
      </c>
    </row>
    <row r="603">
      <c r="A603" s="5" t="str">
        <f>IFERROR(__xludf.DUMMYFUNCTION("""COMPUTED_VALUE"""),"ESP19")</f>
        <v>ESP19</v>
      </c>
      <c r="B603" s="5" t="str">
        <f>IFERROR(__xludf.DUMMYFUNCTION("""COMPUTED_VALUE"""),"SPAIN")</f>
        <v>SPAIN</v>
      </c>
      <c r="C603" s="5" t="str">
        <f>IFERROR(__xludf.DUMMYFUNCTION("""COMPUTED_VALUE"""),"NORMAL")</f>
        <v>NORMAL</v>
      </c>
      <c r="D603" s="5" t="str">
        <f>IFERROR(__xludf.DUMMYFUNCTION("""COMPUTED_VALUE"""),"ALVARO MORATA")</f>
        <v>ALVARO MORATA</v>
      </c>
      <c r="E603" s="5">
        <f>IFERROR(__xludf.DUMMYFUNCTION("""COMPUTED_VALUE"""),0.0)</f>
        <v>0</v>
      </c>
      <c r="F603" s="5">
        <f>IFERROR(__xludf.DUMMYFUNCTION("""COMPUTED_VALUE"""),0.0)</f>
        <v>0</v>
      </c>
    </row>
    <row r="604">
      <c r="A604" s="5" t="str">
        <f>IFERROR(__xludf.DUMMYFUNCTION("""COMPUTED_VALUE"""),"ESP20")</f>
        <v>ESP20</v>
      </c>
      <c r="B604" s="5" t="str">
        <f>IFERROR(__xludf.DUMMYFUNCTION("""COMPUTED_VALUE"""),"SPAIN")</f>
        <v>SPAIN</v>
      </c>
      <c r="C604" s="5" t="str">
        <f>IFERROR(__xludf.DUMMYFUNCTION("""COMPUTED_VALUE"""),"NORMAL")</f>
        <v>NORMAL</v>
      </c>
      <c r="D604" s="5" t="str">
        <f>IFERROR(__xludf.DUMMYFUNCTION("""COMPUTED_VALUE"""),"MIKEL OYARZABAL")</f>
        <v>MIKEL OYARZABAL</v>
      </c>
      <c r="E604" s="5">
        <f>IFERROR(__xludf.DUMMYFUNCTION("""COMPUTED_VALUE"""),0.0)</f>
        <v>0</v>
      </c>
      <c r="F604" s="5">
        <f>IFERROR(__xludf.DUMMYFUNCTION("""COMPUTED_VALUE"""),0.0)</f>
        <v>0</v>
      </c>
    </row>
    <row r="605">
      <c r="A605" s="7" t="str">
        <f>IFERROR(__xludf.DUMMYFUNCTION("""COMPUTED_VALUE"""),"CPV01")</f>
        <v>CPV01</v>
      </c>
      <c r="B605" s="5" t="str">
        <f>IFERROR(__xludf.DUMMYFUNCTION("""COMPUTED_VALUE"""),"CAPE GREEN")</f>
        <v>CAPE GREEN</v>
      </c>
      <c r="C605" s="5" t="str">
        <f>IFERROR(__xludf.DUMMYFUNCTION("""COMPUTED_VALUE"""),"BADGE")</f>
        <v>BADGE</v>
      </c>
      <c r="D605" s="5" t="str">
        <f>IFERROR(__xludf.DUMMYFUNCTION("""COMPUTED_VALUE"""),"CAPE GREEN NATIONAL TEAM")</f>
        <v>CAPE GREEN NATIONAL TEAM</v>
      </c>
      <c r="E605" s="5">
        <f>IFERROR(__xludf.DUMMYFUNCTION("""COMPUTED_VALUE"""),0.0)</f>
        <v>0</v>
      </c>
      <c r="F605" s="5">
        <f>IFERROR(__xludf.DUMMYFUNCTION("""COMPUTED_VALUE"""),0.0)</f>
        <v>0</v>
      </c>
    </row>
    <row r="606">
      <c r="A606" s="7" t="str">
        <f>IFERROR(__xludf.DUMMYFUNCTION("""COMPUTED_VALUE"""),"CPV02")</f>
        <v>CPV02</v>
      </c>
      <c r="B606" s="5" t="str">
        <f>IFERROR(__xludf.DUMMYFUNCTION("""COMPUTED_VALUE"""),"CAPE GREEN")</f>
        <v>CAPE GREEN</v>
      </c>
      <c r="C606" s="5" t="str">
        <f>IFERROR(__xludf.DUMMYFUNCTION("""COMPUTED_VALUE"""),"NORMAL")</f>
        <v>NORMAL</v>
      </c>
      <c r="D606" s="5" t="str">
        <f>IFERROR(__xludf.DUMMYFUNCTION("""COMPUTED_VALUE"""),"VOZINHA")</f>
        <v>VOZINHA</v>
      </c>
      <c r="E606" s="5">
        <f>IFERROR(__xludf.DUMMYFUNCTION("""COMPUTED_VALUE"""),0.0)</f>
        <v>0</v>
      </c>
      <c r="F606" s="5">
        <f>IFERROR(__xludf.DUMMYFUNCTION("""COMPUTED_VALUE"""),0.0)</f>
        <v>0</v>
      </c>
    </row>
    <row r="607">
      <c r="A607" s="7" t="str">
        <f>IFERROR(__xludf.DUMMYFUNCTION("""COMPUTED_VALUE"""),"CPV03")</f>
        <v>CPV03</v>
      </c>
      <c r="B607" s="5" t="str">
        <f>IFERROR(__xludf.DUMMYFUNCTION("""COMPUTED_VALUE"""),"CAPE GREEN")</f>
        <v>CAPE GREEN</v>
      </c>
      <c r="C607" s="5" t="str">
        <f>IFERROR(__xludf.DUMMYFUNCTION("""COMPUTED_VALUE"""),"NORMAL")</f>
        <v>NORMAL</v>
      </c>
      <c r="D607" s="5" t="str">
        <f>IFERROR(__xludf.DUMMYFUNCTION("""COMPUTED_VALUE"""),"LOGAN COSTA")</f>
        <v>LOGAN COSTA</v>
      </c>
      <c r="E607" s="5">
        <f>IFERROR(__xludf.DUMMYFUNCTION("""COMPUTED_VALUE"""),0.0)</f>
        <v>0</v>
      </c>
      <c r="F607" s="5">
        <f>IFERROR(__xludf.DUMMYFUNCTION("""COMPUTED_VALUE"""),0.0)</f>
        <v>0</v>
      </c>
    </row>
    <row r="608">
      <c r="A608" s="7" t="str">
        <f>IFERROR(__xludf.DUMMYFUNCTION("""COMPUTED_VALUE"""),"CPV04")</f>
        <v>CPV04</v>
      </c>
      <c r="B608" s="5" t="str">
        <f>IFERROR(__xludf.DUMMYFUNCTION("""COMPUTED_VALUE"""),"CAPE GREEN")</f>
        <v>CAPE GREEN</v>
      </c>
      <c r="C608" s="5" t="str">
        <f>IFERROR(__xludf.DUMMYFUNCTION("""COMPUTED_VALUE"""),"NORMAL")</f>
        <v>NORMAL</v>
      </c>
      <c r="D608" s="5" t="str">
        <f>IFERROR(__xludf.DUMMYFUNCTION("""COMPUTED_VALUE"""),"PICO")</f>
        <v>PICO</v>
      </c>
      <c r="E608" s="5">
        <f>IFERROR(__xludf.DUMMYFUNCTION("""COMPUTED_VALUE"""),0.0)</f>
        <v>0</v>
      </c>
      <c r="F608" s="5">
        <f>IFERROR(__xludf.DUMMYFUNCTION("""COMPUTED_VALUE"""),0.0)</f>
        <v>0</v>
      </c>
    </row>
    <row r="609">
      <c r="A609" s="7" t="str">
        <f>IFERROR(__xludf.DUMMYFUNCTION("""COMPUTED_VALUE"""),"CPV05")</f>
        <v>CPV05</v>
      </c>
      <c r="B609" s="5" t="str">
        <f>IFERROR(__xludf.DUMMYFUNCTION("""COMPUTED_VALUE"""),"CAPE GREEN")</f>
        <v>CAPE GREEN</v>
      </c>
      <c r="C609" s="5" t="str">
        <f>IFERROR(__xludf.DUMMYFUNCTION("""COMPUTED_VALUE"""),"NORMAL")</f>
        <v>NORMAL</v>
      </c>
      <c r="D609" s="5" t="str">
        <f>IFERROR(__xludf.DUMMYFUNCTION("""COMPUTED_VALUE"""),"DINEY")</f>
        <v>DINEY</v>
      </c>
      <c r="E609" s="5">
        <f>IFERROR(__xludf.DUMMYFUNCTION("""COMPUTED_VALUE"""),0.0)</f>
        <v>0</v>
      </c>
      <c r="F609" s="5">
        <f>IFERROR(__xludf.DUMMYFUNCTION("""COMPUTED_VALUE"""),0.0)</f>
        <v>0</v>
      </c>
    </row>
    <row r="610">
      <c r="A610" s="7" t="str">
        <f>IFERROR(__xludf.DUMMYFUNCTION("""COMPUTED_VALUE"""),"CPV06")</f>
        <v>CPV06</v>
      </c>
      <c r="B610" s="5" t="str">
        <f>IFERROR(__xludf.DUMMYFUNCTION("""COMPUTED_VALUE"""),"CAPE GREEN")</f>
        <v>CAPE GREEN</v>
      </c>
      <c r="C610" s="5" t="str">
        <f>IFERROR(__xludf.DUMMYFUNCTION("""COMPUTED_VALUE"""),"NORMAL")</f>
        <v>NORMAL</v>
      </c>
      <c r="D610" s="5" t="str">
        <f>IFERROR(__xludf.DUMMYFUNCTION("""COMPUTED_VALUE"""),"STEVEN MOREIRA")</f>
        <v>STEVEN MOREIRA</v>
      </c>
      <c r="E610" s="5">
        <f>IFERROR(__xludf.DUMMYFUNCTION("""COMPUTED_VALUE"""),0.0)</f>
        <v>0</v>
      </c>
      <c r="F610" s="5">
        <f>IFERROR(__xludf.DUMMYFUNCTION("""COMPUTED_VALUE"""),0.0)</f>
        <v>0</v>
      </c>
    </row>
    <row r="611">
      <c r="A611" s="7" t="str">
        <f>IFERROR(__xludf.DUMMYFUNCTION("""COMPUTED_VALUE"""),"CPV07")</f>
        <v>CPV07</v>
      </c>
      <c r="B611" s="5" t="str">
        <f>IFERROR(__xludf.DUMMYFUNCTION("""COMPUTED_VALUE"""),"CAPE GREEN")</f>
        <v>CAPE GREEN</v>
      </c>
      <c r="C611" s="5" t="str">
        <f>IFERROR(__xludf.DUMMYFUNCTION("""COMPUTED_VALUE"""),"NORMAL")</f>
        <v>NORMAL</v>
      </c>
      <c r="D611" s="5" t="str">
        <f>IFERROR(__xludf.DUMMYFUNCTION("""COMPUTED_VALUE"""),"WAGNER PINA")</f>
        <v>WAGNER PINA</v>
      </c>
      <c r="E611" s="5">
        <f>IFERROR(__xludf.DUMMYFUNCTION("""COMPUTED_VALUE"""),0.0)</f>
        <v>0</v>
      </c>
      <c r="F611" s="5">
        <f>IFERROR(__xludf.DUMMYFUNCTION("""COMPUTED_VALUE"""),0.0)</f>
        <v>0</v>
      </c>
    </row>
    <row r="612">
      <c r="A612" s="7" t="str">
        <f>IFERROR(__xludf.DUMMYFUNCTION("""COMPUTED_VALUE"""),"CPV08")</f>
        <v>CPV08</v>
      </c>
      <c r="B612" s="5" t="str">
        <f>IFERROR(__xludf.DUMMYFUNCTION("""COMPUTED_VALUE"""),"CAPE GREEN")</f>
        <v>CAPE GREEN</v>
      </c>
      <c r="C612" s="5" t="str">
        <f>IFERROR(__xludf.DUMMYFUNCTION("""COMPUTED_VALUE"""),"NORMAL")</f>
        <v>NORMAL</v>
      </c>
      <c r="D612" s="5" t="str">
        <f>IFERROR(__xludf.DUMMYFUNCTION("""COMPUTED_VALUE"""),"JOAO PAULO")</f>
        <v>JOAO PAULO</v>
      </c>
      <c r="E612" s="5">
        <f>IFERROR(__xludf.DUMMYFUNCTION("""COMPUTED_VALUE"""),0.0)</f>
        <v>0</v>
      </c>
      <c r="F612" s="5">
        <f>IFERROR(__xludf.DUMMYFUNCTION("""COMPUTED_VALUE"""),0.0)</f>
        <v>0</v>
      </c>
    </row>
    <row r="613">
      <c r="A613" s="7" t="str">
        <f>IFERROR(__xludf.DUMMYFUNCTION("""COMPUTED_VALUE"""),"CPV09")</f>
        <v>CPV09</v>
      </c>
      <c r="B613" s="5" t="str">
        <f>IFERROR(__xludf.DUMMYFUNCTION("""COMPUTED_VALUE"""),"CAPE GREEN")</f>
        <v>CAPE GREEN</v>
      </c>
      <c r="C613" s="5" t="str">
        <f>IFERROR(__xludf.DUMMYFUNCTION("""COMPUTED_VALUE"""),"NORMAL")</f>
        <v>NORMAL</v>
      </c>
      <c r="D613" s="5" t="str">
        <f>IFERROR(__xludf.DUMMYFUNCTION("""COMPUTED_VALUE"""),"YANNICK SEMEDO")</f>
        <v>YANNICK SEMEDO</v>
      </c>
      <c r="E613" s="5">
        <f>IFERROR(__xludf.DUMMYFUNCTION("""COMPUTED_VALUE"""),0.0)</f>
        <v>0</v>
      </c>
      <c r="F613" s="5">
        <f>IFERROR(__xludf.DUMMYFUNCTION("""COMPUTED_VALUE"""),0.0)</f>
        <v>0</v>
      </c>
    </row>
    <row r="614">
      <c r="A614" s="7" t="str">
        <f>IFERROR(__xludf.DUMMYFUNCTION("""COMPUTED_VALUE"""),"CPV10")</f>
        <v>CPV10</v>
      </c>
      <c r="B614" s="5" t="str">
        <f>IFERROR(__xludf.DUMMYFUNCTION("""COMPUTED_VALUE"""),"CAPE GREEN")</f>
        <v>CAPE GREEN</v>
      </c>
      <c r="C614" s="5" t="str">
        <f>IFERROR(__xludf.DUMMYFUNCTION("""COMPUTED_VALUE"""),"NORMAL")</f>
        <v>NORMAL</v>
      </c>
      <c r="D614" s="5" t="str">
        <f>IFERROR(__xludf.DUMMYFUNCTION("""COMPUTED_VALUE"""),"KEVIN PINA")</f>
        <v>KEVIN PINA</v>
      </c>
      <c r="E614" s="5">
        <f>IFERROR(__xludf.DUMMYFUNCTION("""COMPUTED_VALUE"""),0.0)</f>
        <v>0</v>
      </c>
      <c r="F614" s="5">
        <f>IFERROR(__xludf.DUMMYFUNCTION("""COMPUTED_VALUE"""),0.0)</f>
        <v>0</v>
      </c>
    </row>
    <row r="615">
      <c r="A615" s="7" t="str">
        <f>IFERROR(__xludf.DUMMYFUNCTION("""COMPUTED_VALUE"""),"CPV11")</f>
        <v>CPV11</v>
      </c>
      <c r="B615" s="5" t="str">
        <f>IFERROR(__xludf.DUMMYFUNCTION("""COMPUTED_VALUE"""),"CAPE GREEN")</f>
        <v>CAPE GREEN</v>
      </c>
      <c r="C615" s="5" t="str">
        <f>IFERROR(__xludf.DUMMYFUNCTION("""COMPUTED_VALUE"""),"NORMAL")</f>
        <v>NORMAL</v>
      </c>
      <c r="D615" s="5" t="str">
        <f>IFERROR(__xludf.DUMMYFUNCTION("""COMPUTED_VALUE"""),"PATRICK ANDRADE")</f>
        <v>PATRICK ANDRADE</v>
      </c>
      <c r="E615" s="5">
        <f>IFERROR(__xludf.DUMMYFUNCTION("""COMPUTED_VALUE"""),0.0)</f>
        <v>0</v>
      </c>
      <c r="F615" s="5">
        <f>IFERROR(__xludf.DUMMYFUNCTION("""COMPUTED_VALUE"""),0.0)</f>
        <v>0</v>
      </c>
    </row>
    <row r="616">
      <c r="A616" s="7" t="str">
        <f>IFERROR(__xludf.DUMMYFUNCTION("""COMPUTED_VALUE"""),"CPV12")</f>
        <v>CPV12</v>
      </c>
      <c r="B616" s="5" t="str">
        <f>IFERROR(__xludf.DUMMYFUNCTION("""COMPUTED_VALUE"""),"CAPE GREEN")</f>
        <v>CAPE GREEN</v>
      </c>
      <c r="C616" s="5" t="str">
        <f>IFERROR(__xludf.DUMMYFUNCTION("""COMPUTED_VALUE"""),"NORMAL")</f>
        <v>NORMAL</v>
      </c>
      <c r="D616" s="5" t="str">
        <f>IFERROR(__xludf.DUMMYFUNCTION("""COMPUTED_VALUE"""),"JAMIRO MONTEIRO")</f>
        <v>JAMIRO MONTEIRO</v>
      </c>
      <c r="E616" s="5">
        <f>IFERROR(__xludf.DUMMYFUNCTION("""COMPUTED_VALUE"""),0.0)</f>
        <v>0</v>
      </c>
      <c r="F616" s="5">
        <f>IFERROR(__xludf.DUMMYFUNCTION("""COMPUTED_VALUE"""),0.0)</f>
        <v>0</v>
      </c>
    </row>
    <row r="617">
      <c r="A617" s="7" t="str">
        <f>IFERROR(__xludf.DUMMYFUNCTION("""COMPUTED_VALUE"""),"CPV13")</f>
        <v>CPV13</v>
      </c>
      <c r="B617" s="5" t="str">
        <f>IFERROR(__xludf.DUMMYFUNCTION("""COMPUTED_VALUE"""),"CAPE GREEN")</f>
        <v>CAPE GREEN</v>
      </c>
      <c r="C617" s="5" t="str">
        <f>IFERROR(__xludf.DUMMYFUNCTION("""COMPUTED_VALUE"""),"TEAM")</f>
        <v>TEAM</v>
      </c>
      <c r="D617" s="5" t="str">
        <f>IFERROR(__xludf.DUMMYFUNCTION("""COMPUTED_VALUE"""),"CAPE GREEN NATIONAL TEAM")</f>
        <v>CAPE GREEN NATIONAL TEAM</v>
      </c>
      <c r="E617" s="5">
        <f>IFERROR(__xludf.DUMMYFUNCTION("""COMPUTED_VALUE"""),0.0)</f>
        <v>0</v>
      </c>
      <c r="F617" s="5">
        <f>IFERROR(__xludf.DUMMYFUNCTION("""COMPUTED_VALUE"""),0.0)</f>
        <v>0</v>
      </c>
    </row>
    <row r="618">
      <c r="A618" s="7" t="str">
        <f>IFERROR(__xludf.DUMMYFUNCTION("""COMPUTED_VALUE"""),"CPV14")</f>
        <v>CPV14</v>
      </c>
      <c r="B618" s="5" t="str">
        <f>IFERROR(__xludf.DUMMYFUNCTION("""COMPUTED_VALUE"""),"CAPE GREEN")</f>
        <v>CAPE GREEN</v>
      </c>
      <c r="C618" s="5" t="str">
        <f>IFERROR(__xludf.DUMMYFUNCTION("""COMPUTED_VALUE"""),"NORMAL")</f>
        <v>NORMAL</v>
      </c>
      <c r="D618" s="5" t="str">
        <f>IFERROR(__xludf.DUMMYFUNCTION("""COMPUTED_VALUE"""),"DEROY DUARTE")</f>
        <v>DEROY DUARTE</v>
      </c>
      <c r="E618" s="5">
        <f>IFERROR(__xludf.DUMMYFUNCTION("""COMPUTED_VALUE"""),0.0)</f>
        <v>0</v>
      </c>
      <c r="F618" s="5">
        <f>IFERROR(__xludf.DUMMYFUNCTION("""COMPUTED_VALUE"""),0.0)</f>
        <v>0</v>
      </c>
    </row>
    <row r="619">
      <c r="A619" s="7" t="str">
        <f>IFERROR(__xludf.DUMMYFUNCTION("""COMPUTED_VALUE"""),"CPV15")</f>
        <v>CPV15</v>
      </c>
      <c r="B619" s="5" t="str">
        <f>IFERROR(__xludf.DUMMYFUNCTION("""COMPUTED_VALUE"""),"CAPE GREEN")</f>
        <v>CAPE GREEN</v>
      </c>
      <c r="C619" s="5" t="str">
        <f>IFERROR(__xludf.DUMMYFUNCTION("""COMPUTED_VALUE"""),"NORMAL")</f>
        <v>NORMAL</v>
      </c>
      <c r="D619" s="5" t="str">
        <f>IFERROR(__xludf.DUMMYFUNCTION("""COMPUTED_VALUE"""),"GARRY RODRÍGUES")</f>
        <v>GARRY RODRÍGUES</v>
      </c>
      <c r="E619" s="5">
        <f>IFERROR(__xludf.DUMMYFUNCTION("""COMPUTED_VALUE"""),0.0)</f>
        <v>0</v>
      </c>
      <c r="F619" s="5">
        <f>IFERROR(__xludf.DUMMYFUNCTION("""COMPUTED_VALUE"""),0.0)</f>
        <v>0</v>
      </c>
    </row>
    <row r="620">
      <c r="A620" s="7" t="str">
        <f>IFERROR(__xludf.DUMMYFUNCTION("""COMPUTED_VALUE"""),"CPV16")</f>
        <v>CPV16</v>
      </c>
      <c r="B620" s="5" t="str">
        <f>IFERROR(__xludf.DUMMYFUNCTION("""COMPUTED_VALUE"""),"CAPE GREEN")</f>
        <v>CAPE GREEN</v>
      </c>
      <c r="C620" s="5" t="str">
        <f>IFERROR(__xludf.DUMMYFUNCTION("""COMPUTED_VALUE"""),"NORMAL")</f>
        <v>NORMAL</v>
      </c>
      <c r="D620" s="5" t="str">
        <f>IFERROR(__xludf.DUMMYFUNCTION("""COMPUTED_VALUE"""),"JOVANE CABRAL")</f>
        <v>JOVANE CABRAL</v>
      </c>
      <c r="E620" s="5">
        <f>IFERROR(__xludf.DUMMYFUNCTION("""COMPUTED_VALUE"""),0.0)</f>
        <v>0</v>
      </c>
      <c r="F620" s="5">
        <f>IFERROR(__xludf.DUMMYFUNCTION("""COMPUTED_VALUE"""),0.0)</f>
        <v>0</v>
      </c>
    </row>
    <row r="621">
      <c r="A621" s="7" t="str">
        <f>IFERROR(__xludf.DUMMYFUNCTION("""COMPUTED_VALUE"""),"CPV17")</f>
        <v>CPV17</v>
      </c>
      <c r="B621" s="5" t="str">
        <f>IFERROR(__xludf.DUMMYFUNCTION("""COMPUTED_VALUE"""),"CAPE GREEN")</f>
        <v>CAPE GREEN</v>
      </c>
      <c r="C621" s="5" t="str">
        <f>IFERROR(__xludf.DUMMYFUNCTION("""COMPUTED_VALUE"""),"NORMAL")</f>
        <v>NORMAL</v>
      </c>
      <c r="D621" s="5" t="str">
        <f>IFERROR(__xludf.DUMMYFUNCTION("""COMPUTED_VALUE"""),"RYAN MENDES")</f>
        <v>RYAN MENDES</v>
      </c>
      <c r="E621" s="5">
        <f>IFERROR(__xludf.DUMMYFUNCTION("""COMPUTED_VALUE"""),0.0)</f>
        <v>0</v>
      </c>
      <c r="F621" s="5">
        <f>IFERROR(__xludf.DUMMYFUNCTION("""COMPUTED_VALUE"""),0.0)</f>
        <v>0</v>
      </c>
    </row>
    <row r="622">
      <c r="A622" s="7" t="str">
        <f>IFERROR(__xludf.DUMMYFUNCTION("""COMPUTED_VALUE"""),"CPV18")</f>
        <v>CPV18</v>
      </c>
      <c r="B622" s="5" t="str">
        <f>IFERROR(__xludf.DUMMYFUNCTION("""COMPUTED_VALUE"""),"CAPE GREEN")</f>
        <v>CAPE GREEN</v>
      </c>
      <c r="C622" s="5" t="str">
        <f>IFERROR(__xludf.DUMMYFUNCTION("""COMPUTED_VALUE"""),"NORMAL")</f>
        <v>NORMAL</v>
      </c>
      <c r="D622" s="5" t="str">
        <f>IFERROR(__xludf.DUMMYFUNCTION("""COMPUTED_VALUE"""),"DAILON LIVRAMENTO")</f>
        <v>DAILON LIVRAMENTO</v>
      </c>
      <c r="E622" s="5">
        <f>IFERROR(__xludf.DUMMYFUNCTION("""COMPUTED_VALUE"""),0.0)</f>
        <v>0</v>
      </c>
      <c r="F622" s="5">
        <f>IFERROR(__xludf.DUMMYFUNCTION("""COMPUTED_VALUE"""),0.0)</f>
        <v>0</v>
      </c>
    </row>
    <row r="623">
      <c r="A623" s="7" t="str">
        <f>IFERROR(__xludf.DUMMYFUNCTION("""COMPUTED_VALUE"""),"CPV19")</f>
        <v>CPV19</v>
      </c>
      <c r="B623" s="5" t="str">
        <f>IFERROR(__xludf.DUMMYFUNCTION("""COMPUTED_VALUE"""),"CAPE GREEN")</f>
        <v>CAPE GREEN</v>
      </c>
      <c r="C623" s="5" t="str">
        <f>IFERROR(__xludf.DUMMYFUNCTION("""COMPUTED_VALUE"""),"NORMAL")</f>
        <v>NORMAL</v>
      </c>
      <c r="D623" s="5" t="str">
        <f>IFERROR(__xludf.DUMMYFUNCTION("""COMPUTED_VALUE"""),"WILLY SEMEDO")</f>
        <v>WILLY SEMEDO</v>
      </c>
      <c r="E623" s="5">
        <f>IFERROR(__xludf.DUMMYFUNCTION("""COMPUTED_VALUE"""),0.0)</f>
        <v>0</v>
      </c>
      <c r="F623" s="5">
        <f>IFERROR(__xludf.DUMMYFUNCTION("""COMPUTED_VALUE"""),0.0)</f>
        <v>0</v>
      </c>
    </row>
    <row r="624">
      <c r="A624" s="7" t="str">
        <f>IFERROR(__xludf.DUMMYFUNCTION("""COMPUTED_VALUE"""),"CPV20")</f>
        <v>CPV20</v>
      </c>
      <c r="B624" s="5" t="str">
        <f>IFERROR(__xludf.DUMMYFUNCTION("""COMPUTED_VALUE"""),"CAPE GREEN")</f>
        <v>CAPE GREEN</v>
      </c>
      <c r="C624" s="5" t="str">
        <f>IFERROR(__xludf.DUMMYFUNCTION("""COMPUTED_VALUE"""),"NORMAL")</f>
        <v>NORMAL</v>
      </c>
      <c r="D624" s="5" t="str">
        <f>IFERROR(__xludf.DUMMYFUNCTION("""COMPUTED_VALUE"""),"BEBE")</f>
        <v>BEBE</v>
      </c>
      <c r="E624" s="5">
        <f>IFERROR(__xludf.DUMMYFUNCTION("""COMPUTED_VALUE"""),0.0)</f>
        <v>0</v>
      </c>
      <c r="F624" s="5">
        <f>IFERROR(__xludf.DUMMYFUNCTION("""COMPUTED_VALUE"""),0.0)</f>
        <v>0</v>
      </c>
    </row>
    <row r="625">
      <c r="A625" s="5" t="str">
        <f>IFERROR(__xludf.DUMMYFUNCTION("""COMPUTED_VALUE"""),"KSA01")</f>
        <v>KSA01</v>
      </c>
      <c r="B625" s="5" t="str">
        <f>IFERROR(__xludf.DUMMYFUNCTION("""COMPUTED_VALUE"""),"KINGDOM OF SAUDI ARABIA")</f>
        <v>KINGDOM OF SAUDI ARABIA</v>
      </c>
      <c r="C625" s="5" t="str">
        <f>IFERROR(__xludf.DUMMYFUNCTION("""COMPUTED_VALUE"""),"BADGE")</f>
        <v>BADGE</v>
      </c>
      <c r="D625" s="5" t="str">
        <f>IFERROR(__xludf.DUMMYFUNCTION("""COMPUTED_VALUE"""),"KINGDOM OF SAUDI ARABIA NATIONAL TEAM")</f>
        <v>KINGDOM OF SAUDI ARABIA NATIONAL TEAM</v>
      </c>
      <c r="E625" s="5">
        <f>IFERROR(__xludf.DUMMYFUNCTION("""COMPUTED_VALUE"""),0.0)</f>
        <v>0</v>
      </c>
      <c r="F625" s="5">
        <f>IFERROR(__xludf.DUMMYFUNCTION("""COMPUTED_VALUE"""),0.0)</f>
        <v>0</v>
      </c>
    </row>
    <row r="626">
      <c r="A626" s="5" t="str">
        <f>IFERROR(__xludf.DUMMYFUNCTION("""COMPUTED_VALUE"""),"KSA02")</f>
        <v>KSA02</v>
      </c>
      <c r="B626" s="5" t="str">
        <f>IFERROR(__xludf.DUMMYFUNCTION("""COMPUTED_VALUE"""),"KINGDOM OF SAUDI ARABIA")</f>
        <v>KINGDOM OF SAUDI ARABIA</v>
      </c>
      <c r="C626" s="5" t="str">
        <f>IFERROR(__xludf.DUMMYFUNCTION("""COMPUTED_VALUE"""),"NORMAL")</f>
        <v>NORMAL</v>
      </c>
      <c r="D626" s="5" t="str">
        <f>IFERROR(__xludf.DUMMYFUNCTION("""COMPUTED_VALUE"""),"NAWAF ALAQIDI")</f>
        <v>NAWAF ALAQIDI</v>
      </c>
      <c r="E626" s="5">
        <f>IFERROR(__xludf.DUMMYFUNCTION("""COMPUTED_VALUE"""),0.0)</f>
        <v>0</v>
      </c>
      <c r="F626" s="5">
        <f>IFERROR(__xludf.DUMMYFUNCTION("""COMPUTED_VALUE"""),0.0)</f>
        <v>0</v>
      </c>
    </row>
    <row r="627">
      <c r="A627" s="5" t="str">
        <f>IFERROR(__xludf.DUMMYFUNCTION("""COMPUTED_VALUE"""),"KSA03")</f>
        <v>KSA03</v>
      </c>
      <c r="B627" s="5" t="str">
        <f>IFERROR(__xludf.DUMMYFUNCTION("""COMPUTED_VALUE"""),"KINGDOM OF SAUDI ARABIA")</f>
        <v>KINGDOM OF SAUDI ARABIA</v>
      </c>
      <c r="C627" s="5" t="str">
        <f>IFERROR(__xludf.DUMMYFUNCTION("""COMPUTED_VALUE"""),"NORMAL")</f>
        <v>NORMAL</v>
      </c>
      <c r="D627" s="5" t="str">
        <f>IFERROR(__xludf.DUMMYFUNCTION("""COMPUTED_VALUE"""),"ABDULRAHMAN ALSANBI")</f>
        <v>ABDULRAHMAN ALSANBI</v>
      </c>
      <c r="E627" s="5">
        <f>IFERROR(__xludf.DUMMYFUNCTION("""COMPUTED_VALUE"""),0.0)</f>
        <v>0</v>
      </c>
      <c r="F627" s="5">
        <f>IFERROR(__xludf.DUMMYFUNCTION("""COMPUTED_VALUE"""),0.0)</f>
        <v>0</v>
      </c>
    </row>
    <row r="628">
      <c r="A628" s="5" t="str">
        <f>IFERROR(__xludf.DUMMYFUNCTION("""COMPUTED_VALUE"""),"KSA04")</f>
        <v>KSA04</v>
      </c>
      <c r="B628" s="5" t="str">
        <f>IFERROR(__xludf.DUMMYFUNCTION("""COMPUTED_VALUE"""),"KINGDOM OF SAUDI ARABIA")</f>
        <v>KINGDOM OF SAUDI ARABIA</v>
      </c>
      <c r="C628" s="5" t="str">
        <f>IFERROR(__xludf.DUMMYFUNCTION("""COMPUTED_VALUE"""),"NORMAL")</f>
        <v>NORMAL</v>
      </c>
      <c r="D628" s="5" t="str">
        <f>IFERROR(__xludf.DUMMYFUNCTION("""COMPUTED_VALUE"""),"SAUD ABDULHAMID")</f>
        <v>SAUD ABDULHAMID</v>
      </c>
      <c r="E628" s="5">
        <f>IFERROR(__xludf.DUMMYFUNCTION("""COMPUTED_VALUE"""),0.0)</f>
        <v>0</v>
      </c>
      <c r="F628" s="5">
        <f>IFERROR(__xludf.DUMMYFUNCTION("""COMPUTED_VALUE"""),0.0)</f>
        <v>0</v>
      </c>
    </row>
    <row r="629">
      <c r="A629" s="5" t="str">
        <f>IFERROR(__xludf.DUMMYFUNCTION("""COMPUTED_VALUE"""),"KSA05")</f>
        <v>KSA05</v>
      </c>
      <c r="B629" s="5" t="str">
        <f>IFERROR(__xludf.DUMMYFUNCTION("""COMPUTED_VALUE"""),"KINGDOM OF SAUDI ARABIA")</f>
        <v>KINGDOM OF SAUDI ARABIA</v>
      </c>
      <c r="C629" s="5" t="str">
        <f>IFERROR(__xludf.DUMMYFUNCTION("""COMPUTED_VALUE"""),"NORMAL")</f>
        <v>NORMAL</v>
      </c>
      <c r="D629" s="5" t="str">
        <f>IFERROR(__xludf.DUMMYFUNCTION("""COMPUTED_VALUE"""),"NAWAF BUWASHL")</f>
        <v>NAWAF BUWASHL</v>
      </c>
      <c r="E629" s="5">
        <f>IFERROR(__xludf.DUMMYFUNCTION("""COMPUTED_VALUE"""),0.0)</f>
        <v>0</v>
      </c>
      <c r="F629" s="5">
        <f>IFERROR(__xludf.DUMMYFUNCTION("""COMPUTED_VALUE"""),0.0)</f>
        <v>0</v>
      </c>
    </row>
    <row r="630">
      <c r="A630" s="5" t="str">
        <f>IFERROR(__xludf.DUMMYFUNCTION("""COMPUTED_VALUE"""),"KSA06")</f>
        <v>KSA06</v>
      </c>
      <c r="B630" s="5" t="str">
        <f>IFERROR(__xludf.DUMMYFUNCTION("""COMPUTED_VALUE"""),"KINGDOM OF SAUDI ARABIA")</f>
        <v>KINGDOM OF SAUDI ARABIA</v>
      </c>
      <c r="C630" s="5" t="str">
        <f>IFERROR(__xludf.DUMMYFUNCTION("""COMPUTED_VALUE"""),"NORMAL")</f>
        <v>NORMAL</v>
      </c>
      <c r="D630" s="5" t="str">
        <f>IFERROR(__xludf.DUMMYFUNCTION("""COMPUTED_VALUE"""),"JEHAD THIKRI")</f>
        <v>JEHAD THIKRI</v>
      </c>
      <c r="E630" s="5">
        <f>IFERROR(__xludf.DUMMYFUNCTION("""COMPUTED_VALUE"""),0.0)</f>
        <v>0</v>
      </c>
      <c r="F630" s="5">
        <f>IFERROR(__xludf.DUMMYFUNCTION("""COMPUTED_VALUE"""),0.0)</f>
        <v>0</v>
      </c>
    </row>
    <row r="631">
      <c r="A631" s="5" t="str">
        <f>IFERROR(__xludf.DUMMYFUNCTION("""COMPUTED_VALUE"""),"KSA07")</f>
        <v>KSA07</v>
      </c>
      <c r="B631" s="5" t="str">
        <f>IFERROR(__xludf.DUMMYFUNCTION("""COMPUTED_VALUE"""),"KINGDOM OF SAUDI ARABIA")</f>
        <v>KINGDOM OF SAUDI ARABIA</v>
      </c>
      <c r="C631" s="5" t="str">
        <f>IFERROR(__xludf.DUMMYFUNCTION("""COMPUTED_VALUE"""),"NORMAL")</f>
        <v>NORMAL</v>
      </c>
      <c r="D631" s="5" t="str">
        <f>IFERROR(__xludf.DUMMYFUNCTION("""COMPUTED_VALUE"""),"MOTEB ALHARBI")</f>
        <v>MOTEB ALHARBI</v>
      </c>
      <c r="E631" s="5">
        <f>IFERROR(__xludf.DUMMYFUNCTION("""COMPUTED_VALUE"""),0.0)</f>
        <v>0</v>
      </c>
      <c r="F631" s="5">
        <f>IFERROR(__xludf.DUMMYFUNCTION("""COMPUTED_VALUE"""),0.0)</f>
        <v>0</v>
      </c>
    </row>
    <row r="632">
      <c r="A632" s="5" t="str">
        <f>IFERROR(__xludf.DUMMYFUNCTION("""COMPUTED_VALUE"""),"KSA08")</f>
        <v>KSA08</v>
      </c>
      <c r="B632" s="5" t="str">
        <f>IFERROR(__xludf.DUMMYFUNCTION("""COMPUTED_VALUE"""),"KINGDOM OF SAUDI ARABIA")</f>
        <v>KINGDOM OF SAUDI ARABIA</v>
      </c>
      <c r="C632" s="5" t="str">
        <f>IFERROR(__xludf.DUMMYFUNCTION("""COMPUTED_VALUE"""),"NORMAL")</f>
        <v>NORMAL</v>
      </c>
      <c r="D632" s="5" t="str">
        <f>IFERROR(__xludf.DUMMYFUNCTION("""COMPUTED_VALUE"""),"HASSAN ALTAMBAKTI")</f>
        <v>HASSAN ALTAMBAKTI</v>
      </c>
      <c r="E632" s="5">
        <f>IFERROR(__xludf.DUMMYFUNCTION("""COMPUTED_VALUE"""),0.0)</f>
        <v>0</v>
      </c>
      <c r="F632" s="5">
        <f>IFERROR(__xludf.DUMMYFUNCTION("""COMPUTED_VALUE"""),0.0)</f>
        <v>0</v>
      </c>
    </row>
    <row r="633">
      <c r="A633" s="5" t="str">
        <f>IFERROR(__xludf.DUMMYFUNCTION("""COMPUTED_VALUE"""),"KSA09")</f>
        <v>KSA09</v>
      </c>
      <c r="B633" s="5" t="str">
        <f>IFERROR(__xludf.DUMMYFUNCTION("""COMPUTED_VALUE"""),"KINGDOM OF SAUDI ARABIA")</f>
        <v>KINGDOM OF SAUDI ARABIA</v>
      </c>
      <c r="C633" s="5" t="str">
        <f>IFERROR(__xludf.DUMMYFUNCTION("""COMPUTED_VALUE"""),"NORMAL")</f>
        <v>NORMAL</v>
      </c>
      <c r="D633" s="5" t="str">
        <f>IFERROR(__xludf.DUMMYFUNCTION("""COMPUTED_VALUE"""),"MUSAB ALJUWAYR")</f>
        <v>MUSAB ALJUWAYR</v>
      </c>
      <c r="E633" s="5">
        <f>IFERROR(__xludf.DUMMYFUNCTION("""COMPUTED_VALUE"""),0.0)</f>
        <v>0</v>
      </c>
      <c r="F633" s="5">
        <f>IFERROR(__xludf.DUMMYFUNCTION("""COMPUTED_VALUE"""),0.0)</f>
        <v>0</v>
      </c>
    </row>
    <row r="634">
      <c r="A634" s="5" t="str">
        <f>IFERROR(__xludf.DUMMYFUNCTION("""COMPUTED_VALUE"""),"KSA10")</f>
        <v>KSA10</v>
      </c>
      <c r="B634" s="5" t="str">
        <f>IFERROR(__xludf.DUMMYFUNCTION("""COMPUTED_VALUE"""),"KINGDOM OF SAUDI ARABIA")</f>
        <v>KINGDOM OF SAUDI ARABIA</v>
      </c>
      <c r="C634" s="5" t="str">
        <f>IFERROR(__xludf.DUMMYFUNCTION("""COMPUTED_VALUE"""),"NORMAL")</f>
        <v>NORMAL</v>
      </c>
      <c r="D634" s="5" t="str">
        <f>IFERROR(__xludf.DUMMYFUNCTION("""COMPUTED_VALUE"""),"ZIYAD ALJOHANI")</f>
        <v>ZIYAD ALJOHANI</v>
      </c>
      <c r="E634" s="5">
        <f>IFERROR(__xludf.DUMMYFUNCTION("""COMPUTED_VALUE"""),0.0)</f>
        <v>0</v>
      </c>
      <c r="F634" s="5">
        <f>IFERROR(__xludf.DUMMYFUNCTION("""COMPUTED_VALUE"""),0.0)</f>
        <v>0</v>
      </c>
    </row>
    <row r="635">
      <c r="A635" s="5" t="str">
        <f>IFERROR(__xludf.DUMMYFUNCTION("""COMPUTED_VALUE"""),"KSA11")</f>
        <v>KSA11</v>
      </c>
      <c r="B635" s="5" t="str">
        <f>IFERROR(__xludf.DUMMYFUNCTION("""COMPUTED_VALUE"""),"KINGDOM OF SAUDI ARABIA")</f>
        <v>KINGDOM OF SAUDI ARABIA</v>
      </c>
      <c r="C635" s="5" t="str">
        <f>IFERROR(__xludf.DUMMYFUNCTION("""COMPUTED_VALUE"""),"NORMAL")</f>
        <v>NORMAL</v>
      </c>
      <c r="D635" s="5" t="str">
        <f>IFERROR(__xludf.DUMMYFUNCTION("""COMPUTED_VALUE"""),"ABDULLAH ALKHAIBARI")</f>
        <v>ABDULLAH ALKHAIBARI</v>
      </c>
      <c r="E635" s="5">
        <f>IFERROR(__xludf.DUMMYFUNCTION("""COMPUTED_VALUE"""),0.0)</f>
        <v>0</v>
      </c>
      <c r="F635" s="5">
        <f>IFERROR(__xludf.DUMMYFUNCTION("""COMPUTED_VALUE"""),0.0)</f>
        <v>0</v>
      </c>
    </row>
    <row r="636">
      <c r="A636" s="5" t="str">
        <f>IFERROR(__xludf.DUMMYFUNCTION("""COMPUTED_VALUE"""),"KSA12")</f>
        <v>KSA12</v>
      </c>
      <c r="B636" s="5" t="str">
        <f>IFERROR(__xludf.DUMMYFUNCTION("""COMPUTED_VALUE"""),"KINGDOM OF SAUDI ARABIA")</f>
        <v>KINGDOM OF SAUDI ARABIA</v>
      </c>
      <c r="C636" s="5" t="str">
        <f>IFERROR(__xludf.DUMMYFUNCTION("""COMPUTED_VALUE"""),"NORMAL")</f>
        <v>NORMAL</v>
      </c>
      <c r="D636" s="5" t="str">
        <f>IFERROR(__xludf.DUMMYFUNCTION("""COMPUTED_VALUE"""),"NASSER ALDAWSARI")</f>
        <v>NASSER ALDAWSARI</v>
      </c>
      <c r="E636" s="5">
        <f>IFERROR(__xludf.DUMMYFUNCTION("""COMPUTED_VALUE"""),0.0)</f>
        <v>0</v>
      </c>
      <c r="F636" s="5">
        <f>IFERROR(__xludf.DUMMYFUNCTION("""COMPUTED_VALUE"""),0.0)</f>
        <v>0</v>
      </c>
    </row>
    <row r="637">
      <c r="A637" s="5" t="str">
        <f>IFERROR(__xludf.DUMMYFUNCTION("""COMPUTED_VALUE"""),"KSA13")</f>
        <v>KSA13</v>
      </c>
      <c r="B637" s="5" t="str">
        <f>IFERROR(__xludf.DUMMYFUNCTION("""COMPUTED_VALUE"""),"KINGDOM OF SAUDI ARABIA")</f>
        <v>KINGDOM OF SAUDI ARABIA</v>
      </c>
      <c r="C637" s="5" t="str">
        <f>IFERROR(__xludf.DUMMYFUNCTION("""COMPUTED_VALUE"""),"TEAM")</f>
        <v>TEAM</v>
      </c>
      <c r="D637" s="5" t="str">
        <f>IFERROR(__xludf.DUMMYFUNCTION("""COMPUTED_VALUE"""),"KINGDOM OF SAUDI ARABIA NATIONAL TEAM")</f>
        <v>KINGDOM OF SAUDI ARABIA NATIONAL TEAM</v>
      </c>
      <c r="E637" s="5">
        <f>IFERROR(__xludf.DUMMYFUNCTION("""COMPUTED_VALUE"""),0.0)</f>
        <v>0</v>
      </c>
      <c r="F637" s="5">
        <f>IFERROR(__xludf.DUMMYFUNCTION("""COMPUTED_VALUE"""),0.0)</f>
        <v>0</v>
      </c>
    </row>
    <row r="638">
      <c r="A638" s="5" t="str">
        <f>IFERROR(__xludf.DUMMYFUNCTION("""COMPUTED_VALUE"""),"KSA14")</f>
        <v>KSA14</v>
      </c>
      <c r="B638" s="5" t="str">
        <f>IFERROR(__xludf.DUMMYFUNCTION("""COMPUTED_VALUE"""),"KINGDOM OF SAUDI ARABIA")</f>
        <v>KINGDOM OF SAUDI ARABIA</v>
      </c>
      <c r="C638" s="5" t="str">
        <f>IFERROR(__xludf.DUMMYFUNCTION("""COMPUTED_VALUE"""),"NORMAL")</f>
        <v>NORMAL</v>
      </c>
      <c r="D638" s="5" t="str">
        <f>IFERROR(__xludf.DUMMYFUNCTION("""COMPUTED_VALUE"""),"SALEH ABU ALSHAMAT")</f>
        <v>SALEH ABU ALSHAMAT</v>
      </c>
      <c r="E638" s="5">
        <f>IFERROR(__xludf.DUMMYFUNCTION("""COMPUTED_VALUE"""),0.0)</f>
        <v>0</v>
      </c>
      <c r="F638" s="5">
        <f>IFERROR(__xludf.DUMMYFUNCTION("""COMPUTED_VALUE"""),0.0)</f>
        <v>0</v>
      </c>
    </row>
    <row r="639">
      <c r="A639" s="5" t="str">
        <f>IFERROR(__xludf.DUMMYFUNCTION("""COMPUTED_VALUE"""),"KSA15")</f>
        <v>KSA15</v>
      </c>
      <c r="B639" s="5" t="str">
        <f>IFERROR(__xludf.DUMMYFUNCTION("""COMPUTED_VALUE"""),"KINGDOM OF SAUDI ARABIA")</f>
        <v>KINGDOM OF SAUDI ARABIA</v>
      </c>
      <c r="C639" s="5" t="str">
        <f>IFERROR(__xludf.DUMMYFUNCTION("""COMPUTED_VALUE"""),"NORMAL")</f>
        <v>NORMAL</v>
      </c>
      <c r="D639" s="5" t="str">
        <f>IFERROR(__xludf.DUMMYFUNCTION("""COMPUTED_VALUE"""),"MARWAN ALSAHAFI")</f>
        <v>MARWAN ALSAHAFI</v>
      </c>
      <c r="E639" s="5">
        <f>IFERROR(__xludf.DUMMYFUNCTION("""COMPUTED_VALUE"""),0.0)</f>
        <v>0</v>
      </c>
      <c r="F639" s="5">
        <f>IFERROR(__xludf.DUMMYFUNCTION("""COMPUTED_VALUE"""),0.0)</f>
        <v>0</v>
      </c>
    </row>
    <row r="640">
      <c r="A640" s="5" t="str">
        <f>IFERROR(__xludf.DUMMYFUNCTION("""COMPUTED_VALUE"""),"KSA16")</f>
        <v>KSA16</v>
      </c>
      <c r="B640" s="5" t="str">
        <f>IFERROR(__xludf.DUMMYFUNCTION("""COMPUTED_VALUE"""),"KINGDOM OF SAUDI ARABIA")</f>
        <v>KINGDOM OF SAUDI ARABIA</v>
      </c>
      <c r="C640" s="5" t="str">
        <f>IFERROR(__xludf.DUMMYFUNCTION("""COMPUTED_VALUE"""),"NORMAL")</f>
        <v>NORMAL</v>
      </c>
      <c r="D640" s="5" t="str">
        <f>IFERROR(__xludf.DUMMYFUNCTION("""COMPUTED_VALUE"""),"SALEM ALDAWSARI")</f>
        <v>SALEM ALDAWSARI</v>
      </c>
      <c r="E640" s="5">
        <f>IFERROR(__xludf.DUMMYFUNCTION("""COMPUTED_VALUE"""),0.0)</f>
        <v>0</v>
      </c>
      <c r="F640" s="5">
        <f>IFERROR(__xludf.DUMMYFUNCTION("""COMPUTED_VALUE"""),0.0)</f>
        <v>0</v>
      </c>
    </row>
    <row r="641">
      <c r="A641" s="5" t="str">
        <f>IFERROR(__xludf.DUMMYFUNCTION("""COMPUTED_VALUE"""),"KSA17")</f>
        <v>KSA17</v>
      </c>
      <c r="B641" s="5" t="str">
        <f>IFERROR(__xludf.DUMMYFUNCTION("""COMPUTED_VALUE"""),"KINGDOM OF SAUDI ARABIA")</f>
        <v>KINGDOM OF SAUDI ARABIA</v>
      </c>
      <c r="C641" s="5" t="str">
        <f>IFERROR(__xludf.DUMMYFUNCTION("""COMPUTED_VALUE"""),"NORMAL")</f>
        <v>NORMAL</v>
      </c>
      <c r="D641" s="5" t="str">
        <f>IFERROR(__xludf.DUMMYFUNCTION("""COMPUTED_VALUE"""),"ABDULRAHMAN ALOBUD")</f>
        <v>ABDULRAHMAN ALOBUD</v>
      </c>
      <c r="E641" s="5">
        <f>IFERROR(__xludf.DUMMYFUNCTION("""COMPUTED_VALUE"""),0.0)</f>
        <v>0</v>
      </c>
      <c r="F641" s="5">
        <f>IFERROR(__xludf.DUMMYFUNCTION("""COMPUTED_VALUE"""),0.0)</f>
        <v>0</v>
      </c>
    </row>
    <row r="642">
      <c r="A642" s="5" t="str">
        <f>IFERROR(__xludf.DUMMYFUNCTION("""COMPUTED_VALUE"""),"KSA18")</f>
        <v>KSA18</v>
      </c>
      <c r="B642" s="5" t="str">
        <f>IFERROR(__xludf.DUMMYFUNCTION("""COMPUTED_VALUE"""),"KINGDOM OF SAUDI ARABIA")</f>
        <v>KINGDOM OF SAUDI ARABIA</v>
      </c>
      <c r="C642" s="5" t="str">
        <f>IFERROR(__xludf.DUMMYFUNCTION("""COMPUTED_VALUE"""),"NORMAL")</f>
        <v>NORMAL</v>
      </c>
      <c r="D642" s="5" t="str">
        <f>IFERROR(__xludf.DUMMYFUNCTION("""COMPUTED_VALUE"""),"FERAS ALBRIKAN")</f>
        <v>FERAS ALBRIKAN</v>
      </c>
      <c r="E642" s="5">
        <f>IFERROR(__xludf.DUMMYFUNCTION("""COMPUTED_VALUE"""),0.0)</f>
        <v>0</v>
      </c>
      <c r="F642" s="5">
        <f>IFERROR(__xludf.DUMMYFUNCTION("""COMPUTED_VALUE"""),0.0)</f>
        <v>0</v>
      </c>
    </row>
    <row r="643">
      <c r="A643" s="5" t="str">
        <f>IFERROR(__xludf.DUMMYFUNCTION("""COMPUTED_VALUE"""),"KSA19")</f>
        <v>KSA19</v>
      </c>
      <c r="B643" s="5" t="str">
        <f>IFERROR(__xludf.DUMMYFUNCTION("""COMPUTED_VALUE"""),"KINGDOM OF SAUDI ARABIA")</f>
        <v>KINGDOM OF SAUDI ARABIA</v>
      </c>
      <c r="C643" s="5" t="str">
        <f>IFERROR(__xludf.DUMMYFUNCTION("""COMPUTED_VALUE"""),"NORMAL")</f>
        <v>NORMAL</v>
      </c>
      <c r="D643" s="5" t="str">
        <f>IFERROR(__xludf.DUMMYFUNCTION("""COMPUTED_VALUE"""),"SALEH ALSHEHRI")</f>
        <v>SALEH ALSHEHRI</v>
      </c>
      <c r="E643" s="5">
        <f>IFERROR(__xludf.DUMMYFUNCTION("""COMPUTED_VALUE"""),0.0)</f>
        <v>0</v>
      </c>
      <c r="F643" s="5">
        <f>IFERROR(__xludf.DUMMYFUNCTION("""COMPUTED_VALUE"""),0.0)</f>
        <v>0</v>
      </c>
    </row>
    <row r="644">
      <c r="A644" s="5" t="str">
        <f>IFERROR(__xludf.DUMMYFUNCTION("""COMPUTED_VALUE"""),"KSA20")</f>
        <v>KSA20</v>
      </c>
      <c r="B644" s="5" t="str">
        <f>IFERROR(__xludf.DUMMYFUNCTION("""COMPUTED_VALUE"""),"KINGDOM OF SAUDI ARABIA")</f>
        <v>KINGDOM OF SAUDI ARABIA</v>
      </c>
      <c r="C644" s="5" t="str">
        <f>IFERROR(__xludf.DUMMYFUNCTION("""COMPUTED_VALUE"""),"NORMAL")</f>
        <v>NORMAL</v>
      </c>
      <c r="D644" s="5" t="str">
        <f>IFERROR(__xludf.DUMMYFUNCTION("""COMPUTED_VALUE"""),"ABDULLAH ALHAMDAN")</f>
        <v>ABDULLAH ALHAMDAN</v>
      </c>
      <c r="E644" s="5">
        <f>IFERROR(__xludf.DUMMYFUNCTION("""COMPUTED_VALUE"""),0.0)</f>
        <v>0</v>
      </c>
      <c r="F644" s="5">
        <f>IFERROR(__xludf.DUMMYFUNCTION("""COMPUTED_VALUE"""),0.0)</f>
        <v>0</v>
      </c>
    </row>
    <row r="645">
      <c r="A645" s="5" t="str">
        <f>IFERROR(__xludf.DUMMYFUNCTION("""COMPUTED_VALUE"""),"URU01")</f>
        <v>URU01</v>
      </c>
      <c r="B645" s="5" t="str">
        <f>IFERROR(__xludf.DUMMYFUNCTION("""COMPUTED_VALUE"""),"URUGUAY")</f>
        <v>URUGUAY</v>
      </c>
      <c r="C645" s="5" t="str">
        <f>IFERROR(__xludf.DUMMYFUNCTION("""COMPUTED_VALUE"""),"BADGE")</f>
        <v>BADGE</v>
      </c>
      <c r="D645" s="5" t="str">
        <f>IFERROR(__xludf.DUMMYFUNCTION("""COMPUTED_VALUE"""),"URUGUAY NATIONAL TEAM")</f>
        <v>URUGUAY NATIONAL TEAM</v>
      </c>
      <c r="E645" s="5">
        <f>IFERROR(__xludf.DUMMYFUNCTION("""COMPUTED_VALUE"""),0.0)</f>
        <v>0</v>
      </c>
      <c r="F645" s="5">
        <f>IFERROR(__xludf.DUMMYFUNCTION("""COMPUTED_VALUE"""),0.0)</f>
        <v>0</v>
      </c>
    </row>
    <row r="646">
      <c r="A646" s="5" t="str">
        <f>IFERROR(__xludf.DUMMYFUNCTION("""COMPUTED_VALUE"""),"URU02")</f>
        <v>URU02</v>
      </c>
      <c r="B646" s="5" t="str">
        <f>IFERROR(__xludf.DUMMYFUNCTION("""COMPUTED_VALUE"""),"URUGUAY")</f>
        <v>URUGUAY</v>
      </c>
      <c r="C646" s="5" t="str">
        <f>IFERROR(__xludf.DUMMYFUNCTION("""COMPUTED_VALUE"""),"NORMAL")</f>
        <v>NORMAL</v>
      </c>
      <c r="D646" s="5" t="str">
        <f>IFERROR(__xludf.DUMMYFUNCTION("""COMPUTED_VALUE"""),"SERGIO ROCHET")</f>
        <v>SERGIO ROCHET</v>
      </c>
      <c r="E646" s="5">
        <f>IFERROR(__xludf.DUMMYFUNCTION("""COMPUTED_VALUE"""),0.0)</f>
        <v>0</v>
      </c>
      <c r="F646" s="5">
        <f>IFERROR(__xludf.DUMMYFUNCTION("""COMPUTED_VALUE"""),0.0)</f>
        <v>0</v>
      </c>
    </row>
    <row r="647">
      <c r="A647" s="5" t="str">
        <f>IFERROR(__xludf.DUMMYFUNCTION("""COMPUTED_VALUE"""),"URU03")</f>
        <v>URU03</v>
      </c>
      <c r="B647" s="5" t="str">
        <f>IFERROR(__xludf.DUMMYFUNCTION("""COMPUTED_VALUE"""),"URUGUAY")</f>
        <v>URUGUAY</v>
      </c>
      <c r="C647" s="5" t="str">
        <f>IFERROR(__xludf.DUMMYFUNCTION("""COMPUTED_VALUE"""),"NORMAL")</f>
        <v>NORMAL</v>
      </c>
      <c r="D647" s="5" t="str">
        <f>IFERROR(__xludf.DUMMYFUNCTION("""COMPUTED_VALUE"""),"SANTIAGO MELE")</f>
        <v>SANTIAGO MELE</v>
      </c>
      <c r="E647" s="5">
        <f>IFERROR(__xludf.DUMMYFUNCTION("""COMPUTED_VALUE"""),0.0)</f>
        <v>0</v>
      </c>
      <c r="F647" s="5">
        <f>IFERROR(__xludf.DUMMYFUNCTION("""COMPUTED_VALUE"""),0.0)</f>
        <v>0</v>
      </c>
    </row>
    <row r="648">
      <c r="A648" s="5" t="str">
        <f>IFERROR(__xludf.DUMMYFUNCTION("""COMPUTED_VALUE"""),"URU04")</f>
        <v>URU04</v>
      </c>
      <c r="B648" s="5" t="str">
        <f>IFERROR(__xludf.DUMMYFUNCTION("""COMPUTED_VALUE"""),"URUGUAY")</f>
        <v>URUGUAY</v>
      </c>
      <c r="C648" s="5" t="str">
        <f>IFERROR(__xludf.DUMMYFUNCTION("""COMPUTED_VALUE"""),"NORMAL")</f>
        <v>NORMAL</v>
      </c>
      <c r="D648" s="5" t="str">
        <f>IFERROR(__xludf.DUMMYFUNCTION("""COMPUTED_VALUE"""),"RONALD ARAUJO")</f>
        <v>RONALD ARAUJO</v>
      </c>
      <c r="E648" s="5">
        <f>IFERROR(__xludf.DUMMYFUNCTION("""COMPUTED_VALUE"""),0.0)</f>
        <v>0</v>
      </c>
      <c r="F648" s="5">
        <f>IFERROR(__xludf.DUMMYFUNCTION("""COMPUTED_VALUE"""),0.0)</f>
        <v>0</v>
      </c>
    </row>
    <row r="649">
      <c r="A649" s="5" t="str">
        <f>IFERROR(__xludf.DUMMYFUNCTION("""COMPUTED_VALUE"""),"URU05")</f>
        <v>URU05</v>
      </c>
      <c r="B649" s="5" t="str">
        <f>IFERROR(__xludf.DUMMYFUNCTION("""COMPUTED_VALUE"""),"URUGUAY")</f>
        <v>URUGUAY</v>
      </c>
      <c r="C649" s="5" t="str">
        <f>IFERROR(__xludf.DUMMYFUNCTION("""COMPUTED_VALUE"""),"NORMAL")</f>
        <v>NORMAL</v>
      </c>
      <c r="D649" s="5" t="str">
        <f>IFERROR(__xludf.DUMMYFUNCTION("""COMPUTED_VALUE"""),"JOSE MARIA GIMENEZ")</f>
        <v>JOSE MARIA GIMENEZ</v>
      </c>
      <c r="E649" s="5">
        <f>IFERROR(__xludf.DUMMYFUNCTION("""COMPUTED_VALUE"""),0.0)</f>
        <v>0</v>
      </c>
      <c r="F649" s="5">
        <f>IFERROR(__xludf.DUMMYFUNCTION("""COMPUTED_VALUE"""),0.0)</f>
        <v>0</v>
      </c>
    </row>
    <row r="650">
      <c r="A650" s="5" t="str">
        <f>IFERROR(__xludf.DUMMYFUNCTION("""COMPUTED_VALUE"""),"URU06")</f>
        <v>URU06</v>
      </c>
      <c r="B650" s="5" t="str">
        <f>IFERROR(__xludf.DUMMYFUNCTION("""COMPUTED_VALUE"""),"URUGUAY")</f>
        <v>URUGUAY</v>
      </c>
      <c r="C650" s="5" t="str">
        <f>IFERROR(__xludf.DUMMYFUNCTION("""COMPUTED_VALUE"""),"NORMAL")</f>
        <v>NORMAL</v>
      </c>
      <c r="D650" s="5" t="str">
        <f>IFERROR(__xludf.DUMMYFUNCTION("""COMPUTED_VALUE"""),"SEBASTIAN CACERES")</f>
        <v>SEBASTIAN CACERES</v>
      </c>
      <c r="E650" s="5">
        <f>IFERROR(__xludf.DUMMYFUNCTION("""COMPUTED_VALUE"""),0.0)</f>
        <v>0</v>
      </c>
      <c r="F650" s="5">
        <f>IFERROR(__xludf.DUMMYFUNCTION("""COMPUTED_VALUE"""),0.0)</f>
        <v>0</v>
      </c>
    </row>
    <row r="651">
      <c r="A651" s="5" t="str">
        <f>IFERROR(__xludf.DUMMYFUNCTION("""COMPUTED_VALUE"""),"URU07")</f>
        <v>URU07</v>
      </c>
      <c r="B651" s="5" t="str">
        <f>IFERROR(__xludf.DUMMYFUNCTION("""COMPUTED_VALUE"""),"URUGUAY")</f>
        <v>URUGUAY</v>
      </c>
      <c r="C651" s="5" t="str">
        <f>IFERROR(__xludf.DUMMYFUNCTION("""COMPUTED_VALUE"""),"NORMAL")</f>
        <v>NORMAL</v>
      </c>
      <c r="D651" s="5" t="str">
        <f>IFERROR(__xludf.DUMMYFUNCTION("""COMPUTED_VALUE"""),"MATHIAS OLIVERA")</f>
        <v>MATHIAS OLIVERA</v>
      </c>
      <c r="E651" s="5">
        <f>IFERROR(__xludf.DUMMYFUNCTION("""COMPUTED_VALUE"""),0.0)</f>
        <v>0</v>
      </c>
      <c r="F651" s="5">
        <f>IFERROR(__xludf.DUMMYFUNCTION("""COMPUTED_VALUE"""),0.0)</f>
        <v>0</v>
      </c>
    </row>
    <row r="652">
      <c r="A652" s="5" t="str">
        <f>IFERROR(__xludf.DUMMYFUNCTION("""COMPUTED_VALUE"""),"URU08")</f>
        <v>URU08</v>
      </c>
      <c r="B652" s="5" t="str">
        <f>IFERROR(__xludf.DUMMYFUNCTION("""COMPUTED_VALUE"""),"URUGUAY")</f>
        <v>URUGUAY</v>
      </c>
      <c r="C652" s="5" t="str">
        <f>IFERROR(__xludf.DUMMYFUNCTION("""COMPUTED_VALUE"""),"NORMAL")</f>
        <v>NORMAL</v>
      </c>
      <c r="D652" s="5" t="str">
        <f>IFERROR(__xludf.DUMMYFUNCTION("""COMPUTED_VALUE"""),"GUILLERMO VARELA")</f>
        <v>GUILLERMO VARELA</v>
      </c>
      <c r="E652" s="5">
        <f>IFERROR(__xludf.DUMMYFUNCTION("""COMPUTED_VALUE"""),0.0)</f>
        <v>0</v>
      </c>
      <c r="F652" s="5">
        <f>IFERROR(__xludf.DUMMYFUNCTION("""COMPUTED_VALUE"""),0.0)</f>
        <v>0</v>
      </c>
    </row>
    <row r="653">
      <c r="A653" s="5" t="str">
        <f>IFERROR(__xludf.DUMMYFUNCTION("""COMPUTED_VALUE"""),"URU09")</f>
        <v>URU09</v>
      </c>
      <c r="B653" s="5" t="str">
        <f>IFERROR(__xludf.DUMMYFUNCTION("""COMPUTED_VALUE"""),"URUGUAY")</f>
        <v>URUGUAY</v>
      </c>
      <c r="C653" s="5" t="str">
        <f>IFERROR(__xludf.DUMMYFUNCTION("""COMPUTED_VALUE"""),"NORMAL")</f>
        <v>NORMAL</v>
      </c>
      <c r="D653" s="5" t="str">
        <f>IFERROR(__xludf.DUMMYFUNCTION("""COMPUTED_VALUE"""),"NAHITAN NANDEZ")</f>
        <v>NAHITAN NANDEZ</v>
      </c>
      <c r="E653" s="5">
        <f>IFERROR(__xludf.DUMMYFUNCTION("""COMPUTED_VALUE"""),0.0)</f>
        <v>0</v>
      </c>
      <c r="F653" s="5">
        <f>IFERROR(__xludf.DUMMYFUNCTION("""COMPUTED_VALUE"""),0.0)</f>
        <v>0</v>
      </c>
    </row>
    <row r="654">
      <c r="A654" s="5" t="str">
        <f>IFERROR(__xludf.DUMMYFUNCTION("""COMPUTED_VALUE"""),"URU10")</f>
        <v>URU10</v>
      </c>
      <c r="B654" s="5" t="str">
        <f>IFERROR(__xludf.DUMMYFUNCTION("""COMPUTED_VALUE"""),"URUGUAY")</f>
        <v>URUGUAY</v>
      </c>
      <c r="C654" s="5" t="str">
        <f>IFERROR(__xludf.DUMMYFUNCTION("""COMPUTED_VALUE"""),"NORMAL")</f>
        <v>NORMAL</v>
      </c>
      <c r="D654" s="5" t="str">
        <f>IFERROR(__xludf.DUMMYFUNCTION("""COMPUTED_VALUE"""),"FEDERICO VALVERDE")</f>
        <v>FEDERICO VALVERDE</v>
      </c>
      <c r="E654" s="5">
        <f>IFERROR(__xludf.DUMMYFUNCTION("""COMPUTED_VALUE"""),0.0)</f>
        <v>0</v>
      </c>
      <c r="F654" s="5">
        <f>IFERROR(__xludf.DUMMYFUNCTION("""COMPUTED_VALUE"""),0.0)</f>
        <v>0</v>
      </c>
    </row>
    <row r="655">
      <c r="A655" s="5" t="str">
        <f>IFERROR(__xludf.DUMMYFUNCTION("""COMPUTED_VALUE"""),"URU11")</f>
        <v>URU11</v>
      </c>
      <c r="B655" s="5" t="str">
        <f>IFERROR(__xludf.DUMMYFUNCTION("""COMPUTED_VALUE"""),"URUGUAY")</f>
        <v>URUGUAY</v>
      </c>
      <c r="C655" s="5" t="str">
        <f>IFERROR(__xludf.DUMMYFUNCTION("""COMPUTED_VALUE"""),"NORMAL")</f>
        <v>NORMAL</v>
      </c>
      <c r="D655" s="5" t="str">
        <f>IFERROR(__xludf.DUMMYFUNCTION("""COMPUTED_VALUE"""),"GIORGIAN DE ARRASCAETA")</f>
        <v>GIORGIAN DE ARRASCAETA</v>
      </c>
      <c r="E655" s="5">
        <f>IFERROR(__xludf.DUMMYFUNCTION("""COMPUTED_VALUE"""),0.0)</f>
        <v>0</v>
      </c>
      <c r="F655" s="5">
        <f>IFERROR(__xludf.DUMMYFUNCTION("""COMPUTED_VALUE"""),0.0)</f>
        <v>0</v>
      </c>
    </row>
    <row r="656">
      <c r="A656" s="5" t="str">
        <f>IFERROR(__xludf.DUMMYFUNCTION("""COMPUTED_VALUE"""),"URU12")</f>
        <v>URU12</v>
      </c>
      <c r="B656" s="5" t="str">
        <f>IFERROR(__xludf.DUMMYFUNCTION("""COMPUTED_VALUE"""),"URUGUAY")</f>
        <v>URUGUAY</v>
      </c>
      <c r="C656" s="5" t="str">
        <f>IFERROR(__xludf.DUMMYFUNCTION("""COMPUTED_VALUE"""),"NORMAL")</f>
        <v>NORMAL</v>
      </c>
      <c r="D656" s="5" t="str">
        <f>IFERROR(__xludf.DUMMYFUNCTION("""COMPUTED_VALUE"""),"RODRIGO BETANCOUR")</f>
        <v>RODRIGO BETANCOUR</v>
      </c>
      <c r="E656" s="5">
        <f>IFERROR(__xludf.DUMMYFUNCTION("""COMPUTED_VALUE"""),0.0)</f>
        <v>0</v>
      </c>
      <c r="F656" s="5">
        <f>IFERROR(__xludf.DUMMYFUNCTION("""COMPUTED_VALUE"""),0.0)</f>
        <v>0</v>
      </c>
    </row>
    <row r="657">
      <c r="A657" s="5" t="str">
        <f>IFERROR(__xludf.DUMMYFUNCTION("""COMPUTED_VALUE"""),"URU13")</f>
        <v>URU13</v>
      </c>
      <c r="B657" s="5" t="str">
        <f>IFERROR(__xludf.DUMMYFUNCTION("""COMPUTED_VALUE"""),"URUGUAY")</f>
        <v>URUGUAY</v>
      </c>
      <c r="C657" s="5" t="str">
        <f>IFERROR(__xludf.DUMMYFUNCTION("""COMPUTED_VALUE"""),"TEAM")</f>
        <v>TEAM</v>
      </c>
      <c r="D657" s="5" t="str">
        <f>IFERROR(__xludf.DUMMYFUNCTION("""COMPUTED_VALUE"""),"URUGUAY NATIONAL TEAM")</f>
        <v>URUGUAY NATIONAL TEAM</v>
      </c>
      <c r="E657" s="5">
        <f>IFERROR(__xludf.DUMMYFUNCTION("""COMPUTED_VALUE"""),0.0)</f>
        <v>0</v>
      </c>
      <c r="F657" s="5">
        <f>IFERROR(__xludf.DUMMYFUNCTION("""COMPUTED_VALUE"""),0.0)</f>
        <v>0</v>
      </c>
    </row>
    <row r="658">
      <c r="A658" s="5" t="str">
        <f>IFERROR(__xludf.DUMMYFUNCTION("""COMPUTED_VALUE"""),"URU14")</f>
        <v>URU14</v>
      </c>
      <c r="B658" s="5" t="str">
        <f>IFERROR(__xludf.DUMMYFUNCTION("""COMPUTED_VALUE"""),"URUGUAY")</f>
        <v>URUGUAY</v>
      </c>
      <c r="C658" s="5" t="str">
        <f>IFERROR(__xludf.DUMMYFUNCTION("""COMPUTED_VALUE"""),"NORMAL")</f>
        <v>NORMAL</v>
      </c>
      <c r="D658" s="5" t="str">
        <f>IFERROR(__xludf.DUMMYFUNCTION("""COMPUTED_VALUE"""),"MANUEL UGARTE")</f>
        <v>MANUEL UGARTE</v>
      </c>
      <c r="E658" s="5">
        <f>IFERROR(__xludf.DUMMYFUNCTION("""COMPUTED_VALUE"""),0.0)</f>
        <v>0</v>
      </c>
      <c r="F658" s="5">
        <f>IFERROR(__xludf.DUMMYFUNCTION("""COMPUTED_VALUE"""),0.0)</f>
        <v>0</v>
      </c>
    </row>
    <row r="659">
      <c r="A659" s="5" t="str">
        <f>IFERROR(__xludf.DUMMYFUNCTION("""COMPUTED_VALUE"""),"URU15")</f>
        <v>URU15</v>
      </c>
      <c r="B659" s="5" t="str">
        <f>IFERROR(__xludf.DUMMYFUNCTION("""COMPUTED_VALUE"""),"URUGUAY")</f>
        <v>URUGUAY</v>
      </c>
      <c r="C659" s="5" t="str">
        <f>IFERROR(__xludf.DUMMYFUNCTION("""COMPUTED_VALUE"""),"NORMAL")</f>
        <v>NORMAL</v>
      </c>
      <c r="D659" s="5" t="str">
        <f>IFERROR(__xludf.DUMMYFUNCTION("""COMPUTED_VALUE"""),"NICOLAS DE LA CRUZ")</f>
        <v>NICOLAS DE LA CRUZ</v>
      </c>
      <c r="E659" s="5">
        <f>IFERROR(__xludf.DUMMYFUNCTION("""COMPUTED_VALUE"""),0.0)</f>
        <v>0</v>
      </c>
      <c r="F659" s="5">
        <f>IFERROR(__xludf.DUMMYFUNCTION("""COMPUTED_VALUE"""),0.0)</f>
        <v>0</v>
      </c>
    </row>
    <row r="660">
      <c r="A660" s="5" t="str">
        <f>IFERROR(__xludf.DUMMYFUNCTION("""COMPUTED_VALUE"""),"URU16")</f>
        <v>URU16</v>
      </c>
      <c r="B660" s="5" t="str">
        <f>IFERROR(__xludf.DUMMYFUNCTION("""COMPUTED_VALUE"""),"URUGUAY")</f>
        <v>URUGUAY</v>
      </c>
      <c r="C660" s="5" t="str">
        <f>IFERROR(__xludf.DUMMYFUNCTION("""COMPUTED_VALUE"""),"NORMAL")</f>
        <v>NORMAL</v>
      </c>
      <c r="D660" s="5" t="str">
        <f>IFERROR(__xludf.DUMMYFUNCTION("""COMPUTED_VALUE"""),"MAXI ARAUJO")</f>
        <v>MAXI ARAUJO</v>
      </c>
      <c r="E660" s="5">
        <f>IFERROR(__xludf.DUMMYFUNCTION("""COMPUTED_VALUE"""),0.0)</f>
        <v>0</v>
      </c>
      <c r="F660" s="5">
        <f>IFERROR(__xludf.DUMMYFUNCTION("""COMPUTED_VALUE"""),0.0)</f>
        <v>0</v>
      </c>
    </row>
    <row r="661">
      <c r="A661" s="5" t="str">
        <f>IFERROR(__xludf.DUMMYFUNCTION("""COMPUTED_VALUE"""),"URU17")</f>
        <v>URU17</v>
      </c>
      <c r="B661" s="5" t="str">
        <f>IFERROR(__xludf.DUMMYFUNCTION("""COMPUTED_VALUE"""),"URUGUAY")</f>
        <v>URUGUAY</v>
      </c>
      <c r="C661" s="5" t="str">
        <f>IFERROR(__xludf.DUMMYFUNCTION("""COMPUTED_VALUE"""),"NORMAL")</f>
        <v>NORMAL</v>
      </c>
      <c r="D661" s="5" t="str">
        <f>IFERROR(__xludf.DUMMYFUNCTION("""COMPUTED_VALUE"""),"DARWIN NUÑEZ")</f>
        <v>DARWIN NUÑEZ</v>
      </c>
      <c r="E661" s="5">
        <f>IFERROR(__xludf.DUMMYFUNCTION("""COMPUTED_VALUE"""),0.0)</f>
        <v>0</v>
      </c>
      <c r="F661" s="5">
        <f>IFERROR(__xludf.DUMMYFUNCTION("""COMPUTED_VALUE"""),0.0)</f>
        <v>0</v>
      </c>
    </row>
    <row r="662">
      <c r="A662" s="5" t="str">
        <f>IFERROR(__xludf.DUMMYFUNCTION("""COMPUTED_VALUE"""),"URU18")</f>
        <v>URU18</v>
      </c>
      <c r="B662" s="5" t="str">
        <f>IFERROR(__xludf.DUMMYFUNCTION("""COMPUTED_VALUE"""),"URUGUAY")</f>
        <v>URUGUAY</v>
      </c>
      <c r="C662" s="5" t="str">
        <f>IFERROR(__xludf.DUMMYFUNCTION("""COMPUTED_VALUE"""),"NORMAL")</f>
        <v>NORMAL</v>
      </c>
      <c r="D662" s="5" t="str">
        <f>IFERROR(__xludf.DUMMYFUNCTION("""COMPUTED_VALUE"""),"FEDERICO VIÑAS")</f>
        <v>FEDERICO VIÑAS</v>
      </c>
      <c r="E662" s="5">
        <f>IFERROR(__xludf.DUMMYFUNCTION("""COMPUTED_VALUE"""),0.0)</f>
        <v>0</v>
      </c>
      <c r="F662" s="5">
        <f>IFERROR(__xludf.DUMMYFUNCTION("""COMPUTED_VALUE"""),0.0)</f>
        <v>0</v>
      </c>
    </row>
    <row r="663">
      <c r="A663" s="5" t="str">
        <f>IFERROR(__xludf.DUMMYFUNCTION("""COMPUTED_VALUE"""),"URU19")</f>
        <v>URU19</v>
      </c>
      <c r="B663" s="5" t="str">
        <f>IFERROR(__xludf.DUMMYFUNCTION("""COMPUTED_VALUE"""),"URUGUAY")</f>
        <v>URUGUAY</v>
      </c>
      <c r="C663" s="5" t="str">
        <f>IFERROR(__xludf.DUMMYFUNCTION("""COMPUTED_VALUE"""),"NORMAL")</f>
        <v>NORMAL</v>
      </c>
      <c r="D663" s="5" t="str">
        <f>IFERROR(__xludf.DUMMYFUNCTION("""COMPUTED_VALUE"""),"RODRIGO AGUIRRE")</f>
        <v>RODRIGO AGUIRRE</v>
      </c>
      <c r="E663" s="5">
        <f>IFERROR(__xludf.DUMMYFUNCTION("""COMPUTED_VALUE"""),0.0)</f>
        <v>0</v>
      </c>
      <c r="F663" s="5">
        <f>IFERROR(__xludf.DUMMYFUNCTION("""COMPUTED_VALUE"""),0.0)</f>
        <v>0</v>
      </c>
    </row>
    <row r="664">
      <c r="A664" s="5" t="str">
        <f>IFERROR(__xludf.DUMMYFUNCTION("""COMPUTED_VALUE"""),"URU20")</f>
        <v>URU20</v>
      </c>
      <c r="B664" s="5" t="str">
        <f>IFERROR(__xludf.DUMMYFUNCTION("""COMPUTED_VALUE"""),"URUGUAY")</f>
        <v>URUGUAY</v>
      </c>
      <c r="C664" s="5" t="str">
        <f>IFERROR(__xludf.DUMMYFUNCTION("""COMPUTED_VALUE"""),"NORMAL")</f>
        <v>NORMAL</v>
      </c>
      <c r="D664" s="5" t="str">
        <f>IFERROR(__xludf.DUMMYFUNCTION("""COMPUTED_VALUE"""),"FACUNDO PELLISTRI")</f>
        <v>FACUNDO PELLISTRI</v>
      </c>
      <c r="E664" s="5">
        <f>IFERROR(__xludf.DUMMYFUNCTION("""COMPUTED_VALUE"""),0.0)</f>
        <v>0</v>
      </c>
      <c r="F664" s="5">
        <f>IFERROR(__xludf.DUMMYFUNCTION("""COMPUTED_VALUE"""),0.0)</f>
        <v>0</v>
      </c>
    </row>
    <row r="665">
      <c r="A665" s="5" t="str">
        <f>IFERROR(__xludf.DUMMYFUNCTION("""COMPUTED_VALUE"""),"FRA01")</f>
        <v>FRA01</v>
      </c>
      <c r="B665" s="5" t="str">
        <f>IFERROR(__xludf.DUMMYFUNCTION("""COMPUTED_VALUE"""),"FRANCE")</f>
        <v>FRANCE</v>
      </c>
      <c r="C665" s="5" t="str">
        <f>IFERROR(__xludf.DUMMYFUNCTION("""COMPUTED_VALUE"""),"BADGE")</f>
        <v>BADGE</v>
      </c>
      <c r="D665" s="5" t="str">
        <f>IFERROR(__xludf.DUMMYFUNCTION("""COMPUTED_VALUE"""),"FRANCE NATIONAL TEAM")</f>
        <v>FRANCE NATIONAL TEAM</v>
      </c>
      <c r="E665" s="5">
        <f>IFERROR(__xludf.DUMMYFUNCTION("""COMPUTED_VALUE"""),0.0)</f>
        <v>0</v>
      </c>
      <c r="F665" s="5">
        <f>IFERROR(__xludf.DUMMYFUNCTION("""COMPUTED_VALUE"""),0.0)</f>
        <v>0</v>
      </c>
    </row>
    <row r="666">
      <c r="A666" s="5" t="str">
        <f>IFERROR(__xludf.DUMMYFUNCTION("""COMPUTED_VALUE"""),"FRA02")</f>
        <v>FRA02</v>
      </c>
      <c r="B666" s="5" t="str">
        <f>IFERROR(__xludf.DUMMYFUNCTION("""COMPUTED_VALUE"""),"FRANCE")</f>
        <v>FRANCE</v>
      </c>
      <c r="C666" s="5" t="str">
        <f>IFERROR(__xludf.DUMMYFUNCTION("""COMPUTED_VALUE"""),"NORMAL")</f>
        <v>NORMAL</v>
      </c>
      <c r="D666" s="5" t="str">
        <f>IFERROR(__xludf.DUMMYFUNCTION("""COMPUTED_VALUE"""),"MIKE MAIGNAN")</f>
        <v>MIKE MAIGNAN</v>
      </c>
      <c r="E666" s="5">
        <f>IFERROR(__xludf.DUMMYFUNCTION("""COMPUTED_VALUE"""),0.0)</f>
        <v>0</v>
      </c>
      <c r="F666" s="5">
        <f>IFERROR(__xludf.DUMMYFUNCTION("""COMPUTED_VALUE"""),0.0)</f>
        <v>0</v>
      </c>
    </row>
    <row r="667">
      <c r="A667" s="5" t="str">
        <f>IFERROR(__xludf.DUMMYFUNCTION("""COMPUTED_VALUE"""),"FRA03")</f>
        <v>FRA03</v>
      </c>
      <c r="B667" s="5" t="str">
        <f>IFERROR(__xludf.DUMMYFUNCTION("""COMPUTED_VALUE"""),"FRANCE")</f>
        <v>FRANCE</v>
      </c>
      <c r="C667" s="5" t="str">
        <f>IFERROR(__xludf.DUMMYFUNCTION("""COMPUTED_VALUE"""),"NORMAL")</f>
        <v>NORMAL</v>
      </c>
      <c r="D667" s="5" t="str">
        <f>IFERROR(__xludf.DUMMYFUNCTION("""COMPUTED_VALUE"""),"THEO HERNANDEZ")</f>
        <v>THEO HERNANDEZ</v>
      </c>
      <c r="E667" s="5">
        <f>IFERROR(__xludf.DUMMYFUNCTION("""COMPUTED_VALUE"""),0.0)</f>
        <v>0</v>
      </c>
      <c r="F667" s="5">
        <f>IFERROR(__xludf.DUMMYFUNCTION("""COMPUTED_VALUE"""),0.0)</f>
        <v>0</v>
      </c>
    </row>
    <row r="668">
      <c r="A668" s="5" t="str">
        <f>IFERROR(__xludf.DUMMYFUNCTION("""COMPUTED_VALUE"""),"FRA04")</f>
        <v>FRA04</v>
      </c>
      <c r="B668" s="5" t="str">
        <f>IFERROR(__xludf.DUMMYFUNCTION("""COMPUTED_VALUE"""),"FRANCE")</f>
        <v>FRANCE</v>
      </c>
      <c r="C668" s="5" t="str">
        <f>IFERROR(__xludf.DUMMYFUNCTION("""COMPUTED_VALUE"""),"NORMAL")</f>
        <v>NORMAL</v>
      </c>
      <c r="D668" s="5" t="str">
        <f>IFERROR(__xludf.DUMMYFUNCTION("""COMPUTED_VALUE"""),"WILLIAM SALIBA")</f>
        <v>WILLIAM SALIBA</v>
      </c>
      <c r="E668" s="5">
        <f>IFERROR(__xludf.DUMMYFUNCTION("""COMPUTED_VALUE"""),0.0)</f>
        <v>0</v>
      </c>
      <c r="F668" s="5">
        <f>IFERROR(__xludf.DUMMYFUNCTION("""COMPUTED_VALUE"""),0.0)</f>
        <v>0</v>
      </c>
    </row>
    <row r="669">
      <c r="A669" s="5" t="str">
        <f>IFERROR(__xludf.DUMMYFUNCTION("""COMPUTED_VALUE"""),"FRA05")</f>
        <v>FRA05</v>
      </c>
      <c r="B669" s="5" t="str">
        <f>IFERROR(__xludf.DUMMYFUNCTION("""COMPUTED_VALUE"""),"FRANCE")</f>
        <v>FRANCE</v>
      </c>
      <c r="C669" s="5" t="str">
        <f>IFERROR(__xludf.DUMMYFUNCTION("""COMPUTED_VALUE"""),"NORMAL")</f>
        <v>NORMAL</v>
      </c>
      <c r="D669" s="5" t="str">
        <f>IFERROR(__xludf.DUMMYFUNCTION("""COMPUTED_VALUE"""),"JULES KOUNDE")</f>
        <v>JULES KOUNDE</v>
      </c>
      <c r="E669" s="5">
        <f>IFERROR(__xludf.DUMMYFUNCTION("""COMPUTED_VALUE"""),0.0)</f>
        <v>0</v>
      </c>
      <c r="F669" s="5">
        <f>IFERROR(__xludf.DUMMYFUNCTION("""COMPUTED_VALUE"""),0.0)</f>
        <v>0</v>
      </c>
    </row>
    <row r="670">
      <c r="A670" s="5" t="str">
        <f>IFERROR(__xludf.DUMMYFUNCTION("""COMPUTED_VALUE"""),"FRA06")</f>
        <v>FRA06</v>
      </c>
      <c r="B670" s="5" t="str">
        <f>IFERROR(__xludf.DUMMYFUNCTION("""COMPUTED_VALUE"""),"FRANCE")</f>
        <v>FRANCE</v>
      </c>
      <c r="C670" s="5" t="str">
        <f>IFERROR(__xludf.DUMMYFUNCTION("""COMPUTED_VALUE"""),"NORMAL")</f>
        <v>NORMAL</v>
      </c>
      <c r="D670" s="5" t="str">
        <f>IFERROR(__xludf.DUMMYFUNCTION("""COMPUTED_VALUE"""),"IBRAHIMA KONATE")</f>
        <v>IBRAHIMA KONATE</v>
      </c>
      <c r="E670" s="5">
        <f>IFERROR(__xludf.DUMMYFUNCTION("""COMPUTED_VALUE"""),0.0)</f>
        <v>0</v>
      </c>
      <c r="F670" s="5">
        <f>IFERROR(__xludf.DUMMYFUNCTION("""COMPUTED_VALUE"""),0.0)</f>
        <v>0</v>
      </c>
    </row>
    <row r="671">
      <c r="A671" s="5" t="str">
        <f>IFERROR(__xludf.DUMMYFUNCTION("""COMPUTED_VALUE"""),"FRA07")</f>
        <v>FRA07</v>
      </c>
      <c r="B671" s="5" t="str">
        <f>IFERROR(__xludf.DUMMYFUNCTION("""COMPUTED_VALUE"""),"FRANCE")</f>
        <v>FRANCE</v>
      </c>
      <c r="C671" s="5" t="str">
        <f>IFERROR(__xludf.DUMMYFUNCTION("""COMPUTED_VALUE"""),"NORMAL")</f>
        <v>NORMAL</v>
      </c>
      <c r="D671" s="5" t="str">
        <f>IFERROR(__xludf.DUMMYFUNCTION("""COMPUTED_VALUE"""),"DAYOT UPAMECANO")</f>
        <v>DAYOT UPAMECANO</v>
      </c>
      <c r="E671" s="5">
        <f>IFERROR(__xludf.DUMMYFUNCTION("""COMPUTED_VALUE"""),0.0)</f>
        <v>0</v>
      </c>
      <c r="F671" s="5">
        <f>IFERROR(__xludf.DUMMYFUNCTION("""COMPUTED_VALUE"""),0.0)</f>
        <v>0</v>
      </c>
    </row>
    <row r="672">
      <c r="A672" s="5" t="str">
        <f>IFERROR(__xludf.DUMMYFUNCTION("""COMPUTED_VALUE"""),"FRA08")</f>
        <v>FRA08</v>
      </c>
      <c r="B672" s="5" t="str">
        <f>IFERROR(__xludf.DUMMYFUNCTION("""COMPUTED_VALUE"""),"FRANCE")</f>
        <v>FRANCE</v>
      </c>
      <c r="C672" s="5" t="str">
        <f>IFERROR(__xludf.DUMMYFUNCTION("""COMPUTED_VALUE"""),"NORMAL")</f>
        <v>NORMAL</v>
      </c>
      <c r="D672" s="5" t="str">
        <f>IFERROR(__xludf.DUMMYFUNCTION("""COMPUTED_VALUE"""),"LUCAS DIGNE")</f>
        <v>LUCAS DIGNE</v>
      </c>
      <c r="E672" s="5">
        <f>IFERROR(__xludf.DUMMYFUNCTION("""COMPUTED_VALUE"""),0.0)</f>
        <v>0</v>
      </c>
      <c r="F672" s="5">
        <f>IFERROR(__xludf.DUMMYFUNCTION("""COMPUTED_VALUE"""),0.0)</f>
        <v>0</v>
      </c>
    </row>
    <row r="673">
      <c r="A673" s="5" t="str">
        <f>IFERROR(__xludf.DUMMYFUNCTION("""COMPUTED_VALUE"""),"FRA09")</f>
        <v>FRA09</v>
      </c>
      <c r="B673" s="5" t="str">
        <f>IFERROR(__xludf.DUMMYFUNCTION("""COMPUTED_VALUE"""),"FRANCE")</f>
        <v>FRANCE</v>
      </c>
      <c r="C673" s="5" t="str">
        <f>IFERROR(__xludf.DUMMYFUNCTION("""COMPUTED_VALUE"""),"NORMAL")</f>
        <v>NORMAL</v>
      </c>
      <c r="D673" s="5" t="str">
        <f>IFERROR(__xludf.DUMMYFUNCTION("""COMPUTED_VALUE"""),"AURELIEN TCHOUAMENI")</f>
        <v>AURELIEN TCHOUAMENI</v>
      </c>
      <c r="E673" s="5">
        <f>IFERROR(__xludf.DUMMYFUNCTION("""COMPUTED_VALUE"""),0.0)</f>
        <v>0</v>
      </c>
      <c r="F673" s="5">
        <f>IFERROR(__xludf.DUMMYFUNCTION("""COMPUTED_VALUE"""),0.0)</f>
        <v>0</v>
      </c>
    </row>
    <row r="674">
      <c r="A674" s="5" t="str">
        <f>IFERROR(__xludf.DUMMYFUNCTION("""COMPUTED_VALUE"""),"FRA10")</f>
        <v>FRA10</v>
      </c>
      <c r="B674" s="5" t="str">
        <f>IFERROR(__xludf.DUMMYFUNCTION("""COMPUTED_VALUE"""),"FRANCE")</f>
        <v>FRANCE</v>
      </c>
      <c r="C674" s="5" t="str">
        <f>IFERROR(__xludf.DUMMYFUNCTION("""COMPUTED_VALUE"""),"NORMAL")</f>
        <v>NORMAL</v>
      </c>
      <c r="D674" s="5" t="str">
        <f>IFERROR(__xludf.DUMMYFUNCTION("""COMPUTED_VALUE"""),"EDUARDO CAMAVINGA")</f>
        <v>EDUARDO CAMAVINGA</v>
      </c>
      <c r="E674" s="5">
        <f>IFERROR(__xludf.DUMMYFUNCTION("""COMPUTED_VALUE"""),0.0)</f>
        <v>0</v>
      </c>
      <c r="F674" s="5">
        <f>IFERROR(__xludf.DUMMYFUNCTION("""COMPUTED_VALUE"""),0.0)</f>
        <v>0</v>
      </c>
    </row>
    <row r="675">
      <c r="A675" s="5" t="str">
        <f>IFERROR(__xludf.DUMMYFUNCTION("""COMPUTED_VALUE"""),"FRA11")</f>
        <v>FRA11</v>
      </c>
      <c r="B675" s="5" t="str">
        <f>IFERROR(__xludf.DUMMYFUNCTION("""COMPUTED_VALUE"""),"FRANCE")</f>
        <v>FRANCE</v>
      </c>
      <c r="C675" s="5" t="str">
        <f>IFERROR(__xludf.DUMMYFUNCTION("""COMPUTED_VALUE"""),"NORMAL")</f>
        <v>NORMAL</v>
      </c>
      <c r="D675" s="5" t="str">
        <f>IFERROR(__xludf.DUMMYFUNCTION("""COMPUTED_VALUE"""),"MANU KONE")</f>
        <v>MANU KONE</v>
      </c>
      <c r="E675" s="5">
        <f>IFERROR(__xludf.DUMMYFUNCTION("""COMPUTED_VALUE"""),0.0)</f>
        <v>0</v>
      </c>
      <c r="F675" s="5">
        <f>IFERROR(__xludf.DUMMYFUNCTION("""COMPUTED_VALUE"""),0.0)</f>
        <v>0</v>
      </c>
    </row>
    <row r="676">
      <c r="A676" s="5" t="str">
        <f>IFERROR(__xludf.DUMMYFUNCTION("""COMPUTED_VALUE"""),"FRA12")</f>
        <v>FRA12</v>
      </c>
      <c r="B676" s="5" t="str">
        <f>IFERROR(__xludf.DUMMYFUNCTION("""COMPUTED_VALUE"""),"FRANCE")</f>
        <v>FRANCE</v>
      </c>
      <c r="C676" s="5" t="str">
        <f>IFERROR(__xludf.DUMMYFUNCTION("""COMPUTED_VALUE"""),"NORMAL")</f>
        <v>NORMAL</v>
      </c>
      <c r="D676" s="5" t="str">
        <f>IFERROR(__xludf.DUMMYFUNCTION("""COMPUTED_VALUE"""),"ADRIEN RABIOT")</f>
        <v>ADRIEN RABIOT</v>
      </c>
      <c r="E676" s="5">
        <f>IFERROR(__xludf.DUMMYFUNCTION("""COMPUTED_VALUE"""),0.0)</f>
        <v>0</v>
      </c>
      <c r="F676" s="5">
        <f>IFERROR(__xludf.DUMMYFUNCTION("""COMPUTED_VALUE"""),0.0)</f>
        <v>0</v>
      </c>
    </row>
    <row r="677">
      <c r="A677" s="5" t="str">
        <f>IFERROR(__xludf.DUMMYFUNCTION("""COMPUTED_VALUE"""),"FRA13")</f>
        <v>FRA13</v>
      </c>
      <c r="B677" s="5" t="str">
        <f>IFERROR(__xludf.DUMMYFUNCTION("""COMPUTED_VALUE"""),"FRANCE")</f>
        <v>FRANCE</v>
      </c>
      <c r="C677" s="5" t="str">
        <f>IFERROR(__xludf.DUMMYFUNCTION("""COMPUTED_VALUE"""),"TEAM")</f>
        <v>TEAM</v>
      </c>
      <c r="D677" s="5" t="str">
        <f>IFERROR(__xludf.DUMMYFUNCTION("""COMPUTED_VALUE"""),"FRANCE NATIONAL TEAM")</f>
        <v>FRANCE NATIONAL TEAM</v>
      </c>
      <c r="E677" s="5">
        <f>IFERROR(__xludf.DUMMYFUNCTION("""COMPUTED_VALUE"""),0.0)</f>
        <v>0</v>
      </c>
      <c r="F677" s="5">
        <f>IFERROR(__xludf.DUMMYFUNCTION("""COMPUTED_VALUE"""),0.0)</f>
        <v>0</v>
      </c>
    </row>
    <row r="678">
      <c r="A678" s="5" t="str">
        <f>IFERROR(__xludf.DUMMYFUNCTION("""COMPUTED_VALUE"""),"FRA14")</f>
        <v>FRA14</v>
      </c>
      <c r="B678" s="5" t="str">
        <f>IFERROR(__xludf.DUMMYFUNCTION("""COMPUTED_VALUE"""),"FRANCE")</f>
        <v>FRANCE</v>
      </c>
      <c r="C678" s="5" t="str">
        <f>IFERROR(__xludf.DUMMYFUNCTION("""COMPUTED_VALUE"""),"NORMAL")</f>
        <v>NORMAL</v>
      </c>
      <c r="D678" s="5" t="str">
        <f>IFERROR(__xludf.DUMMYFUNCTION("""COMPUTED_VALUE"""),"MICHAEL OLISE")</f>
        <v>MICHAEL OLISE</v>
      </c>
      <c r="E678" s="5">
        <f>IFERROR(__xludf.DUMMYFUNCTION("""COMPUTED_VALUE"""),0.0)</f>
        <v>0</v>
      </c>
      <c r="F678" s="5">
        <f>IFERROR(__xludf.DUMMYFUNCTION("""COMPUTED_VALUE"""),0.0)</f>
        <v>0</v>
      </c>
    </row>
    <row r="679">
      <c r="A679" s="5" t="str">
        <f>IFERROR(__xludf.DUMMYFUNCTION("""COMPUTED_VALUE"""),"FRA15")</f>
        <v>FRA15</v>
      </c>
      <c r="B679" s="5" t="str">
        <f>IFERROR(__xludf.DUMMYFUNCTION("""COMPUTED_VALUE"""),"FRANCE")</f>
        <v>FRANCE</v>
      </c>
      <c r="C679" s="5" t="str">
        <f>IFERROR(__xludf.DUMMYFUNCTION("""COMPUTED_VALUE"""),"NORMAL")</f>
        <v>NORMAL</v>
      </c>
      <c r="D679" s="5" t="str">
        <f>IFERROR(__xludf.DUMMYFUNCTION("""COMPUTED_VALUE"""),"OUSMANE DEMBELE")</f>
        <v>OUSMANE DEMBELE</v>
      </c>
      <c r="E679" s="5">
        <f>IFERROR(__xludf.DUMMYFUNCTION("""COMPUTED_VALUE"""),0.0)</f>
        <v>0</v>
      </c>
      <c r="F679" s="5">
        <f>IFERROR(__xludf.DUMMYFUNCTION("""COMPUTED_VALUE"""),0.0)</f>
        <v>0</v>
      </c>
    </row>
    <row r="680">
      <c r="A680" s="5" t="str">
        <f>IFERROR(__xludf.DUMMYFUNCTION("""COMPUTED_VALUE"""),"FRA16")</f>
        <v>FRA16</v>
      </c>
      <c r="B680" s="5" t="str">
        <f>IFERROR(__xludf.DUMMYFUNCTION("""COMPUTED_VALUE"""),"FRANCE")</f>
        <v>FRANCE</v>
      </c>
      <c r="C680" s="5" t="str">
        <f>IFERROR(__xludf.DUMMYFUNCTION("""COMPUTED_VALUE"""),"NORMAL")</f>
        <v>NORMAL</v>
      </c>
      <c r="D680" s="5" t="str">
        <f>IFERROR(__xludf.DUMMYFUNCTION("""COMPUTED_VALUE"""),"BRADLEY BARCOLA")</f>
        <v>BRADLEY BARCOLA</v>
      </c>
      <c r="E680" s="5">
        <f>IFERROR(__xludf.DUMMYFUNCTION("""COMPUTED_VALUE"""),0.0)</f>
        <v>0</v>
      </c>
      <c r="F680" s="5">
        <f>IFERROR(__xludf.DUMMYFUNCTION("""COMPUTED_VALUE"""),0.0)</f>
        <v>0</v>
      </c>
    </row>
    <row r="681">
      <c r="A681" s="5" t="str">
        <f>IFERROR(__xludf.DUMMYFUNCTION("""COMPUTED_VALUE"""),"FRA17")</f>
        <v>FRA17</v>
      </c>
      <c r="B681" s="5" t="str">
        <f>IFERROR(__xludf.DUMMYFUNCTION("""COMPUTED_VALUE"""),"FRANCE")</f>
        <v>FRANCE</v>
      </c>
      <c r="C681" s="5" t="str">
        <f>IFERROR(__xludf.DUMMYFUNCTION("""COMPUTED_VALUE"""),"NORMAL")</f>
        <v>NORMAL</v>
      </c>
      <c r="D681" s="5" t="str">
        <f>IFERROR(__xludf.DUMMYFUNCTION("""COMPUTED_VALUE"""),"DESIRE DOUE")</f>
        <v>DESIRE DOUE</v>
      </c>
      <c r="E681" s="5">
        <f>IFERROR(__xludf.DUMMYFUNCTION("""COMPUTED_VALUE"""),0.0)</f>
        <v>0</v>
      </c>
      <c r="F681" s="5">
        <f>IFERROR(__xludf.DUMMYFUNCTION("""COMPUTED_VALUE"""),0.0)</f>
        <v>0</v>
      </c>
    </row>
    <row r="682">
      <c r="A682" s="5" t="str">
        <f>IFERROR(__xludf.DUMMYFUNCTION("""COMPUTED_VALUE"""),"FRA18")</f>
        <v>FRA18</v>
      </c>
      <c r="B682" s="5" t="str">
        <f>IFERROR(__xludf.DUMMYFUNCTION("""COMPUTED_VALUE"""),"FRANCE")</f>
        <v>FRANCE</v>
      </c>
      <c r="C682" s="5" t="str">
        <f>IFERROR(__xludf.DUMMYFUNCTION("""COMPUTED_VALUE"""),"NORMAL")</f>
        <v>NORMAL</v>
      </c>
      <c r="D682" s="5" t="str">
        <f>IFERROR(__xludf.DUMMYFUNCTION("""COMPUTED_VALUE"""),"KINGSLEY COMAN")</f>
        <v>KINGSLEY COMAN</v>
      </c>
      <c r="E682" s="5">
        <f>IFERROR(__xludf.DUMMYFUNCTION("""COMPUTED_VALUE"""),0.0)</f>
        <v>0</v>
      </c>
      <c r="F682" s="5">
        <f>IFERROR(__xludf.DUMMYFUNCTION("""COMPUTED_VALUE"""),0.0)</f>
        <v>0</v>
      </c>
    </row>
    <row r="683">
      <c r="A683" s="5" t="str">
        <f>IFERROR(__xludf.DUMMYFUNCTION("""COMPUTED_VALUE"""),"FRA19")</f>
        <v>FRA19</v>
      </c>
      <c r="B683" s="5" t="str">
        <f>IFERROR(__xludf.DUMMYFUNCTION("""COMPUTED_VALUE"""),"FRANCE")</f>
        <v>FRANCE</v>
      </c>
      <c r="C683" s="5" t="str">
        <f>IFERROR(__xludf.DUMMYFUNCTION("""COMPUTED_VALUE"""),"NORMAL")</f>
        <v>NORMAL</v>
      </c>
      <c r="D683" s="5" t="str">
        <f>IFERROR(__xludf.DUMMYFUNCTION("""COMPUTED_VALUE"""),"HUGO EKITIKE")</f>
        <v>HUGO EKITIKE</v>
      </c>
      <c r="E683" s="5">
        <f>IFERROR(__xludf.DUMMYFUNCTION("""COMPUTED_VALUE"""),0.0)</f>
        <v>0</v>
      </c>
      <c r="F683" s="5">
        <f>IFERROR(__xludf.DUMMYFUNCTION("""COMPUTED_VALUE"""),0.0)</f>
        <v>0</v>
      </c>
    </row>
    <row r="684">
      <c r="A684" s="5" t="str">
        <f>IFERROR(__xludf.DUMMYFUNCTION("""COMPUTED_VALUE"""),"FRA20")</f>
        <v>FRA20</v>
      </c>
      <c r="B684" s="5" t="str">
        <f>IFERROR(__xludf.DUMMYFUNCTION("""COMPUTED_VALUE"""),"FRANCE")</f>
        <v>FRANCE</v>
      </c>
      <c r="C684" s="5" t="str">
        <f>IFERROR(__xludf.DUMMYFUNCTION("""COMPUTED_VALUE"""),"NORMAL")</f>
        <v>NORMAL</v>
      </c>
      <c r="D684" s="5" t="str">
        <f>IFERROR(__xludf.DUMMYFUNCTION("""COMPUTED_VALUE"""),"KYLIAN MBAPPE")</f>
        <v>KYLIAN MBAPPE</v>
      </c>
      <c r="E684" s="5">
        <f>IFERROR(__xludf.DUMMYFUNCTION("""COMPUTED_VALUE"""),0.0)</f>
        <v>0</v>
      </c>
      <c r="F684" s="5">
        <f>IFERROR(__xludf.DUMMYFUNCTION("""COMPUTED_VALUE"""),0.0)</f>
        <v>0</v>
      </c>
    </row>
    <row r="685">
      <c r="A685" s="7" t="str">
        <f>IFERROR(__xludf.DUMMYFUNCTION("""COMPUTED_VALUE"""),"SEN01")</f>
        <v>SEN01</v>
      </c>
      <c r="B685" s="5" t="str">
        <f>IFERROR(__xludf.DUMMYFUNCTION("""COMPUTED_VALUE"""),"SENEGAL")</f>
        <v>SENEGAL</v>
      </c>
      <c r="C685" s="5" t="str">
        <f>IFERROR(__xludf.DUMMYFUNCTION("""COMPUTED_VALUE"""),"BADGE")</f>
        <v>BADGE</v>
      </c>
      <c r="D685" s="5" t="str">
        <f>IFERROR(__xludf.DUMMYFUNCTION("""COMPUTED_VALUE"""),"SENEGAL NATIONAL TEAM")</f>
        <v>SENEGAL NATIONAL TEAM</v>
      </c>
      <c r="E685" s="5">
        <f>IFERROR(__xludf.DUMMYFUNCTION("""COMPUTED_VALUE"""),0.0)</f>
        <v>0</v>
      </c>
      <c r="F685" s="5">
        <f>IFERROR(__xludf.DUMMYFUNCTION("""COMPUTED_VALUE"""),0.0)</f>
        <v>0</v>
      </c>
    </row>
    <row r="686">
      <c r="A686" s="7" t="str">
        <f>IFERROR(__xludf.DUMMYFUNCTION("""COMPUTED_VALUE"""),"SEN02")</f>
        <v>SEN02</v>
      </c>
      <c r="B686" s="5" t="str">
        <f>IFERROR(__xludf.DUMMYFUNCTION("""COMPUTED_VALUE"""),"SENEGAL")</f>
        <v>SENEGAL</v>
      </c>
      <c r="C686" s="5" t="str">
        <f>IFERROR(__xludf.DUMMYFUNCTION("""COMPUTED_VALUE"""),"NORMAL")</f>
        <v>NORMAL</v>
      </c>
      <c r="D686" s="5" t="str">
        <f>IFERROR(__xludf.DUMMYFUNCTION("""COMPUTED_VALUE"""),"EDOUARD MENDY")</f>
        <v>EDOUARD MENDY</v>
      </c>
      <c r="E686" s="5">
        <f>IFERROR(__xludf.DUMMYFUNCTION("""COMPUTED_VALUE"""),0.0)</f>
        <v>0</v>
      </c>
      <c r="F686" s="5">
        <f>IFERROR(__xludf.DUMMYFUNCTION("""COMPUTED_VALUE"""),0.0)</f>
        <v>0</v>
      </c>
    </row>
    <row r="687">
      <c r="A687" s="7" t="str">
        <f>IFERROR(__xludf.DUMMYFUNCTION("""COMPUTED_VALUE"""),"SEN03")</f>
        <v>SEN03</v>
      </c>
      <c r="B687" s="5" t="str">
        <f>IFERROR(__xludf.DUMMYFUNCTION("""COMPUTED_VALUE"""),"SENEGAL")</f>
        <v>SENEGAL</v>
      </c>
      <c r="C687" s="5" t="str">
        <f>IFERROR(__xludf.DUMMYFUNCTION("""COMPUTED_VALUE"""),"NORMAL")</f>
        <v>NORMAL</v>
      </c>
      <c r="D687" s="5" t="str">
        <f>IFERROR(__xludf.DUMMYFUNCTION("""COMPUTED_VALUE"""),"YEHVANN DIOUF")</f>
        <v>YEHVANN DIOUF</v>
      </c>
      <c r="E687" s="5">
        <f>IFERROR(__xludf.DUMMYFUNCTION("""COMPUTED_VALUE"""),0.0)</f>
        <v>0</v>
      </c>
      <c r="F687" s="5">
        <f>IFERROR(__xludf.DUMMYFUNCTION("""COMPUTED_VALUE"""),0.0)</f>
        <v>0</v>
      </c>
    </row>
    <row r="688">
      <c r="A688" s="7" t="str">
        <f>IFERROR(__xludf.DUMMYFUNCTION("""COMPUTED_VALUE"""),"SEN04")</f>
        <v>SEN04</v>
      </c>
      <c r="B688" s="5" t="str">
        <f>IFERROR(__xludf.DUMMYFUNCTION("""COMPUTED_VALUE"""),"SENEGAL")</f>
        <v>SENEGAL</v>
      </c>
      <c r="C688" s="5" t="str">
        <f>IFERROR(__xludf.DUMMYFUNCTION("""COMPUTED_VALUE"""),"NORMAL")</f>
        <v>NORMAL</v>
      </c>
      <c r="D688" s="5" t="str">
        <f>IFERROR(__xludf.DUMMYFUNCTION("""COMPUTED_VALUE"""),"MOUSSA NIAKHATE")</f>
        <v>MOUSSA NIAKHATE</v>
      </c>
      <c r="E688" s="5">
        <f>IFERROR(__xludf.DUMMYFUNCTION("""COMPUTED_VALUE"""),0.0)</f>
        <v>0</v>
      </c>
      <c r="F688" s="5">
        <f>IFERROR(__xludf.DUMMYFUNCTION("""COMPUTED_VALUE"""),0.0)</f>
        <v>0</v>
      </c>
    </row>
    <row r="689">
      <c r="A689" s="7" t="str">
        <f>IFERROR(__xludf.DUMMYFUNCTION("""COMPUTED_VALUE"""),"SEN05")</f>
        <v>SEN05</v>
      </c>
      <c r="B689" s="5" t="str">
        <f>IFERROR(__xludf.DUMMYFUNCTION("""COMPUTED_VALUE"""),"SENEGAL")</f>
        <v>SENEGAL</v>
      </c>
      <c r="C689" s="5" t="str">
        <f>IFERROR(__xludf.DUMMYFUNCTION("""COMPUTED_VALUE"""),"NORMAL")</f>
        <v>NORMAL</v>
      </c>
      <c r="D689" s="5" t="str">
        <f>IFERROR(__xludf.DUMMYFUNCTION("""COMPUTED_VALUE"""),"ABDOULAYE SECK")</f>
        <v>ABDOULAYE SECK</v>
      </c>
      <c r="E689" s="5">
        <f>IFERROR(__xludf.DUMMYFUNCTION("""COMPUTED_VALUE"""),0.0)</f>
        <v>0</v>
      </c>
      <c r="F689" s="5">
        <f>IFERROR(__xludf.DUMMYFUNCTION("""COMPUTED_VALUE"""),0.0)</f>
        <v>0</v>
      </c>
    </row>
    <row r="690">
      <c r="A690" s="7" t="str">
        <f>IFERROR(__xludf.DUMMYFUNCTION("""COMPUTED_VALUE"""),"SEN06")</f>
        <v>SEN06</v>
      </c>
      <c r="B690" s="5" t="str">
        <f>IFERROR(__xludf.DUMMYFUNCTION("""COMPUTED_VALUE"""),"SENEGAL")</f>
        <v>SENEGAL</v>
      </c>
      <c r="C690" s="5" t="str">
        <f>IFERROR(__xludf.DUMMYFUNCTION("""COMPUTED_VALUE"""),"NORMAL")</f>
        <v>NORMAL</v>
      </c>
      <c r="D690" s="5" t="str">
        <f>IFERROR(__xludf.DUMMYFUNCTION("""COMPUTED_VALUE"""),"ISMAIL JAKOBS")</f>
        <v>ISMAIL JAKOBS</v>
      </c>
      <c r="E690" s="5">
        <f>IFERROR(__xludf.DUMMYFUNCTION("""COMPUTED_VALUE"""),0.0)</f>
        <v>0</v>
      </c>
      <c r="F690" s="5">
        <f>IFERROR(__xludf.DUMMYFUNCTION("""COMPUTED_VALUE"""),0.0)</f>
        <v>0</v>
      </c>
    </row>
    <row r="691">
      <c r="A691" s="7" t="str">
        <f>IFERROR(__xludf.DUMMYFUNCTION("""COMPUTED_VALUE"""),"SEN07")</f>
        <v>SEN07</v>
      </c>
      <c r="B691" s="5" t="str">
        <f>IFERROR(__xludf.DUMMYFUNCTION("""COMPUTED_VALUE"""),"SENEGAL")</f>
        <v>SENEGAL</v>
      </c>
      <c r="C691" s="5" t="str">
        <f>IFERROR(__xludf.DUMMYFUNCTION("""COMPUTED_VALUE"""),"NORMAL")</f>
        <v>NORMAL</v>
      </c>
      <c r="D691" s="5" t="str">
        <f>IFERROR(__xludf.DUMMYFUNCTION("""COMPUTED_VALUE"""),"EL HADJI MALICK DIOUF")</f>
        <v>EL HADJI MALICK DIOUF</v>
      </c>
      <c r="E691" s="5">
        <f>IFERROR(__xludf.DUMMYFUNCTION("""COMPUTED_VALUE"""),0.0)</f>
        <v>0</v>
      </c>
      <c r="F691" s="5">
        <f>IFERROR(__xludf.DUMMYFUNCTION("""COMPUTED_VALUE"""),0.0)</f>
        <v>0</v>
      </c>
    </row>
    <row r="692">
      <c r="A692" s="7" t="str">
        <f>IFERROR(__xludf.DUMMYFUNCTION("""COMPUTED_VALUE"""),"SEN08")</f>
        <v>SEN08</v>
      </c>
      <c r="B692" s="5" t="str">
        <f>IFERROR(__xludf.DUMMYFUNCTION("""COMPUTED_VALUE"""),"SENEGAL")</f>
        <v>SENEGAL</v>
      </c>
      <c r="C692" s="5" t="str">
        <f>IFERROR(__xludf.DUMMYFUNCTION("""COMPUTED_VALUE"""),"NORMAL")</f>
        <v>NORMAL</v>
      </c>
      <c r="D692" s="5" t="str">
        <f>IFERROR(__xludf.DUMMYFUNCTION("""COMPUTED_VALUE"""),"KALIDOU KOULIBALY")</f>
        <v>KALIDOU KOULIBALY</v>
      </c>
      <c r="E692" s="5">
        <f>IFERROR(__xludf.DUMMYFUNCTION("""COMPUTED_VALUE"""),0.0)</f>
        <v>0</v>
      </c>
      <c r="F692" s="5">
        <f>IFERROR(__xludf.DUMMYFUNCTION("""COMPUTED_VALUE"""),0.0)</f>
        <v>0</v>
      </c>
    </row>
    <row r="693">
      <c r="A693" s="7" t="str">
        <f>IFERROR(__xludf.DUMMYFUNCTION("""COMPUTED_VALUE"""),"SEN09")</f>
        <v>SEN09</v>
      </c>
      <c r="B693" s="5" t="str">
        <f>IFERROR(__xludf.DUMMYFUNCTION("""COMPUTED_VALUE"""),"SENEGAL")</f>
        <v>SENEGAL</v>
      </c>
      <c r="C693" s="5" t="str">
        <f>IFERROR(__xludf.DUMMYFUNCTION("""COMPUTED_VALUE"""),"NORMAL")</f>
        <v>NORMAL</v>
      </c>
      <c r="D693" s="5" t="str">
        <f>IFERROR(__xludf.DUMMYFUNCTION("""COMPUTED_VALUE"""),"IDRISSA GANA GUEYE")</f>
        <v>IDRISSA GANA GUEYE</v>
      </c>
      <c r="E693" s="5">
        <f>IFERROR(__xludf.DUMMYFUNCTION("""COMPUTED_VALUE"""),0.0)</f>
        <v>0</v>
      </c>
      <c r="F693" s="5">
        <f>IFERROR(__xludf.DUMMYFUNCTION("""COMPUTED_VALUE"""),0.0)</f>
        <v>0</v>
      </c>
    </row>
    <row r="694">
      <c r="A694" s="7" t="str">
        <f>IFERROR(__xludf.DUMMYFUNCTION("""COMPUTED_VALUE"""),"SEN10")</f>
        <v>SEN10</v>
      </c>
      <c r="B694" s="5" t="str">
        <f>IFERROR(__xludf.DUMMYFUNCTION("""COMPUTED_VALUE"""),"SENEGAL")</f>
        <v>SENEGAL</v>
      </c>
      <c r="C694" s="5" t="str">
        <f>IFERROR(__xludf.DUMMYFUNCTION("""COMPUTED_VALUE"""),"NORMAL")</f>
        <v>NORMAL</v>
      </c>
      <c r="D694" s="5" t="str">
        <f>IFERROR(__xludf.DUMMYFUNCTION("""COMPUTED_VALUE"""),"PAPE MATAR SARR")</f>
        <v>PAPE MATAR SARR</v>
      </c>
      <c r="E694" s="5">
        <f>IFERROR(__xludf.DUMMYFUNCTION("""COMPUTED_VALUE"""),0.0)</f>
        <v>0</v>
      </c>
      <c r="F694" s="5">
        <f>IFERROR(__xludf.DUMMYFUNCTION("""COMPUTED_VALUE"""),0.0)</f>
        <v>0</v>
      </c>
    </row>
    <row r="695">
      <c r="A695" s="7" t="str">
        <f>IFERROR(__xludf.DUMMYFUNCTION("""COMPUTED_VALUE"""),"SEN11")</f>
        <v>SEN11</v>
      </c>
      <c r="B695" s="5" t="str">
        <f>IFERROR(__xludf.DUMMYFUNCTION("""COMPUTED_VALUE"""),"SENEGAL")</f>
        <v>SENEGAL</v>
      </c>
      <c r="C695" s="5" t="str">
        <f>IFERROR(__xludf.DUMMYFUNCTION("""COMPUTED_VALUE"""),"NORMAL")</f>
        <v>NORMAL</v>
      </c>
      <c r="D695" s="5" t="str">
        <f>IFERROR(__xludf.DUMMYFUNCTION("""COMPUTED_VALUE"""),"PAPE GUEYE")</f>
        <v>PAPE GUEYE</v>
      </c>
      <c r="E695" s="5">
        <f>IFERROR(__xludf.DUMMYFUNCTION("""COMPUTED_VALUE"""),0.0)</f>
        <v>0</v>
      </c>
      <c r="F695" s="5">
        <f>IFERROR(__xludf.DUMMYFUNCTION("""COMPUTED_VALUE"""),0.0)</f>
        <v>0</v>
      </c>
    </row>
    <row r="696">
      <c r="A696" s="7" t="str">
        <f>IFERROR(__xludf.DUMMYFUNCTION("""COMPUTED_VALUE"""),"SEN12")</f>
        <v>SEN12</v>
      </c>
      <c r="B696" s="5" t="str">
        <f>IFERROR(__xludf.DUMMYFUNCTION("""COMPUTED_VALUE"""),"SENEGAL")</f>
        <v>SENEGAL</v>
      </c>
      <c r="C696" s="5" t="str">
        <f>IFERROR(__xludf.DUMMYFUNCTION("""COMPUTED_VALUE"""),"NORMAL")</f>
        <v>NORMAL</v>
      </c>
      <c r="D696" s="5" t="str">
        <f>IFERROR(__xludf.DUMMYFUNCTION("""COMPUTED_VALUE"""),"HABIB DIARRA")</f>
        <v>HABIB DIARRA</v>
      </c>
      <c r="E696" s="5">
        <f>IFERROR(__xludf.DUMMYFUNCTION("""COMPUTED_VALUE"""),0.0)</f>
        <v>0</v>
      </c>
      <c r="F696" s="5">
        <f>IFERROR(__xludf.DUMMYFUNCTION("""COMPUTED_VALUE"""),0.0)</f>
        <v>0</v>
      </c>
    </row>
    <row r="697">
      <c r="A697" s="7" t="str">
        <f>IFERROR(__xludf.DUMMYFUNCTION("""COMPUTED_VALUE"""),"SEN13")</f>
        <v>SEN13</v>
      </c>
      <c r="B697" s="5" t="str">
        <f>IFERROR(__xludf.DUMMYFUNCTION("""COMPUTED_VALUE"""),"SENEGAL")</f>
        <v>SENEGAL</v>
      </c>
      <c r="C697" s="5" t="str">
        <f>IFERROR(__xludf.DUMMYFUNCTION("""COMPUTED_VALUE"""),"TEAM")</f>
        <v>TEAM</v>
      </c>
      <c r="D697" s="5" t="str">
        <f>IFERROR(__xludf.DUMMYFUNCTION("""COMPUTED_VALUE"""),"SENEGAL NATIONAL TEAM")</f>
        <v>SENEGAL NATIONAL TEAM</v>
      </c>
      <c r="E697" s="5">
        <f>IFERROR(__xludf.DUMMYFUNCTION("""COMPUTED_VALUE"""),0.0)</f>
        <v>0</v>
      </c>
      <c r="F697" s="5">
        <f>IFERROR(__xludf.DUMMYFUNCTION("""COMPUTED_VALUE"""),0.0)</f>
        <v>0</v>
      </c>
    </row>
    <row r="698">
      <c r="A698" s="7" t="str">
        <f>IFERROR(__xludf.DUMMYFUNCTION("""COMPUTED_VALUE"""),"SEN14")</f>
        <v>SEN14</v>
      </c>
      <c r="B698" s="5" t="str">
        <f>IFERROR(__xludf.DUMMYFUNCTION("""COMPUTED_VALUE"""),"SENEGAL")</f>
        <v>SENEGAL</v>
      </c>
      <c r="C698" s="5" t="str">
        <f>IFERROR(__xludf.DUMMYFUNCTION("""COMPUTED_VALUE"""),"NORMAL")</f>
        <v>NORMAL</v>
      </c>
      <c r="D698" s="5" t="str">
        <f>IFERROR(__xludf.DUMMYFUNCTION("""COMPUTED_VALUE"""),"LAMINE CAMARA")</f>
        <v>LAMINE CAMARA</v>
      </c>
      <c r="E698" s="5">
        <f>IFERROR(__xludf.DUMMYFUNCTION("""COMPUTED_VALUE"""),0.0)</f>
        <v>0</v>
      </c>
      <c r="F698" s="5">
        <f>IFERROR(__xludf.DUMMYFUNCTION("""COMPUTED_VALUE"""),0.0)</f>
        <v>0</v>
      </c>
    </row>
    <row r="699">
      <c r="A699" s="7" t="str">
        <f>IFERROR(__xludf.DUMMYFUNCTION("""COMPUTED_VALUE"""),"SEN15")</f>
        <v>SEN15</v>
      </c>
      <c r="B699" s="5" t="str">
        <f>IFERROR(__xludf.DUMMYFUNCTION("""COMPUTED_VALUE"""),"SENEGAL")</f>
        <v>SENEGAL</v>
      </c>
      <c r="C699" s="5" t="str">
        <f>IFERROR(__xludf.DUMMYFUNCTION("""COMPUTED_VALUE"""),"NORMAL")</f>
        <v>NORMAL</v>
      </c>
      <c r="D699" s="5" t="str">
        <f>IFERROR(__xludf.DUMMYFUNCTION("""COMPUTED_VALUE"""),"SADIO MANE")</f>
        <v>SADIO MANE</v>
      </c>
      <c r="E699" s="5">
        <f>IFERROR(__xludf.DUMMYFUNCTION("""COMPUTED_VALUE"""),0.0)</f>
        <v>0</v>
      </c>
      <c r="F699" s="5">
        <f>IFERROR(__xludf.DUMMYFUNCTION("""COMPUTED_VALUE"""),0.0)</f>
        <v>0</v>
      </c>
    </row>
    <row r="700">
      <c r="A700" s="7" t="str">
        <f>IFERROR(__xludf.DUMMYFUNCTION("""COMPUTED_VALUE"""),"SEN16")</f>
        <v>SEN16</v>
      </c>
      <c r="B700" s="5" t="str">
        <f>IFERROR(__xludf.DUMMYFUNCTION("""COMPUTED_VALUE"""),"SENEGAL")</f>
        <v>SENEGAL</v>
      </c>
      <c r="C700" s="5" t="str">
        <f>IFERROR(__xludf.DUMMYFUNCTION("""COMPUTED_VALUE"""),"NORMAL")</f>
        <v>NORMAL</v>
      </c>
      <c r="D700" s="5" t="str">
        <f>IFERROR(__xludf.DUMMYFUNCTION("""COMPUTED_VALUE"""),"ISMAILA SARR")</f>
        <v>ISMAILA SARR</v>
      </c>
      <c r="E700" s="5">
        <f>IFERROR(__xludf.DUMMYFUNCTION("""COMPUTED_VALUE"""),0.0)</f>
        <v>0</v>
      </c>
      <c r="F700" s="5">
        <f>IFERROR(__xludf.DUMMYFUNCTION("""COMPUTED_VALUE"""),0.0)</f>
        <v>0</v>
      </c>
    </row>
    <row r="701">
      <c r="A701" s="7" t="str">
        <f>IFERROR(__xludf.DUMMYFUNCTION("""COMPUTED_VALUE"""),"SEN17")</f>
        <v>SEN17</v>
      </c>
      <c r="B701" s="5" t="str">
        <f>IFERROR(__xludf.DUMMYFUNCTION("""COMPUTED_VALUE"""),"SENEGAL")</f>
        <v>SENEGAL</v>
      </c>
      <c r="C701" s="5" t="str">
        <f>IFERROR(__xludf.DUMMYFUNCTION("""COMPUTED_VALUE"""),"NORMAL")</f>
        <v>NORMAL</v>
      </c>
      <c r="D701" s="5" t="str">
        <f>IFERROR(__xludf.DUMMYFUNCTION("""COMPUTED_VALUE"""),"BOULAYE DIA")</f>
        <v>BOULAYE DIA</v>
      </c>
      <c r="E701" s="5">
        <f>IFERROR(__xludf.DUMMYFUNCTION("""COMPUTED_VALUE"""),0.0)</f>
        <v>0</v>
      </c>
      <c r="F701" s="5">
        <f>IFERROR(__xludf.DUMMYFUNCTION("""COMPUTED_VALUE"""),0.0)</f>
        <v>0</v>
      </c>
    </row>
    <row r="702">
      <c r="A702" s="7" t="str">
        <f>IFERROR(__xludf.DUMMYFUNCTION("""COMPUTED_VALUE"""),"SEN18")</f>
        <v>SEN18</v>
      </c>
      <c r="B702" s="5" t="str">
        <f>IFERROR(__xludf.DUMMYFUNCTION("""COMPUTED_VALUE"""),"SENEGAL")</f>
        <v>SENEGAL</v>
      </c>
      <c r="C702" s="5" t="str">
        <f>IFERROR(__xludf.DUMMYFUNCTION("""COMPUTED_VALUE"""),"NORMAL")</f>
        <v>NORMAL</v>
      </c>
      <c r="D702" s="5" t="str">
        <f>IFERROR(__xludf.DUMMYFUNCTION("""COMPUTED_VALUE"""),"ILIMAN NDIAYE")</f>
        <v>ILIMAN NDIAYE</v>
      </c>
      <c r="E702" s="5">
        <f>IFERROR(__xludf.DUMMYFUNCTION("""COMPUTED_VALUE"""),0.0)</f>
        <v>0</v>
      </c>
      <c r="F702" s="5">
        <f>IFERROR(__xludf.DUMMYFUNCTION("""COMPUTED_VALUE"""),0.0)</f>
        <v>0</v>
      </c>
    </row>
    <row r="703">
      <c r="A703" s="7" t="str">
        <f>IFERROR(__xludf.DUMMYFUNCTION("""COMPUTED_VALUE"""),"SEN19")</f>
        <v>SEN19</v>
      </c>
      <c r="B703" s="5" t="str">
        <f>IFERROR(__xludf.DUMMYFUNCTION("""COMPUTED_VALUE"""),"SENEGAL")</f>
        <v>SENEGAL</v>
      </c>
      <c r="C703" s="5" t="str">
        <f>IFERROR(__xludf.DUMMYFUNCTION("""COMPUTED_VALUE"""),"NORMAL")</f>
        <v>NORMAL</v>
      </c>
      <c r="D703" s="5" t="str">
        <f>IFERROR(__xludf.DUMMYFUNCTION("""COMPUTED_VALUE"""),"NICOLAS JACKSON")</f>
        <v>NICOLAS JACKSON</v>
      </c>
      <c r="E703" s="5">
        <f>IFERROR(__xludf.DUMMYFUNCTION("""COMPUTED_VALUE"""),0.0)</f>
        <v>0</v>
      </c>
      <c r="F703" s="5">
        <f>IFERROR(__xludf.DUMMYFUNCTION("""COMPUTED_VALUE"""),0.0)</f>
        <v>0</v>
      </c>
    </row>
    <row r="704">
      <c r="A704" s="7" t="str">
        <f>IFERROR(__xludf.DUMMYFUNCTION("""COMPUTED_VALUE"""),"SEN20")</f>
        <v>SEN20</v>
      </c>
      <c r="B704" s="5" t="str">
        <f>IFERROR(__xludf.DUMMYFUNCTION("""COMPUTED_VALUE"""),"SENEGAL")</f>
        <v>SENEGAL</v>
      </c>
      <c r="C704" s="5" t="str">
        <f>IFERROR(__xludf.DUMMYFUNCTION("""COMPUTED_VALUE"""),"NORMAL")</f>
        <v>NORMAL</v>
      </c>
      <c r="D704" s="5" t="str">
        <f>IFERROR(__xludf.DUMMYFUNCTION("""COMPUTED_VALUE"""),"KREPIN DIATTA")</f>
        <v>KREPIN DIATTA</v>
      </c>
      <c r="E704" s="5">
        <f>IFERROR(__xludf.DUMMYFUNCTION("""COMPUTED_VALUE"""),0.0)</f>
        <v>0</v>
      </c>
      <c r="F704" s="5">
        <f>IFERROR(__xludf.DUMMYFUNCTION("""COMPUTED_VALUE"""),0.0)</f>
        <v>0</v>
      </c>
    </row>
    <row r="705">
      <c r="A705" s="5" t="str">
        <f>IFERROR(__xludf.DUMMYFUNCTION("""COMPUTED_VALUE"""),"IRQ01")</f>
        <v>IRQ01</v>
      </c>
      <c r="B705" s="5" t="str">
        <f>IFERROR(__xludf.DUMMYFUNCTION("""COMPUTED_VALUE"""),"IRAQ")</f>
        <v>IRAQ</v>
      </c>
      <c r="C705" s="5" t="str">
        <f>IFERROR(__xludf.DUMMYFUNCTION("""COMPUTED_VALUE"""),"BADGE")</f>
        <v>BADGE</v>
      </c>
      <c r="D705" s="5" t="str">
        <f>IFERROR(__xludf.DUMMYFUNCTION("""COMPUTED_VALUE"""),"IRAQ NATIONAL TEAM")</f>
        <v>IRAQ NATIONAL TEAM</v>
      </c>
      <c r="E705" s="5">
        <f>IFERROR(__xludf.DUMMYFUNCTION("""COMPUTED_VALUE"""),0.0)</f>
        <v>0</v>
      </c>
      <c r="F705" s="5">
        <f>IFERROR(__xludf.DUMMYFUNCTION("""COMPUTED_VALUE"""),0.0)</f>
        <v>0</v>
      </c>
    </row>
    <row r="706">
      <c r="A706" s="5" t="str">
        <f>IFERROR(__xludf.DUMMYFUNCTION("""COMPUTED_VALUE"""),"IRQ02")</f>
        <v>IRQ02</v>
      </c>
      <c r="B706" s="5" t="str">
        <f>IFERROR(__xludf.DUMMYFUNCTION("""COMPUTED_VALUE"""),"IRAQ")</f>
        <v>IRAQ</v>
      </c>
      <c r="C706" s="5" t="str">
        <f>IFERROR(__xludf.DUMMYFUNCTION("""COMPUTED_VALUE"""),"NORMAL")</f>
        <v>NORMAL</v>
      </c>
      <c r="D706" s="5" t="str">
        <f>IFERROR(__xludf.DUMMYFUNCTION("""COMPUTED_VALUE"""),"JALAL HASSAN")</f>
        <v>JALAL HASSAN</v>
      </c>
      <c r="E706" s="5">
        <f>IFERROR(__xludf.DUMMYFUNCTION("""COMPUTED_VALUE"""),0.0)</f>
        <v>0</v>
      </c>
      <c r="F706" s="5">
        <f>IFERROR(__xludf.DUMMYFUNCTION("""COMPUTED_VALUE"""),0.0)</f>
        <v>0</v>
      </c>
    </row>
    <row r="707">
      <c r="A707" s="5" t="str">
        <f>IFERROR(__xludf.DUMMYFUNCTION("""COMPUTED_VALUE"""),"IRQ03")</f>
        <v>IRQ03</v>
      </c>
      <c r="B707" s="5" t="str">
        <f>IFERROR(__xludf.DUMMYFUNCTION("""COMPUTED_VALUE"""),"IRAQ")</f>
        <v>IRAQ</v>
      </c>
      <c r="C707" s="5" t="str">
        <f>IFERROR(__xludf.DUMMYFUNCTION("""COMPUTED_VALUE"""),"NORMAL")</f>
        <v>NORMAL</v>
      </c>
      <c r="D707" s="5" t="str">
        <f>IFERROR(__xludf.DUMMYFUNCTION("""COMPUTED_VALUE"""),"REBIN SULAKA")</f>
        <v>REBIN SULAKA</v>
      </c>
      <c r="E707" s="5">
        <f>IFERROR(__xludf.DUMMYFUNCTION("""COMPUTED_VALUE"""),0.0)</f>
        <v>0</v>
      </c>
      <c r="F707" s="5">
        <f>IFERROR(__xludf.DUMMYFUNCTION("""COMPUTED_VALUE"""),0.0)</f>
        <v>0</v>
      </c>
    </row>
    <row r="708">
      <c r="A708" s="5" t="str">
        <f>IFERROR(__xludf.DUMMYFUNCTION("""COMPUTED_VALUE"""),"IRQ04")</f>
        <v>IRQ04</v>
      </c>
      <c r="B708" s="5" t="str">
        <f>IFERROR(__xludf.DUMMYFUNCTION("""COMPUTED_VALUE"""),"IRAQ")</f>
        <v>IRAQ</v>
      </c>
      <c r="C708" s="5" t="str">
        <f>IFERROR(__xludf.DUMMYFUNCTION("""COMPUTED_VALUE"""),"NORMAL")</f>
        <v>NORMAL</v>
      </c>
      <c r="D708" s="5" t="str">
        <f>IFERROR(__xludf.DUMMYFUNCTION("""COMPUTED_VALUE"""),"HUSSEIN ALI")</f>
        <v>HUSSEIN ALI</v>
      </c>
      <c r="E708" s="5">
        <f>IFERROR(__xludf.DUMMYFUNCTION("""COMPUTED_VALUE"""),0.0)</f>
        <v>0</v>
      </c>
      <c r="F708" s="5">
        <f>IFERROR(__xludf.DUMMYFUNCTION("""COMPUTED_VALUE"""),0.0)</f>
        <v>0</v>
      </c>
    </row>
    <row r="709">
      <c r="A709" s="5" t="str">
        <f>IFERROR(__xludf.DUMMYFUNCTION("""COMPUTED_VALUE"""),"IRQ05")</f>
        <v>IRQ05</v>
      </c>
      <c r="B709" s="5" t="str">
        <f>IFERROR(__xludf.DUMMYFUNCTION("""COMPUTED_VALUE"""),"IRAQ")</f>
        <v>IRAQ</v>
      </c>
      <c r="C709" s="5" t="str">
        <f>IFERROR(__xludf.DUMMYFUNCTION("""COMPUTED_VALUE"""),"NORMAL")</f>
        <v>NORMAL</v>
      </c>
      <c r="D709" s="5" t="str">
        <f>IFERROR(__xludf.DUMMYFUNCTION("""COMPUTED_VALUE"""),"AKAM HASHEM")</f>
        <v>AKAM HASHEM</v>
      </c>
      <c r="E709" s="5">
        <f>IFERROR(__xludf.DUMMYFUNCTION("""COMPUTED_VALUE"""),0.0)</f>
        <v>0</v>
      </c>
      <c r="F709" s="5">
        <f>IFERROR(__xludf.DUMMYFUNCTION("""COMPUTED_VALUE"""),0.0)</f>
        <v>0</v>
      </c>
    </row>
    <row r="710">
      <c r="A710" s="5" t="str">
        <f>IFERROR(__xludf.DUMMYFUNCTION("""COMPUTED_VALUE"""),"IRQ06")</f>
        <v>IRQ06</v>
      </c>
      <c r="B710" s="5" t="str">
        <f>IFERROR(__xludf.DUMMYFUNCTION("""COMPUTED_VALUE"""),"IRAQ")</f>
        <v>IRAQ</v>
      </c>
      <c r="C710" s="5" t="str">
        <f>IFERROR(__xludf.DUMMYFUNCTION("""COMPUTED_VALUE"""),"NORMAL")</f>
        <v>NORMAL</v>
      </c>
      <c r="D710" s="5" t="str">
        <f>IFERROR(__xludf.DUMMYFUNCTION("""COMPUTED_VALUE"""),"MERCHAS DOSKI")</f>
        <v>MERCHAS DOSKI</v>
      </c>
      <c r="E710" s="5">
        <f>IFERROR(__xludf.DUMMYFUNCTION("""COMPUTED_VALUE"""),0.0)</f>
        <v>0</v>
      </c>
      <c r="F710" s="5">
        <f>IFERROR(__xludf.DUMMYFUNCTION("""COMPUTED_VALUE"""),0.0)</f>
        <v>0</v>
      </c>
    </row>
    <row r="711">
      <c r="A711" s="5" t="str">
        <f>IFERROR(__xludf.DUMMYFUNCTION("""COMPUTED_VALUE"""),"IRQ07")</f>
        <v>IRQ07</v>
      </c>
      <c r="B711" s="5" t="str">
        <f>IFERROR(__xludf.DUMMYFUNCTION("""COMPUTED_VALUE"""),"IRAQ")</f>
        <v>IRAQ</v>
      </c>
      <c r="C711" s="5" t="str">
        <f>IFERROR(__xludf.DUMMYFUNCTION("""COMPUTED_VALUE"""),"NORMAL")</f>
        <v>NORMAL</v>
      </c>
      <c r="D711" s="5" t="str">
        <f>IFERROR(__xludf.DUMMYFUNCTION("""COMPUTED_VALUE"""),"ZAID TAHSEEN")</f>
        <v>ZAID TAHSEEN</v>
      </c>
      <c r="E711" s="5">
        <f>IFERROR(__xludf.DUMMYFUNCTION("""COMPUTED_VALUE"""),0.0)</f>
        <v>0</v>
      </c>
      <c r="F711" s="5">
        <f>IFERROR(__xludf.DUMMYFUNCTION("""COMPUTED_VALUE"""),0.0)</f>
        <v>0</v>
      </c>
    </row>
    <row r="712">
      <c r="A712" s="5" t="str">
        <f>IFERROR(__xludf.DUMMYFUNCTION("""COMPUTED_VALUE"""),"IRQ08")</f>
        <v>IRQ08</v>
      </c>
      <c r="B712" s="5" t="str">
        <f>IFERROR(__xludf.DUMMYFUNCTION("""COMPUTED_VALUE"""),"IRAQ")</f>
        <v>IRAQ</v>
      </c>
      <c r="C712" s="5" t="str">
        <f>IFERROR(__xludf.DUMMYFUNCTION("""COMPUTED_VALUE"""),"NORMAL")</f>
        <v>NORMAL</v>
      </c>
      <c r="D712" s="5" t="str">
        <f>IFERROR(__xludf.DUMMYFUNCTION("""COMPUTED_VALUE"""),"MANAF YOUNIS")</f>
        <v>MANAF YOUNIS</v>
      </c>
      <c r="E712" s="5">
        <f>IFERROR(__xludf.DUMMYFUNCTION("""COMPUTED_VALUE"""),0.0)</f>
        <v>0</v>
      </c>
      <c r="F712" s="5">
        <f>IFERROR(__xludf.DUMMYFUNCTION("""COMPUTED_VALUE"""),0.0)</f>
        <v>0</v>
      </c>
    </row>
    <row r="713">
      <c r="A713" s="5" t="str">
        <f>IFERROR(__xludf.DUMMYFUNCTION("""COMPUTED_VALUE"""),"IRQ09")</f>
        <v>IRQ09</v>
      </c>
      <c r="B713" s="5" t="str">
        <f>IFERROR(__xludf.DUMMYFUNCTION("""COMPUTED_VALUE"""),"IRAQ")</f>
        <v>IRAQ</v>
      </c>
      <c r="C713" s="5" t="str">
        <f>IFERROR(__xludf.DUMMYFUNCTION("""COMPUTED_VALUE"""),"NORMAL")</f>
        <v>NORMAL</v>
      </c>
      <c r="D713" s="5" t="str">
        <f>IFERROR(__xludf.DUMMYFUNCTION("""COMPUTED_VALUE"""),"ZIDANE IQBAL")</f>
        <v>ZIDANE IQBAL</v>
      </c>
      <c r="E713" s="5">
        <f>IFERROR(__xludf.DUMMYFUNCTION("""COMPUTED_VALUE"""),0.0)</f>
        <v>0</v>
      </c>
      <c r="F713" s="5">
        <f>IFERROR(__xludf.DUMMYFUNCTION("""COMPUTED_VALUE"""),0.0)</f>
        <v>0</v>
      </c>
    </row>
    <row r="714">
      <c r="A714" s="5" t="str">
        <f>IFERROR(__xludf.DUMMYFUNCTION("""COMPUTED_VALUE"""),"IRQ10")</f>
        <v>IRQ10</v>
      </c>
      <c r="B714" s="5" t="str">
        <f>IFERROR(__xludf.DUMMYFUNCTION("""COMPUTED_VALUE"""),"IRAQ")</f>
        <v>IRAQ</v>
      </c>
      <c r="C714" s="5" t="str">
        <f>IFERROR(__xludf.DUMMYFUNCTION("""COMPUTED_VALUE"""),"NORMAL")</f>
        <v>NORMAL</v>
      </c>
      <c r="D714" s="5" t="str">
        <f>IFERROR(__xludf.DUMMYFUNCTION("""COMPUTED_VALUE"""),"AMIR AL-AMMARI")</f>
        <v>AMIR AL-AMMARI</v>
      </c>
      <c r="E714" s="5">
        <f>IFERROR(__xludf.DUMMYFUNCTION("""COMPUTED_VALUE"""),0.0)</f>
        <v>0</v>
      </c>
      <c r="F714" s="5">
        <f>IFERROR(__xludf.DUMMYFUNCTION("""COMPUTED_VALUE"""),0.0)</f>
        <v>0</v>
      </c>
    </row>
    <row r="715">
      <c r="A715" s="5" t="str">
        <f>IFERROR(__xludf.DUMMYFUNCTION("""COMPUTED_VALUE"""),"IRQ11")</f>
        <v>IRQ11</v>
      </c>
      <c r="B715" s="5" t="str">
        <f>IFERROR(__xludf.DUMMYFUNCTION("""COMPUTED_VALUE"""),"IRAQ")</f>
        <v>IRAQ</v>
      </c>
      <c r="C715" s="5" t="str">
        <f>IFERROR(__xludf.DUMMYFUNCTION("""COMPUTED_VALUE"""),"NORMAL")</f>
        <v>NORMAL</v>
      </c>
      <c r="D715" s="5" t="str">
        <f>IFERROR(__xludf.DUMMYFUNCTION("""COMPUTED_VALUE"""),"IBRAHIM BAYESH")</f>
        <v>IBRAHIM BAYESH</v>
      </c>
      <c r="E715" s="5">
        <f>IFERROR(__xludf.DUMMYFUNCTION("""COMPUTED_VALUE"""),0.0)</f>
        <v>0</v>
      </c>
      <c r="F715" s="5">
        <f>IFERROR(__xludf.DUMMYFUNCTION("""COMPUTED_VALUE"""),0.0)</f>
        <v>0</v>
      </c>
    </row>
    <row r="716">
      <c r="A716" s="5" t="str">
        <f>IFERROR(__xludf.DUMMYFUNCTION("""COMPUTED_VALUE"""),"IRQ12")</f>
        <v>IRQ12</v>
      </c>
      <c r="B716" s="5" t="str">
        <f>IFERROR(__xludf.DUMMYFUNCTION("""COMPUTED_VALUE"""),"IRAQ")</f>
        <v>IRAQ</v>
      </c>
      <c r="C716" s="5" t="str">
        <f>IFERROR(__xludf.DUMMYFUNCTION("""COMPUTED_VALUE"""),"NORMAL")</f>
        <v>NORMAL</v>
      </c>
      <c r="D716" s="5" t="str">
        <f>IFERROR(__xludf.DUMMYFUNCTION("""COMPUTED_VALUE"""),"ALI JASIM")</f>
        <v>ALI JASIM</v>
      </c>
      <c r="E716" s="5">
        <f>IFERROR(__xludf.DUMMYFUNCTION("""COMPUTED_VALUE"""),0.0)</f>
        <v>0</v>
      </c>
      <c r="F716" s="5">
        <f>IFERROR(__xludf.DUMMYFUNCTION("""COMPUTED_VALUE"""),0.0)</f>
        <v>0</v>
      </c>
    </row>
    <row r="717">
      <c r="A717" s="5" t="str">
        <f>IFERROR(__xludf.DUMMYFUNCTION("""COMPUTED_VALUE"""),"IRQ13")</f>
        <v>IRQ13</v>
      </c>
      <c r="B717" s="5" t="str">
        <f>IFERROR(__xludf.DUMMYFUNCTION("""COMPUTED_VALUE"""),"IRAQ")</f>
        <v>IRAQ</v>
      </c>
      <c r="C717" s="5" t="str">
        <f>IFERROR(__xludf.DUMMYFUNCTION("""COMPUTED_VALUE"""),"TEAM")</f>
        <v>TEAM</v>
      </c>
      <c r="D717" s="5" t="str">
        <f>IFERROR(__xludf.DUMMYFUNCTION("""COMPUTED_VALUE"""),"IRAQ NATIONAL TEAM")</f>
        <v>IRAQ NATIONAL TEAM</v>
      </c>
      <c r="E717" s="5">
        <f>IFERROR(__xludf.DUMMYFUNCTION("""COMPUTED_VALUE"""),0.0)</f>
        <v>0</v>
      </c>
      <c r="F717" s="5">
        <f>IFERROR(__xludf.DUMMYFUNCTION("""COMPUTED_VALUE"""),0.0)</f>
        <v>0</v>
      </c>
    </row>
    <row r="718">
      <c r="A718" s="5" t="str">
        <f>IFERROR(__xludf.DUMMYFUNCTION("""COMPUTED_VALUE"""),"IRQ14")</f>
        <v>IRQ14</v>
      </c>
      <c r="B718" s="5" t="str">
        <f>IFERROR(__xludf.DUMMYFUNCTION("""COMPUTED_VALUE"""),"IRAQ")</f>
        <v>IRAQ</v>
      </c>
      <c r="C718" s="5" t="str">
        <f>IFERROR(__xludf.DUMMYFUNCTION("""COMPUTED_VALUE"""),"NORMAL")</f>
        <v>NORMAL</v>
      </c>
      <c r="D718" s="5" t="str">
        <f>IFERROR(__xludf.DUMMYFUNCTION("""COMPUTED_VALUE"""),"YOUSSEF AMYN")</f>
        <v>YOUSSEF AMYN</v>
      </c>
      <c r="E718" s="5">
        <f>IFERROR(__xludf.DUMMYFUNCTION("""COMPUTED_VALUE"""),0.0)</f>
        <v>0</v>
      </c>
      <c r="F718" s="5">
        <f>IFERROR(__xludf.DUMMYFUNCTION("""COMPUTED_VALUE"""),0.0)</f>
        <v>0</v>
      </c>
    </row>
    <row r="719">
      <c r="A719" s="5" t="str">
        <f>IFERROR(__xludf.DUMMYFUNCTION("""COMPUTED_VALUE"""),"IRQ15")</f>
        <v>IRQ15</v>
      </c>
      <c r="B719" s="5" t="str">
        <f>IFERROR(__xludf.DUMMYFUNCTION("""COMPUTED_VALUE"""),"IRAQ")</f>
        <v>IRAQ</v>
      </c>
      <c r="C719" s="5" t="str">
        <f>IFERROR(__xludf.DUMMYFUNCTION("""COMPUTED_VALUE"""),"NORMAL")</f>
        <v>NORMAL</v>
      </c>
      <c r="D719" s="5" t="str">
        <f>IFERROR(__xludf.DUMMYFUNCTION("""COMPUTED_VALUE"""),"AIMAR SHER")</f>
        <v>AIMAR SHER</v>
      </c>
      <c r="E719" s="5">
        <f>IFERROR(__xludf.DUMMYFUNCTION("""COMPUTED_VALUE"""),0.0)</f>
        <v>0</v>
      </c>
      <c r="F719" s="5">
        <f>IFERROR(__xludf.DUMMYFUNCTION("""COMPUTED_VALUE"""),0.0)</f>
        <v>0</v>
      </c>
    </row>
    <row r="720">
      <c r="A720" s="5" t="str">
        <f>IFERROR(__xludf.DUMMYFUNCTION("""COMPUTED_VALUE"""),"IRQ16")</f>
        <v>IRQ16</v>
      </c>
      <c r="B720" s="5" t="str">
        <f>IFERROR(__xludf.DUMMYFUNCTION("""COMPUTED_VALUE"""),"IRAQ")</f>
        <v>IRAQ</v>
      </c>
      <c r="C720" s="5" t="str">
        <f>IFERROR(__xludf.DUMMYFUNCTION("""COMPUTED_VALUE"""),"NORMAL")</f>
        <v>NORMAL</v>
      </c>
      <c r="D720" s="5" t="str">
        <f>IFERROR(__xludf.DUMMYFUNCTION("""COMPUTED_VALUE"""),"MARKO FARJI")</f>
        <v>MARKO FARJI</v>
      </c>
      <c r="E720" s="5">
        <f>IFERROR(__xludf.DUMMYFUNCTION("""COMPUTED_VALUE"""),0.0)</f>
        <v>0</v>
      </c>
      <c r="F720" s="5">
        <f>IFERROR(__xludf.DUMMYFUNCTION("""COMPUTED_VALUE"""),0.0)</f>
        <v>0</v>
      </c>
    </row>
    <row r="721">
      <c r="A721" s="5" t="str">
        <f>IFERROR(__xludf.DUMMYFUNCTION("""COMPUTED_VALUE"""),"IRQ17")</f>
        <v>IRQ17</v>
      </c>
      <c r="B721" s="5" t="str">
        <f>IFERROR(__xludf.DUMMYFUNCTION("""COMPUTED_VALUE"""),"IRAQ")</f>
        <v>IRAQ</v>
      </c>
      <c r="C721" s="5" t="str">
        <f>IFERROR(__xludf.DUMMYFUNCTION("""COMPUTED_VALUE"""),"NORMAL")</f>
        <v>NORMAL</v>
      </c>
      <c r="D721" s="5" t="str">
        <f>IFERROR(__xludf.DUMMYFUNCTION("""COMPUTED_VALUE"""),"OSAMA RASHID")</f>
        <v>OSAMA RASHID</v>
      </c>
      <c r="E721" s="5">
        <f>IFERROR(__xludf.DUMMYFUNCTION("""COMPUTED_VALUE"""),0.0)</f>
        <v>0</v>
      </c>
      <c r="F721" s="5">
        <f>IFERROR(__xludf.DUMMYFUNCTION("""COMPUTED_VALUE"""),0.0)</f>
        <v>0</v>
      </c>
    </row>
    <row r="722">
      <c r="A722" s="5" t="str">
        <f>IFERROR(__xludf.DUMMYFUNCTION("""COMPUTED_VALUE"""),"IRQ18")</f>
        <v>IRQ18</v>
      </c>
      <c r="B722" s="5" t="str">
        <f>IFERROR(__xludf.DUMMYFUNCTION("""COMPUTED_VALUE"""),"IRAQ")</f>
        <v>IRAQ</v>
      </c>
      <c r="C722" s="5" t="str">
        <f>IFERROR(__xludf.DUMMYFUNCTION("""COMPUTED_VALUE"""),"NORMAL")</f>
        <v>NORMAL</v>
      </c>
      <c r="D722" s="5" t="str">
        <f>IFERROR(__xludf.DUMMYFUNCTION("""COMPUTED_VALUE"""),"ALI AL-HAMADI")</f>
        <v>ALI AL-HAMADI</v>
      </c>
      <c r="E722" s="5">
        <f>IFERROR(__xludf.DUMMYFUNCTION("""COMPUTED_VALUE"""),0.0)</f>
        <v>0</v>
      </c>
      <c r="F722" s="5">
        <f>IFERROR(__xludf.DUMMYFUNCTION("""COMPUTED_VALUE"""),0.0)</f>
        <v>0</v>
      </c>
    </row>
    <row r="723">
      <c r="A723" s="5" t="str">
        <f>IFERROR(__xludf.DUMMYFUNCTION("""COMPUTED_VALUE"""),"IRQ19")</f>
        <v>IRQ19</v>
      </c>
      <c r="B723" s="5" t="str">
        <f>IFERROR(__xludf.DUMMYFUNCTION("""COMPUTED_VALUE"""),"IRAQ")</f>
        <v>IRAQ</v>
      </c>
      <c r="C723" s="5" t="str">
        <f>IFERROR(__xludf.DUMMYFUNCTION("""COMPUTED_VALUE"""),"NORMAL")</f>
        <v>NORMAL</v>
      </c>
      <c r="D723" s="5" t="str">
        <f>IFERROR(__xludf.DUMMYFUNCTION("""COMPUTED_VALUE"""),"AYMEN HUSSEIN")</f>
        <v>AYMEN HUSSEIN</v>
      </c>
      <c r="E723" s="5">
        <f>IFERROR(__xludf.DUMMYFUNCTION("""COMPUTED_VALUE"""),0.0)</f>
        <v>0</v>
      </c>
      <c r="F723" s="5">
        <f>IFERROR(__xludf.DUMMYFUNCTION("""COMPUTED_VALUE"""),0.0)</f>
        <v>0</v>
      </c>
    </row>
    <row r="724">
      <c r="A724" s="5" t="str">
        <f>IFERROR(__xludf.DUMMYFUNCTION("""COMPUTED_VALUE"""),"IRQ20")</f>
        <v>IRQ20</v>
      </c>
      <c r="B724" s="5" t="str">
        <f>IFERROR(__xludf.DUMMYFUNCTION("""COMPUTED_VALUE"""),"IRAQ")</f>
        <v>IRAQ</v>
      </c>
      <c r="C724" s="5" t="str">
        <f>IFERROR(__xludf.DUMMYFUNCTION("""COMPUTED_VALUE"""),"NORMAL")</f>
        <v>NORMAL</v>
      </c>
      <c r="D724" s="5" t="str">
        <f>IFERROR(__xludf.DUMMYFUNCTION("""COMPUTED_VALUE"""),"MOHANAD ALI")</f>
        <v>MOHANAD ALI</v>
      </c>
      <c r="E724" s="5">
        <f>IFERROR(__xludf.DUMMYFUNCTION("""COMPUTED_VALUE"""),0.0)</f>
        <v>0</v>
      </c>
      <c r="F724" s="5">
        <f>IFERROR(__xludf.DUMMYFUNCTION("""COMPUTED_VALUE"""),0.0)</f>
        <v>0</v>
      </c>
    </row>
    <row r="725">
      <c r="A725" s="5" t="str">
        <f>IFERROR(__xludf.DUMMYFUNCTION("""COMPUTED_VALUE"""),"NOR01")</f>
        <v>NOR01</v>
      </c>
      <c r="B725" s="5" t="str">
        <f>IFERROR(__xludf.DUMMYFUNCTION("""COMPUTED_VALUE"""),"NORWAY")</f>
        <v>NORWAY</v>
      </c>
      <c r="C725" s="5" t="str">
        <f>IFERROR(__xludf.DUMMYFUNCTION("""COMPUTED_VALUE"""),"BADGE")</f>
        <v>BADGE</v>
      </c>
      <c r="D725" s="5" t="str">
        <f>IFERROR(__xludf.DUMMYFUNCTION("""COMPUTED_VALUE"""),"NORWAY NATIONAL TEAM")</f>
        <v>NORWAY NATIONAL TEAM</v>
      </c>
      <c r="E725" s="5">
        <f>IFERROR(__xludf.DUMMYFUNCTION("""COMPUTED_VALUE"""),0.0)</f>
        <v>0</v>
      </c>
      <c r="F725" s="5">
        <f>IFERROR(__xludf.DUMMYFUNCTION("""COMPUTED_VALUE"""),0.0)</f>
        <v>0</v>
      </c>
    </row>
    <row r="726">
      <c r="A726" s="5" t="str">
        <f>IFERROR(__xludf.DUMMYFUNCTION("""COMPUTED_VALUE"""),"NOR02")</f>
        <v>NOR02</v>
      </c>
      <c r="B726" s="5" t="str">
        <f>IFERROR(__xludf.DUMMYFUNCTION("""COMPUTED_VALUE"""),"NORWAY")</f>
        <v>NORWAY</v>
      </c>
      <c r="C726" s="5" t="str">
        <f>IFERROR(__xludf.DUMMYFUNCTION("""COMPUTED_VALUE"""),"NORMAL")</f>
        <v>NORMAL</v>
      </c>
      <c r="D726" s="5" t="str">
        <f>IFERROR(__xludf.DUMMYFUNCTION("""COMPUTED_VALUE"""),"ORJAN NYLAND")</f>
        <v>ORJAN NYLAND</v>
      </c>
      <c r="E726" s="5">
        <f>IFERROR(__xludf.DUMMYFUNCTION("""COMPUTED_VALUE"""),0.0)</f>
        <v>0</v>
      </c>
      <c r="F726" s="5">
        <f>IFERROR(__xludf.DUMMYFUNCTION("""COMPUTED_VALUE"""),0.0)</f>
        <v>0</v>
      </c>
    </row>
    <row r="727">
      <c r="A727" s="5" t="str">
        <f>IFERROR(__xludf.DUMMYFUNCTION("""COMPUTED_VALUE"""),"NOR03")</f>
        <v>NOR03</v>
      </c>
      <c r="B727" s="5" t="str">
        <f>IFERROR(__xludf.DUMMYFUNCTION("""COMPUTED_VALUE"""),"NORWAY")</f>
        <v>NORWAY</v>
      </c>
      <c r="C727" s="5" t="str">
        <f>IFERROR(__xludf.DUMMYFUNCTION("""COMPUTED_VALUE"""),"NORMAL")</f>
        <v>NORMAL</v>
      </c>
      <c r="D727" s="5" t="str">
        <f>IFERROR(__xludf.DUMMYFUNCTION("""COMPUTED_VALUE"""),"JULIAN RYERSON")</f>
        <v>JULIAN RYERSON</v>
      </c>
      <c r="E727" s="5">
        <f>IFERROR(__xludf.DUMMYFUNCTION("""COMPUTED_VALUE"""),0.0)</f>
        <v>0</v>
      </c>
      <c r="F727" s="5">
        <f>IFERROR(__xludf.DUMMYFUNCTION("""COMPUTED_VALUE"""),0.0)</f>
        <v>0</v>
      </c>
    </row>
    <row r="728">
      <c r="A728" s="5" t="str">
        <f>IFERROR(__xludf.DUMMYFUNCTION("""COMPUTED_VALUE"""),"NOR04")</f>
        <v>NOR04</v>
      </c>
      <c r="B728" s="5" t="str">
        <f>IFERROR(__xludf.DUMMYFUNCTION("""COMPUTED_VALUE"""),"NORWAY")</f>
        <v>NORWAY</v>
      </c>
      <c r="C728" s="5" t="str">
        <f>IFERROR(__xludf.DUMMYFUNCTION("""COMPUTED_VALUE"""),"NORMAL")</f>
        <v>NORMAL</v>
      </c>
      <c r="D728" s="5" t="str">
        <f>IFERROR(__xludf.DUMMYFUNCTION("""COMPUTED_VALUE"""),"LEO OSTIGARD")</f>
        <v>LEO OSTIGARD</v>
      </c>
      <c r="E728" s="5">
        <f>IFERROR(__xludf.DUMMYFUNCTION("""COMPUTED_VALUE"""),0.0)</f>
        <v>0</v>
      </c>
      <c r="F728" s="5">
        <f>IFERROR(__xludf.DUMMYFUNCTION("""COMPUTED_VALUE"""),0.0)</f>
        <v>0</v>
      </c>
    </row>
    <row r="729">
      <c r="A729" s="5" t="str">
        <f>IFERROR(__xludf.DUMMYFUNCTION("""COMPUTED_VALUE"""),"NOR05")</f>
        <v>NOR05</v>
      </c>
      <c r="B729" s="5" t="str">
        <f>IFERROR(__xludf.DUMMYFUNCTION("""COMPUTED_VALUE"""),"NORWAY")</f>
        <v>NORWAY</v>
      </c>
      <c r="C729" s="5" t="str">
        <f>IFERROR(__xludf.DUMMYFUNCTION("""COMPUTED_VALUE"""),"NORMAL")</f>
        <v>NORMAL</v>
      </c>
      <c r="D729" s="5" t="str">
        <f>IFERROR(__xludf.DUMMYFUNCTION("""COMPUTED_VALUE"""),"KRISTOFFER VASSBAKK AJER")</f>
        <v>KRISTOFFER VASSBAKK AJER</v>
      </c>
      <c r="E729" s="5">
        <f>IFERROR(__xludf.DUMMYFUNCTION("""COMPUTED_VALUE"""),0.0)</f>
        <v>0</v>
      </c>
      <c r="F729" s="5">
        <f>IFERROR(__xludf.DUMMYFUNCTION("""COMPUTED_VALUE"""),0.0)</f>
        <v>0</v>
      </c>
    </row>
    <row r="730">
      <c r="A730" s="5" t="str">
        <f>IFERROR(__xludf.DUMMYFUNCTION("""COMPUTED_VALUE"""),"NOR06")</f>
        <v>NOR06</v>
      </c>
      <c r="B730" s="5" t="str">
        <f>IFERROR(__xludf.DUMMYFUNCTION("""COMPUTED_VALUE"""),"NORWAY")</f>
        <v>NORWAY</v>
      </c>
      <c r="C730" s="5" t="str">
        <f>IFERROR(__xludf.DUMMYFUNCTION("""COMPUTED_VALUE"""),"NORMAL")</f>
        <v>NORMAL</v>
      </c>
      <c r="D730" s="5" t="str">
        <f>IFERROR(__xludf.DUMMYFUNCTION("""COMPUTED_VALUE"""),"MARCUS HOLMGREN PEDERSEN")</f>
        <v>MARCUS HOLMGREN PEDERSEN</v>
      </c>
      <c r="E730" s="5">
        <f>IFERROR(__xludf.DUMMYFUNCTION("""COMPUTED_VALUE"""),0.0)</f>
        <v>0</v>
      </c>
      <c r="F730" s="5">
        <f>IFERROR(__xludf.DUMMYFUNCTION("""COMPUTED_VALUE"""),0.0)</f>
        <v>0</v>
      </c>
    </row>
    <row r="731">
      <c r="A731" s="5" t="str">
        <f>IFERROR(__xludf.DUMMYFUNCTION("""COMPUTED_VALUE"""),"NOR07")</f>
        <v>NOR07</v>
      </c>
      <c r="B731" s="5" t="str">
        <f>IFERROR(__xludf.DUMMYFUNCTION("""COMPUTED_VALUE"""),"NORWAY")</f>
        <v>NORWAY</v>
      </c>
      <c r="C731" s="5" t="str">
        <f>IFERROR(__xludf.DUMMYFUNCTION("""COMPUTED_VALUE"""),"NORMAL")</f>
        <v>NORMAL</v>
      </c>
      <c r="D731" s="5" t="str">
        <f>IFERROR(__xludf.DUMMYFUNCTION("""COMPUTED_VALUE"""),"DAVID MOLLER WOLFE")</f>
        <v>DAVID MOLLER WOLFE</v>
      </c>
      <c r="E731" s="5">
        <f>IFERROR(__xludf.DUMMYFUNCTION("""COMPUTED_VALUE"""),0.0)</f>
        <v>0</v>
      </c>
      <c r="F731" s="5">
        <f>IFERROR(__xludf.DUMMYFUNCTION("""COMPUTED_VALUE"""),0.0)</f>
        <v>0</v>
      </c>
    </row>
    <row r="732">
      <c r="A732" s="5" t="str">
        <f>IFERROR(__xludf.DUMMYFUNCTION("""COMPUTED_VALUE"""),"NOR08")</f>
        <v>NOR08</v>
      </c>
      <c r="B732" s="5" t="str">
        <f>IFERROR(__xludf.DUMMYFUNCTION("""COMPUTED_VALUE"""),"NORWAY")</f>
        <v>NORWAY</v>
      </c>
      <c r="C732" s="5" t="str">
        <f>IFERROR(__xludf.DUMMYFUNCTION("""COMPUTED_VALUE"""),"NORMAL")</f>
        <v>NORMAL</v>
      </c>
      <c r="D732" s="5" t="str">
        <f>IFERROR(__xludf.DUMMYFUNCTION("""COMPUTED_VALUE"""),"TORBJORN HEGGEM")</f>
        <v>TORBJORN HEGGEM</v>
      </c>
      <c r="E732" s="5">
        <f>IFERROR(__xludf.DUMMYFUNCTION("""COMPUTED_VALUE"""),0.0)</f>
        <v>0</v>
      </c>
      <c r="F732" s="5">
        <f>IFERROR(__xludf.DUMMYFUNCTION("""COMPUTED_VALUE"""),0.0)</f>
        <v>0</v>
      </c>
    </row>
    <row r="733">
      <c r="A733" s="5" t="str">
        <f>IFERROR(__xludf.DUMMYFUNCTION("""COMPUTED_VALUE"""),"NOR09")</f>
        <v>NOR09</v>
      </c>
      <c r="B733" s="5" t="str">
        <f>IFERROR(__xludf.DUMMYFUNCTION("""COMPUTED_VALUE"""),"NORWAY")</f>
        <v>NORWAY</v>
      </c>
      <c r="C733" s="5" t="str">
        <f>IFERROR(__xludf.DUMMYFUNCTION("""COMPUTED_VALUE"""),"NORMAL")</f>
        <v>NORMAL</v>
      </c>
      <c r="D733" s="5" t="str">
        <f>IFERROR(__xludf.DUMMYFUNCTION("""COMPUTED_VALUE"""),"MORTEN THORSBY")</f>
        <v>MORTEN THORSBY</v>
      </c>
      <c r="E733" s="5">
        <f>IFERROR(__xludf.DUMMYFUNCTION("""COMPUTED_VALUE"""),0.0)</f>
        <v>0</v>
      </c>
      <c r="F733" s="5">
        <f>IFERROR(__xludf.DUMMYFUNCTION("""COMPUTED_VALUE"""),0.0)</f>
        <v>0</v>
      </c>
    </row>
    <row r="734">
      <c r="A734" s="5" t="str">
        <f>IFERROR(__xludf.DUMMYFUNCTION("""COMPUTED_VALUE"""),"NOR10")</f>
        <v>NOR10</v>
      </c>
      <c r="B734" s="5" t="str">
        <f>IFERROR(__xludf.DUMMYFUNCTION("""COMPUTED_VALUE"""),"NORWAY")</f>
        <v>NORWAY</v>
      </c>
      <c r="C734" s="5" t="str">
        <f>IFERROR(__xludf.DUMMYFUNCTION("""COMPUTED_VALUE"""),"NORMAL")</f>
        <v>NORMAL</v>
      </c>
      <c r="D734" s="5" t="str">
        <f>IFERROR(__xludf.DUMMYFUNCTION("""COMPUTED_VALUE"""),"MARTIN ODEGAARD")</f>
        <v>MARTIN ODEGAARD</v>
      </c>
      <c r="E734" s="5">
        <f>IFERROR(__xludf.DUMMYFUNCTION("""COMPUTED_VALUE"""),0.0)</f>
        <v>0</v>
      </c>
      <c r="F734" s="5">
        <f>IFERROR(__xludf.DUMMYFUNCTION("""COMPUTED_VALUE"""),0.0)</f>
        <v>0</v>
      </c>
    </row>
    <row r="735">
      <c r="A735" s="5" t="str">
        <f>IFERROR(__xludf.DUMMYFUNCTION("""COMPUTED_VALUE"""),"NOR11")</f>
        <v>NOR11</v>
      </c>
      <c r="B735" s="5" t="str">
        <f>IFERROR(__xludf.DUMMYFUNCTION("""COMPUTED_VALUE"""),"NORWAY")</f>
        <v>NORWAY</v>
      </c>
      <c r="C735" s="5" t="str">
        <f>IFERROR(__xludf.DUMMYFUNCTION("""COMPUTED_VALUE"""),"NORMAL")</f>
        <v>NORMAL</v>
      </c>
      <c r="D735" s="5" t="str">
        <f>IFERROR(__xludf.DUMMYFUNCTION("""COMPUTED_VALUE"""),"SANDER BERGE")</f>
        <v>SANDER BERGE</v>
      </c>
      <c r="E735" s="5">
        <f>IFERROR(__xludf.DUMMYFUNCTION("""COMPUTED_VALUE"""),0.0)</f>
        <v>0</v>
      </c>
      <c r="F735" s="5">
        <f>IFERROR(__xludf.DUMMYFUNCTION("""COMPUTED_VALUE"""),0.0)</f>
        <v>0</v>
      </c>
    </row>
    <row r="736">
      <c r="A736" s="5" t="str">
        <f>IFERROR(__xludf.DUMMYFUNCTION("""COMPUTED_VALUE"""),"NOR12")</f>
        <v>NOR12</v>
      </c>
      <c r="B736" s="5" t="str">
        <f>IFERROR(__xludf.DUMMYFUNCTION("""COMPUTED_VALUE"""),"NORWAY")</f>
        <v>NORWAY</v>
      </c>
      <c r="C736" s="5" t="str">
        <f>IFERROR(__xludf.DUMMYFUNCTION("""COMPUTED_VALUE"""),"NORMAL")</f>
        <v>NORMAL</v>
      </c>
      <c r="D736" s="5" t="str">
        <f>IFERROR(__xludf.DUMMYFUNCTION("""COMPUTED_VALUE"""),"ANDREAS SCHJELDERUP")</f>
        <v>ANDREAS SCHJELDERUP</v>
      </c>
      <c r="E736" s="5">
        <f>IFERROR(__xludf.DUMMYFUNCTION("""COMPUTED_VALUE"""),0.0)</f>
        <v>0</v>
      </c>
      <c r="F736" s="5">
        <f>IFERROR(__xludf.DUMMYFUNCTION("""COMPUTED_VALUE"""),0.0)</f>
        <v>0</v>
      </c>
    </row>
    <row r="737">
      <c r="A737" s="5" t="str">
        <f>IFERROR(__xludf.DUMMYFUNCTION("""COMPUTED_VALUE"""),"NOR13")</f>
        <v>NOR13</v>
      </c>
      <c r="B737" s="5" t="str">
        <f>IFERROR(__xludf.DUMMYFUNCTION("""COMPUTED_VALUE"""),"NORWAY")</f>
        <v>NORWAY</v>
      </c>
      <c r="C737" s="5" t="str">
        <f>IFERROR(__xludf.DUMMYFUNCTION("""COMPUTED_VALUE"""),"TEAM")</f>
        <v>TEAM</v>
      </c>
      <c r="D737" s="5" t="str">
        <f>IFERROR(__xludf.DUMMYFUNCTION("""COMPUTED_VALUE"""),"NORWAY NATIONAL TEAM")</f>
        <v>NORWAY NATIONAL TEAM</v>
      </c>
      <c r="E737" s="5">
        <f>IFERROR(__xludf.DUMMYFUNCTION("""COMPUTED_VALUE"""),0.0)</f>
        <v>0</v>
      </c>
      <c r="F737" s="5">
        <f>IFERROR(__xludf.DUMMYFUNCTION("""COMPUTED_VALUE"""),0.0)</f>
        <v>0</v>
      </c>
    </row>
    <row r="738">
      <c r="A738" s="5" t="str">
        <f>IFERROR(__xludf.DUMMYFUNCTION("""COMPUTED_VALUE"""),"NOR14")</f>
        <v>NOR14</v>
      </c>
      <c r="B738" s="5" t="str">
        <f>IFERROR(__xludf.DUMMYFUNCTION("""COMPUTED_VALUE"""),"NORWAY")</f>
        <v>NORWAY</v>
      </c>
      <c r="C738" s="5" t="str">
        <f>IFERROR(__xludf.DUMMYFUNCTION("""COMPUTED_VALUE"""),"NORMAL")</f>
        <v>NORMAL</v>
      </c>
      <c r="D738" s="5" t="str">
        <f>IFERROR(__xludf.DUMMYFUNCTION("""COMPUTED_VALUE"""),"PATRICK BERG")</f>
        <v>PATRICK BERG</v>
      </c>
      <c r="E738" s="5">
        <f>IFERROR(__xludf.DUMMYFUNCTION("""COMPUTED_VALUE"""),0.0)</f>
        <v>0</v>
      </c>
      <c r="F738" s="5">
        <f>IFERROR(__xludf.DUMMYFUNCTION("""COMPUTED_VALUE"""),0.0)</f>
        <v>0</v>
      </c>
    </row>
    <row r="739">
      <c r="A739" s="5" t="str">
        <f>IFERROR(__xludf.DUMMYFUNCTION("""COMPUTED_VALUE"""),"NOR15")</f>
        <v>NOR15</v>
      </c>
      <c r="B739" s="5" t="str">
        <f>IFERROR(__xludf.DUMMYFUNCTION("""COMPUTED_VALUE"""),"NORWAY")</f>
        <v>NORWAY</v>
      </c>
      <c r="C739" s="5" t="str">
        <f>IFERROR(__xludf.DUMMYFUNCTION("""COMPUTED_VALUE"""),"NORMAL")</f>
        <v>NORMAL</v>
      </c>
      <c r="D739" s="5" t="str">
        <f>IFERROR(__xludf.DUMMYFUNCTION("""COMPUTED_VALUE"""),"ERLING HAALAND")</f>
        <v>ERLING HAALAND</v>
      </c>
      <c r="E739" s="5">
        <f>IFERROR(__xludf.DUMMYFUNCTION("""COMPUTED_VALUE"""),0.0)</f>
        <v>0</v>
      </c>
      <c r="F739" s="5">
        <f>IFERROR(__xludf.DUMMYFUNCTION("""COMPUTED_VALUE"""),0.0)</f>
        <v>0</v>
      </c>
    </row>
    <row r="740">
      <c r="A740" s="5" t="str">
        <f>IFERROR(__xludf.DUMMYFUNCTION("""COMPUTED_VALUE"""),"NOR16")</f>
        <v>NOR16</v>
      </c>
      <c r="B740" s="5" t="str">
        <f>IFERROR(__xludf.DUMMYFUNCTION("""COMPUTED_VALUE"""),"NORWAY")</f>
        <v>NORWAY</v>
      </c>
      <c r="C740" s="5" t="str">
        <f>IFERROR(__xludf.DUMMYFUNCTION("""COMPUTED_VALUE"""),"NORMAL")</f>
        <v>NORMAL</v>
      </c>
      <c r="D740" s="5" t="str">
        <f>IFERROR(__xludf.DUMMYFUNCTION("""COMPUTED_VALUE"""),"ALEXANDER SORLOTH")</f>
        <v>ALEXANDER SORLOTH</v>
      </c>
      <c r="E740" s="5">
        <f>IFERROR(__xludf.DUMMYFUNCTION("""COMPUTED_VALUE"""),0.0)</f>
        <v>0</v>
      </c>
      <c r="F740" s="5">
        <f>IFERROR(__xludf.DUMMYFUNCTION("""COMPUTED_VALUE"""),0.0)</f>
        <v>0</v>
      </c>
    </row>
    <row r="741">
      <c r="A741" s="5" t="str">
        <f>IFERROR(__xludf.DUMMYFUNCTION("""COMPUTED_VALUE"""),"NOR17")</f>
        <v>NOR17</v>
      </c>
      <c r="B741" s="5" t="str">
        <f>IFERROR(__xludf.DUMMYFUNCTION("""COMPUTED_VALUE"""),"NORWAY")</f>
        <v>NORWAY</v>
      </c>
      <c r="C741" s="5" t="str">
        <f>IFERROR(__xludf.DUMMYFUNCTION("""COMPUTED_VALUE"""),"NORMAL")</f>
        <v>NORMAL</v>
      </c>
      <c r="D741" s="5" t="str">
        <f>IFERROR(__xludf.DUMMYFUNCTION("""COMPUTED_VALUE"""),"ARON DONNUM")</f>
        <v>ARON DONNUM</v>
      </c>
      <c r="E741" s="5">
        <f>IFERROR(__xludf.DUMMYFUNCTION("""COMPUTED_VALUE"""),0.0)</f>
        <v>0</v>
      </c>
      <c r="F741" s="5">
        <f>IFERROR(__xludf.DUMMYFUNCTION("""COMPUTED_VALUE"""),0.0)</f>
        <v>0</v>
      </c>
    </row>
    <row r="742">
      <c r="A742" s="5" t="str">
        <f>IFERROR(__xludf.DUMMYFUNCTION("""COMPUTED_VALUE"""),"NOR18")</f>
        <v>NOR18</v>
      </c>
      <c r="B742" s="5" t="str">
        <f>IFERROR(__xludf.DUMMYFUNCTION("""COMPUTED_VALUE"""),"NORWAY")</f>
        <v>NORWAY</v>
      </c>
      <c r="C742" s="5" t="str">
        <f>IFERROR(__xludf.DUMMYFUNCTION("""COMPUTED_VALUE"""),"NORMAL")</f>
        <v>NORMAL</v>
      </c>
      <c r="D742" s="5" t="str">
        <f>IFERROR(__xludf.DUMMYFUNCTION("""COMPUTED_VALUE"""),"JORGEN STRAND LARSEN")</f>
        <v>JORGEN STRAND LARSEN</v>
      </c>
      <c r="E742" s="5">
        <f>IFERROR(__xludf.DUMMYFUNCTION("""COMPUTED_VALUE"""),0.0)</f>
        <v>0</v>
      </c>
      <c r="F742" s="5">
        <f>IFERROR(__xludf.DUMMYFUNCTION("""COMPUTED_VALUE"""),0.0)</f>
        <v>0</v>
      </c>
    </row>
    <row r="743">
      <c r="A743" s="5" t="str">
        <f>IFERROR(__xludf.DUMMYFUNCTION("""COMPUTED_VALUE"""),"NOR19")</f>
        <v>NOR19</v>
      </c>
      <c r="B743" s="5" t="str">
        <f>IFERROR(__xludf.DUMMYFUNCTION("""COMPUTED_VALUE"""),"NORWAY")</f>
        <v>NORWAY</v>
      </c>
      <c r="C743" s="5" t="str">
        <f>IFERROR(__xludf.DUMMYFUNCTION("""COMPUTED_VALUE"""),"NORMAL")</f>
        <v>NORMAL</v>
      </c>
      <c r="D743" s="5" t="str">
        <f>IFERROR(__xludf.DUMMYFUNCTION("""COMPUTED_VALUE"""),"ANTONIO NUSA")</f>
        <v>ANTONIO NUSA</v>
      </c>
      <c r="E743" s="5">
        <f>IFERROR(__xludf.DUMMYFUNCTION("""COMPUTED_VALUE"""),0.0)</f>
        <v>0</v>
      </c>
      <c r="F743" s="5">
        <f>IFERROR(__xludf.DUMMYFUNCTION("""COMPUTED_VALUE"""),0.0)</f>
        <v>0</v>
      </c>
    </row>
    <row r="744">
      <c r="A744" s="5" t="str">
        <f>IFERROR(__xludf.DUMMYFUNCTION("""COMPUTED_VALUE"""),"NOR20")</f>
        <v>NOR20</v>
      </c>
      <c r="B744" s="5" t="str">
        <f>IFERROR(__xludf.DUMMYFUNCTION("""COMPUTED_VALUE"""),"NORWAY")</f>
        <v>NORWAY</v>
      </c>
      <c r="C744" s="5" t="str">
        <f>IFERROR(__xludf.DUMMYFUNCTION("""COMPUTED_VALUE"""),"NORMAL")</f>
        <v>NORMAL</v>
      </c>
      <c r="D744" s="5" t="str">
        <f>IFERROR(__xludf.DUMMYFUNCTION("""COMPUTED_VALUE"""),"OSCAR BOBB")</f>
        <v>OSCAR BOBB</v>
      </c>
      <c r="E744" s="5">
        <f>IFERROR(__xludf.DUMMYFUNCTION("""COMPUTED_VALUE"""),0.0)</f>
        <v>0</v>
      </c>
      <c r="F744" s="5">
        <f>IFERROR(__xludf.DUMMYFUNCTION("""COMPUTED_VALUE"""),0.0)</f>
        <v>0</v>
      </c>
    </row>
    <row r="745">
      <c r="A745" s="5" t="str">
        <f>IFERROR(__xludf.DUMMYFUNCTION("""COMPUTED_VALUE"""),"ARG01")</f>
        <v>ARG01</v>
      </c>
      <c r="B745" s="5" t="str">
        <f>IFERROR(__xludf.DUMMYFUNCTION("""COMPUTED_VALUE"""),"ARGENTINA")</f>
        <v>ARGENTINA</v>
      </c>
      <c r="C745" s="5" t="str">
        <f>IFERROR(__xludf.DUMMYFUNCTION("""COMPUTED_VALUE"""),"BADGE")</f>
        <v>BADGE</v>
      </c>
      <c r="D745" s="5" t="str">
        <f>IFERROR(__xludf.DUMMYFUNCTION("""COMPUTED_VALUE"""),"ARGENTINA NATIONAL TEAM")</f>
        <v>ARGENTINA NATIONAL TEAM</v>
      </c>
      <c r="E745" s="5">
        <f>IFERROR(__xludf.DUMMYFUNCTION("""COMPUTED_VALUE"""),0.0)</f>
        <v>0</v>
      </c>
      <c r="F745" s="5">
        <f>IFERROR(__xludf.DUMMYFUNCTION("""COMPUTED_VALUE"""),0.0)</f>
        <v>0</v>
      </c>
    </row>
    <row r="746">
      <c r="A746" s="5" t="str">
        <f>IFERROR(__xludf.DUMMYFUNCTION("""COMPUTED_VALUE"""),"ARG02")</f>
        <v>ARG02</v>
      </c>
      <c r="B746" s="5" t="str">
        <f>IFERROR(__xludf.DUMMYFUNCTION("""COMPUTED_VALUE"""),"ARGENTINA")</f>
        <v>ARGENTINA</v>
      </c>
      <c r="C746" s="5" t="str">
        <f>IFERROR(__xludf.DUMMYFUNCTION("""COMPUTED_VALUE"""),"NORMAL")</f>
        <v>NORMAL</v>
      </c>
      <c r="D746" s="5" t="str">
        <f>IFERROR(__xludf.DUMMYFUNCTION("""COMPUTED_VALUE"""),"EMILIANO MARTINEZ")</f>
        <v>EMILIANO MARTINEZ</v>
      </c>
      <c r="E746" s="5">
        <f>IFERROR(__xludf.DUMMYFUNCTION("""COMPUTED_VALUE"""),0.0)</f>
        <v>0</v>
      </c>
      <c r="F746" s="5">
        <f>IFERROR(__xludf.DUMMYFUNCTION("""COMPUTED_VALUE"""),0.0)</f>
        <v>0</v>
      </c>
    </row>
    <row r="747">
      <c r="A747" s="5" t="str">
        <f>IFERROR(__xludf.DUMMYFUNCTION("""COMPUTED_VALUE"""),"ARG03")</f>
        <v>ARG03</v>
      </c>
      <c r="B747" s="5" t="str">
        <f>IFERROR(__xludf.DUMMYFUNCTION("""COMPUTED_VALUE"""),"ARGENTINA")</f>
        <v>ARGENTINA</v>
      </c>
      <c r="C747" s="5" t="str">
        <f>IFERROR(__xludf.DUMMYFUNCTION("""COMPUTED_VALUE"""),"NORMAL")</f>
        <v>NORMAL</v>
      </c>
      <c r="D747" s="5" t="str">
        <f>IFERROR(__xludf.DUMMYFUNCTION("""COMPUTED_VALUE"""),"NAHUEL MOLINA")</f>
        <v>NAHUEL MOLINA</v>
      </c>
      <c r="E747" s="5">
        <f>IFERROR(__xludf.DUMMYFUNCTION("""COMPUTED_VALUE"""),0.0)</f>
        <v>0</v>
      </c>
      <c r="F747" s="5">
        <f>IFERROR(__xludf.DUMMYFUNCTION("""COMPUTED_VALUE"""),0.0)</f>
        <v>0</v>
      </c>
    </row>
    <row r="748">
      <c r="A748" s="5" t="str">
        <f>IFERROR(__xludf.DUMMYFUNCTION("""COMPUTED_VALUE"""),"ARG04")</f>
        <v>ARG04</v>
      </c>
      <c r="B748" s="5" t="str">
        <f>IFERROR(__xludf.DUMMYFUNCTION("""COMPUTED_VALUE"""),"ARGENTINA")</f>
        <v>ARGENTINA</v>
      </c>
      <c r="C748" s="5" t="str">
        <f>IFERROR(__xludf.DUMMYFUNCTION("""COMPUTED_VALUE"""),"NORMAL")</f>
        <v>NORMAL</v>
      </c>
      <c r="D748" s="5" t="str">
        <f>IFERROR(__xludf.DUMMYFUNCTION("""COMPUTED_VALUE"""),"CRISTIAN ROMERO")</f>
        <v>CRISTIAN ROMERO</v>
      </c>
      <c r="E748" s="5">
        <f>IFERROR(__xludf.DUMMYFUNCTION("""COMPUTED_VALUE"""),0.0)</f>
        <v>0</v>
      </c>
      <c r="F748" s="5">
        <f>IFERROR(__xludf.DUMMYFUNCTION("""COMPUTED_VALUE"""),0.0)</f>
        <v>0</v>
      </c>
    </row>
    <row r="749">
      <c r="A749" s="5" t="str">
        <f>IFERROR(__xludf.DUMMYFUNCTION("""COMPUTED_VALUE"""),"ARG05")</f>
        <v>ARG05</v>
      </c>
      <c r="B749" s="5" t="str">
        <f>IFERROR(__xludf.DUMMYFUNCTION("""COMPUTED_VALUE"""),"ARGENTINA")</f>
        <v>ARGENTINA</v>
      </c>
      <c r="C749" s="5" t="str">
        <f>IFERROR(__xludf.DUMMYFUNCTION("""COMPUTED_VALUE"""),"NORMAL")</f>
        <v>NORMAL</v>
      </c>
      <c r="D749" s="5" t="str">
        <f>IFERROR(__xludf.DUMMYFUNCTION("""COMPUTED_VALUE"""),"NICOLAS OTAMENDI")</f>
        <v>NICOLAS OTAMENDI</v>
      </c>
      <c r="E749" s="5">
        <f>IFERROR(__xludf.DUMMYFUNCTION("""COMPUTED_VALUE"""),0.0)</f>
        <v>0</v>
      </c>
      <c r="F749" s="5">
        <f>IFERROR(__xludf.DUMMYFUNCTION("""COMPUTED_VALUE"""),0.0)</f>
        <v>0</v>
      </c>
    </row>
    <row r="750">
      <c r="A750" s="5" t="str">
        <f>IFERROR(__xludf.DUMMYFUNCTION("""COMPUTED_VALUE"""),"ARG06")</f>
        <v>ARG06</v>
      </c>
      <c r="B750" s="5" t="str">
        <f>IFERROR(__xludf.DUMMYFUNCTION("""COMPUTED_VALUE"""),"ARGENTINA")</f>
        <v>ARGENTINA</v>
      </c>
      <c r="C750" s="5" t="str">
        <f>IFERROR(__xludf.DUMMYFUNCTION("""COMPUTED_VALUE"""),"NORMAL")</f>
        <v>NORMAL</v>
      </c>
      <c r="D750" s="5" t="str">
        <f>IFERROR(__xludf.DUMMYFUNCTION("""COMPUTED_VALUE"""),"NICOLAS TAGLIAFICO")</f>
        <v>NICOLAS TAGLIAFICO</v>
      </c>
      <c r="E750" s="5">
        <f>IFERROR(__xludf.DUMMYFUNCTION("""COMPUTED_VALUE"""),0.0)</f>
        <v>0</v>
      </c>
      <c r="F750" s="5">
        <f>IFERROR(__xludf.DUMMYFUNCTION("""COMPUTED_VALUE"""),0.0)</f>
        <v>0</v>
      </c>
    </row>
    <row r="751">
      <c r="A751" s="5" t="str">
        <f>IFERROR(__xludf.DUMMYFUNCTION("""COMPUTED_VALUE"""),"ARG07")</f>
        <v>ARG07</v>
      </c>
      <c r="B751" s="5" t="str">
        <f>IFERROR(__xludf.DUMMYFUNCTION("""COMPUTED_VALUE"""),"ARGENTINA")</f>
        <v>ARGENTINA</v>
      </c>
      <c r="C751" s="5" t="str">
        <f>IFERROR(__xludf.DUMMYFUNCTION("""COMPUTED_VALUE"""),"NORMAL")</f>
        <v>NORMAL</v>
      </c>
      <c r="D751" s="5" t="str">
        <f>IFERROR(__xludf.DUMMYFUNCTION("""COMPUTED_VALUE"""),"LEONARDO BALERDI")</f>
        <v>LEONARDO BALERDI</v>
      </c>
      <c r="E751" s="5">
        <f>IFERROR(__xludf.DUMMYFUNCTION("""COMPUTED_VALUE"""),0.0)</f>
        <v>0</v>
      </c>
      <c r="F751" s="5">
        <f>IFERROR(__xludf.DUMMYFUNCTION("""COMPUTED_VALUE"""),0.0)</f>
        <v>0</v>
      </c>
    </row>
    <row r="752">
      <c r="A752" s="5" t="str">
        <f>IFERROR(__xludf.DUMMYFUNCTION("""COMPUTED_VALUE"""),"ARG08")</f>
        <v>ARG08</v>
      </c>
      <c r="B752" s="5" t="str">
        <f>IFERROR(__xludf.DUMMYFUNCTION("""COMPUTED_VALUE"""),"ARGENTINA")</f>
        <v>ARGENTINA</v>
      </c>
      <c r="C752" s="5" t="str">
        <f>IFERROR(__xludf.DUMMYFUNCTION("""COMPUTED_VALUE"""),"NORMAL")</f>
        <v>NORMAL</v>
      </c>
      <c r="D752" s="5" t="str">
        <f>IFERROR(__xludf.DUMMYFUNCTION("""COMPUTED_VALUE"""),"ENZO FERNANDEZ")</f>
        <v>ENZO FERNANDEZ</v>
      </c>
      <c r="E752" s="5">
        <f>IFERROR(__xludf.DUMMYFUNCTION("""COMPUTED_VALUE"""),0.0)</f>
        <v>0</v>
      </c>
      <c r="F752" s="5">
        <f>IFERROR(__xludf.DUMMYFUNCTION("""COMPUTED_VALUE"""),0.0)</f>
        <v>0</v>
      </c>
    </row>
    <row r="753">
      <c r="A753" s="5" t="str">
        <f>IFERROR(__xludf.DUMMYFUNCTION("""COMPUTED_VALUE"""),"ARG09")</f>
        <v>ARG09</v>
      </c>
      <c r="B753" s="5" t="str">
        <f>IFERROR(__xludf.DUMMYFUNCTION("""COMPUTED_VALUE"""),"ARGENTINA")</f>
        <v>ARGENTINA</v>
      </c>
      <c r="C753" s="5" t="str">
        <f>IFERROR(__xludf.DUMMYFUNCTION("""COMPUTED_VALUE"""),"NORMAL")</f>
        <v>NORMAL</v>
      </c>
      <c r="D753" s="5" t="str">
        <f>IFERROR(__xludf.DUMMYFUNCTION("""COMPUTED_VALUE"""),"ALEXIS MAC ALLISTER")</f>
        <v>ALEXIS MAC ALLISTER</v>
      </c>
      <c r="E753" s="5">
        <f>IFERROR(__xludf.DUMMYFUNCTION("""COMPUTED_VALUE"""),0.0)</f>
        <v>0</v>
      </c>
      <c r="F753" s="5">
        <f>IFERROR(__xludf.DUMMYFUNCTION("""COMPUTED_VALUE"""),0.0)</f>
        <v>0</v>
      </c>
    </row>
    <row r="754">
      <c r="A754" s="5" t="str">
        <f>IFERROR(__xludf.DUMMYFUNCTION("""COMPUTED_VALUE"""),"ARG10")</f>
        <v>ARG10</v>
      </c>
      <c r="B754" s="5" t="str">
        <f>IFERROR(__xludf.DUMMYFUNCTION("""COMPUTED_VALUE"""),"ARGENTINA")</f>
        <v>ARGENTINA</v>
      </c>
      <c r="C754" s="5" t="str">
        <f>IFERROR(__xludf.DUMMYFUNCTION("""COMPUTED_VALUE"""),"NORMAL")</f>
        <v>NORMAL</v>
      </c>
      <c r="D754" s="5" t="str">
        <f>IFERROR(__xludf.DUMMYFUNCTION("""COMPUTED_VALUE"""),"RODRIGO DE PAUL")</f>
        <v>RODRIGO DE PAUL</v>
      </c>
      <c r="E754" s="5">
        <f>IFERROR(__xludf.DUMMYFUNCTION("""COMPUTED_VALUE"""),0.0)</f>
        <v>0</v>
      </c>
      <c r="F754" s="5">
        <f>IFERROR(__xludf.DUMMYFUNCTION("""COMPUTED_VALUE"""),0.0)</f>
        <v>0</v>
      </c>
    </row>
    <row r="755">
      <c r="A755" s="5" t="str">
        <f>IFERROR(__xludf.DUMMYFUNCTION("""COMPUTED_VALUE"""),"ARG11")</f>
        <v>ARG11</v>
      </c>
      <c r="B755" s="5" t="str">
        <f>IFERROR(__xludf.DUMMYFUNCTION("""COMPUTED_VALUE"""),"ARGENTINA")</f>
        <v>ARGENTINA</v>
      </c>
      <c r="C755" s="5" t="str">
        <f>IFERROR(__xludf.DUMMYFUNCTION("""COMPUTED_VALUE"""),"NORMAL")</f>
        <v>NORMAL</v>
      </c>
      <c r="D755" s="5" t="str">
        <f>IFERROR(__xludf.DUMMYFUNCTION("""COMPUTED_VALUE"""),"EXEQUIEL PALACIOS")</f>
        <v>EXEQUIEL PALACIOS</v>
      </c>
      <c r="E755" s="5">
        <f>IFERROR(__xludf.DUMMYFUNCTION("""COMPUTED_VALUE"""),0.0)</f>
        <v>0</v>
      </c>
      <c r="F755" s="5">
        <f>IFERROR(__xludf.DUMMYFUNCTION("""COMPUTED_VALUE"""),0.0)</f>
        <v>0</v>
      </c>
    </row>
    <row r="756">
      <c r="A756" s="5" t="str">
        <f>IFERROR(__xludf.DUMMYFUNCTION("""COMPUTED_VALUE"""),"ARG12")</f>
        <v>ARG12</v>
      </c>
      <c r="B756" s="5" t="str">
        <f>IFERROR(__xludf.DUMMYFUNCTION("""COMPUTED_VALUE"""),"ARGENTINA")</f>
        <v>ARGENTINA</v>
      </c>
      <c r="C756" s="5" t="str">
        <f>IFERROR(__xludf.DUMMYFUNCTION("""COMPUTED_VALUE"""),"NORMAL")</f>
        <v>NORMAL</v>
      </c>
      <c r="D756" s="5" t="str">
        <f>IFERROR(__xludf.DUMMYFUNCTION("""COMPUTED_VALUE"""),"LEANDRO PAREDES")</f>
        <v>LEANDRO PAREDES</v>
      </c>
      <c r="E756" s="5">
        <f>IFERROR(__xludf.DUMMYFUNCTION("""COMPUTED_VALUE"""),0.0)</f>
        <v>0</v>
      </c>
      <c r="F756" s="5">
        <f>IFERROR(__xludf.DUMMYFUNCTION("""COMPUTED_VALUE"""),0.0)</f>
        <v>0</v>
      </c>
    </row>
    <row r="757">
      <c r="A757" s="5" t="str">
        <f>IFERROR(__xludf.DUMMYFUNCTION("""COMPUTED_VALUE"""),"ARG13")</f>
        <v>ARG13</v>
      </c>
      <c r="B757" s="5" t="str">
        <f>IFERROR(__xludf.DUMMYFUNCTION("""COMPUTED_VALUE"""),"ARGENTINA")</f>
        <v>ARGENTINA</v>
      </c>
      <c r="C757" s="5" t="str">
        <f>IFERROR(__xludf.DUMMYFUNCTION("""COMPUTED_VALUE"""),"TEAM")</f>
        <v>TEAM</v>
      </c>
      <c r="D757" s="5" t="str">
        <f>IFERROR(__xludf.DUMMYFUNCTION("""COMPUTED_VALUE"""),"ARGENTINA NATIONAL TEAM")</f>
        <v>ARGENTINA NATIONAL TEAM</v>
      </c>
      <c r="E757" s="5">
        <f>IFERROR(__xludf.DUMMYFUNCTION("""COMPUTED_VALUE"""),0.0)</f>
        <v>0</v>
      </c>
      <c r="F757" s="5">
        <f>IFERROR(__xludf.DUMMYFUNCTION("""COMPUTED_VALUE"""),0.0)</f>
        <v>0</v>
      </c>
    </row>
    <row r="758">
      <c r="A758" s="5" t="str">
        <f>IFERROR(__xludf.DUMMYFUNCTION("""COMPUTED_VALUE"""),"ARG14")</f>
        <v>ARG14</v>
      </c>
      <c r="B758" s="5" t="str">
        <f>IFERROR(__xludf.DUMMYFUNCTION("""COMPUTED_VALUE"""),"ARGENTINA")</f>
        <v>ARGENTINA</v>
      </c>
      <c r="C758" s="5" t="str">
        <f>IFERROR(__xludf.DUMMYFUNCTION("""COMPUTED_VALUE"""),"NORMAL")</f>
        <v>NORMAL</v>
      </c>
      <c r="D758" s="5" t="str">
        <f>IFERROR(__xludf.DUMMYFUNCTION("""COMPUTED_VALUE"""),"NICO PAZ")</f>
        <v>NICO PAZ</v>
      </c>
      <c r="E758" s="5">
        <f>IFERROR(__xludf.DUMMYFUNCTION("""COMPUTED_VALUE"""),0.0)</f>
        <v>0</v>
      </c>
      <c r="F758" s="5">
        <f>IFERROR(__xludf.DUMMYFUNCTION("""COMPUTED_VALUE"""),0.0)</f>
        <v>0</v>
      </c>
    </row>
    <row r="759">
      <c r="A759" s="5" t="str">
        <f>IFERROR(__xludf.DUMMYFUNCTION("""COMPUTED_VALUE"""),"ARG15")</f>
        <v>ARG15</v>
      </c>
      <c r="B759" s="5" t="str">
        <f>IFERROR(__xludf.DUMMYFUNCTION("""COMPUTED_VALUE"""),"ARGENTINA")</f>
        <v>ARGENTINA</v>
      </c>
      <c r="C759" s="5" t="str">
        <f>IFERROR(__xludf.DUMMYFUNCTION("""COMPUTED_VALUE"""),"NORMAL")</f>
        <v>NORMAL</v>
      </c>
      <c r="D759" s="5" t="str">
        <f>IFERROR(__xludf.DUMMYFUNCTION("""COMPUTED_VALUE"""),"FRANCO MASTANTUONO")</f>
        <v>FRANCO MASTANTUONO</v>
      </c>
      <c r="E759" s="5">
        <f>IFERROR(__xludf.DUMMYFUNCTION("""COMPUTED_VALUE"""),0.0)</f>
        <v>0</v>
      </c>
      <c r="F759" s="5">
        <f>IFERROR(__xludf.DUMMYFUNCTION("""COMPUTED_VALUE"""),0.0)</f>
        <v>0</v>
      </c>
    </row>
    <row r="760">
      <c r="A760" s="5" t="str">
        <f>IFERROR(__xludf.DUMMYFUNCTION("""COMPUTED_VALUE"""),"ARG16")</f>
        <v>ARG16</v>
      </c>
      <c r="B760" s="5" t="str">
        <f>IFERROR(__xludf.DUMMYFUNCTION("""COMPUTED_VALUE"""),"ARGENTINA")</f>
        <v>ARGENTINA</v>
      </c>
      <c r="C760" s="5" t="str">
        <f>IFERROR(__xludf.DUMMYFUNCTION("""COMPUTED_VALUE"""),"NORMAL")</f>
        <v>NORMAL</v>
      </c>
      <c r="D760" s="5" t="str">
        <f>IFERROR(__xludf.DUMMYFUNCTION("""COMPUTED_VALUE"""),"NICO GONZALEZ")</f>
        <v>NICO GONZALEZ</v>
      </c>
      <c r="E760" s="5">
        <f>IFERROR(__xludf.DUMMYFUNCTION("""COMPUTED_VALUE"""),0.0)</f>
        <v>0</v>
      </c>
      <c r="F760" s="5">
        <f>IFERROR(__xludf.DUMMYFUNCTION("""COMPUTED_VALUE"""),0.0)</f>
        <v>0</v>
      </c>
    </row>
    <row r="761">
      <c r="A761" s="5" t="str">
        <f>IFERROR(__xludf.DUMMYFUNCTION("""COMPUTED_VALUE"""),"ARG17")</f>
        <v>ARG17</v>
      </c>
      <c r="B761" s="5" t="str">
        <f>IFERROR(__xludf.DUMMYFUNCTION("""COMPUTED_VALUE"""),"ARGENTINA")</f>
        <v>ARGENTINA</v>
      </c>
      <c r="C761" s="5" t="str">
        <f>IFERROR(__xludf.DUMMYFUNCTION("""COMPUTED_VALUE"""),"NORMAL")</f>
        <v>NORMAL</v>
      </c>
      <c r="D761" s="5" t="str">
        <f>IFERROR(__xludf.DUMMYFUNCTION("""COMPUTED_VALUE"""),"LIONEL MESSI")</f>
        <v>LIONEL MESSI</v>
      </c>
      <c r="E761" s="5">
        <f>IFERROR(__xludf.DUMMYFUNCTION("""COMPUTED_VALUE"""),0.0)</f>
        <v>0</v>
      </c>
      <c r="F761" s="5">
        <f>IFERROR(__xludf.DUMMYFUNCTION("""COMPUTED_VALUE"""),0.0)</f>
        <v>0</v>
      </c>
    </row>
    <row r="762">
      <c r="A762" s="5" t="str">
        <f>IFERROR(__xludf.DUMMYFUNCTION("""COMPUTED_VALUE"""),"ARG18")</f>
        <v>ARG18</v>
      </c>
      <c r="B762" s="5" t="str">
        <f>IFERROR(__xludf.DUMMYFUNCTION("""COMPUTED_VALUE"""),"ARGENTINA")</f>
        <v>ARGENTINA</v>
      </c>
      <c r="C762" s="5" t="str">
        <f>IFERROR(__xludf.DUMMYFUNCTION("""COMPUTED_VALUE"""),"NORMAL")</f>
        <v>NORMAL</v>
      </c>
      <c r="D762" s="5" t="str">
        <f>IFERROR(__xludf.DUMMYFUNCTION("""COMPUTED_VALUE"""),"LAUTARO MARTINEZ")</f>
        <v>LAUTARO MARTINEZ</v>
      </c>
      <c r="E762" s="5">
        <f>IFERROR(__xludf.DUMMYFUNCTION("""COMPUTED_VALUE"""),0.0)</f>
        <v>0</v>
      </c>
      <c r="F762" s="5">
        <f>IFERROR(__xludf.DUMMYFUNCTION("""COMPUTED_VALUE"""),0.0)</f>
        <v>0</v>
      </c>
    </row>
    <row r="763">
      <c r="A763" s="5" t="str">
        <f>IFERROR(__xludf.DUMMYFUNCTION("""COMPUTED_VALUE"""),"ARG19")</f>
        <v>ARG19</v>
      </c>
      <c r="B763" s="5" t="str">
        <f>IFERROR(__xludf.DUMMYFUNCTION("""COMPUTED_VALUE"""),"ARGENTINA")</f>
        <v>ARGENTINA</v>
      </c>
      <c r="C763" s="5" t="str">
        <f>IFERROR(__xludf.DUMMYFUNCTION("""COMPUTED_VALUE"""),"NORMAL")</f>
        <v>NORMAL</v>
      </c>
      <c r="D763" s="5" t="str">
        <f>IFERROR(__xludf.DUMMYFUNCTION("""COMPUTED_VALUE"""),"JULIAN ALVAREZ")</f>
        <v>JULIAN ALVAREZ</v>
      </c>
      <c r="E763" s="5">
        <f>IFERROR(__xludf.DUMMYFUNCTION("""COMPUTED_VALUE"""),0.0)</f>
        <v>0</v>
      </c>
      <c r="F763" s="5">
        <f>IFERROR(__xludf.DUMMYFUNCTION("""COMPUTED_VALUE"""),0.0)</f>
        <v>0</v>
      </c>
    </row>
    <row r="764">
      <c r="A764" s="5" t="str">
        <f>IFERROR(__xludf.DUMMYFUNCTION("""COMPUTED_VALUE"""),"ARG20")</f>
        <v>ARG20</v>
      </c>
      <c r="B764" s="5" t="str">
        <f>IFERROR(__xludf.DUMMYFUNCTION("""COMPUTED_VALUE"""),"ARGENTINA")</f>
        <v>ARGENTINA</v>
      </c>
      <c r="C764" s="5" t="str">
        <f>IFERROR(__xludf.DUMMYFUNCTION("""COMPUTED_VALUE"""),"NORMAL")</f>
        <v>NORMAL</v>
      </c>
      <c r="D764" s="5" t="str">
        <f>IFERROR(__xludf.DUMMYFUNCTION("""COMPUTED_VALUE"""),"GIULIANO SIMEONE")</f>
        <v>GIULIANO SIMEONE</v>
      </c>
      <c r="E764" s="5">
        <f>IFERROR(__xludf.DUMMYFUNCTION("""COMPUTED_VALUE"""),0.0)</f>
        <v>0</v>
      </c>
      <c r="F764" s="5">
        <f>IFERROR(__xludf.DUMMYFUNCTION("""COMPUTED_VALUE"""),0.0)</f>
        <v>0</v>
      </c>
    </row>
    <row r="765">
      <c r="A765" s="7" t="str">
        <f>IFERROR(__xludf.DUMMYFUNCTION("""COMPUTED_VALUE"""),"ALG01")</f>
        <v>ALG01</v>
      </c>
      <c r="B765" s="5" t="str">
        <f>IFERROR(__xludf.DUMMYFUNCTION("""COMPUTED_VALUE"""),"ALGERIA")</f>
        <v>ALGERIA</v>
      </c>
      <c r="C765" s="5" t="str">
        <f>IFERROR(__xludf.DUMMYFUNCTION("""COMPUTED_VALUE"""),"BADGE")</f>
        <v>BADGE</v>
      </c>
      <c r="D765" s="5" t="str">
        <f>IFERROR(__xludf.DUMMYFUNCTION("""COMPUTED_VALUE"""),"ALGERIA NATIONAL TEAM")</f>
        <v>ALGERIA NATIONAL TEAM</v>
      </c>
      <c r="E765" s="5">
        <f>IFERROR(__xludf.DUMMYFUNCTION("""COMPUTED_VALUE"""),0.0)</f>
        <v>0</v>
      </c>
      <c r="F765" s="5">
        <f>IFERROR(__xludf.DUMMYFUNCTION("""COMPUTED_VALUE"""),0.0)</f>
        <v>0</v>
      </c>
    </row>
    <row r="766">
      <c r="A766" s="7" t="str">
        <f>IFERROR(__xludf.DUMMYFUNCTION("""COMPUTED_VALUE"""),"ALG02")</f>
        <v>ALG02</v>
      </c>
      <c r="B766" s="5" t="str">
        <f>IFERROR(__xludf.DUMMYFUNCTION("""COMPUTED_VALUE"""),"ALGERIA")</f>
        <v>ALGERIA</v>
      </c>
      <c r="C766" s="5" t="str">
        <f>IFERROR(__xludf.DUMMYFUNCTION("""COMPUTED_VALUE"""),"NORMAL")</f>
        <v>NORMAL</v>
      </c>
      <c r="D766" s="5" t="str">
        <f>IFERROR(__xludf.DUMMYFUNCTION("""COMPUTED_VALUE"""),"ALEXIS GUENDOUZ")</f>
        <v>ALEXIS GUENDOUZ</v>
      </c>
      <c r="E766" s="5">
        <f>IFERROR(__xludf.DUMMYFUNCTION("""COMPUTED_VALUE"""),0.0)</f>
        <v>0</v>
      </c>
      <c r="F766" s="5">
        <f>IFERROR(__xludf.DUMMYFUNCTION("""COMPUTED_VALUE"""),0.0)</f>
        <v>0</v>
      </c>
    </row>
    <row r="767">
      <c r="A767" s="7" t="str">
        <f>IFERROR(__xludf.DUMMYFUNCTION("""COMPUTED_VALUE"""),"ALG03")</f>
        <v>ALG03</v>
      </c>
      <c r="B767" s="5" t="str">
        <f>IFERROR(__xludf.DUMMYFUNCTION("""COMPUTED_VALUE"""),"ALGERIA")</f>
        <v>ALGERIA</v>
      </c>
      <c r="C767" s="5" t="str">
        <f>IFERROR(__xludf.DUMMYFUNCTION("""COMPUTED_VALUE"""),"NORMAL")</f>
        <v>NORMAL</v>
      </c>
      <c r="D767" s="5" t="str">
        <f>IFERROR(__xludf.DUMMYFUNCTION("""COMPUTED_VALUE"""),"RAMY BENSEBAINI")</f>
        <v>RAMY BENSEBAINI</v>
      </c>
      <c r="E767" s="5">
        <f>IFERROR(__xludf.DUMMYFUNCTION("""COMPUTED_VALUE"""),0.0)</f>
        <v>0</v>
      </c>
      <c r="F767" s="5">
        <f>IFERROR(__xludf.DUMMYFUNCTION("""COMPUTED_VALUE"""),0.0)</f>
        <v>0</v>
      </c>
    </row>
    <row r="768">
      <c r="A768" s="7" t="str">
        <f>IFERROR(__xludf.DUMMYFUNCTION("""COMPUTED_VALUE"""),"ALG04")</f>
        <v>ALG04</v>
      </c>
      <c r="B768" s="5" t="str">
        <f>IFERROR(__xludf.DUMMYFUNCTION("""COMPUTED_VALUE"""),"ALGERIA")</f>
        <v>ALGERIA</v>
      </c>
      <c r="C768" s="5" t="str">
        <f>IFERROR(__xludf.DUMMYFUNCTION("""COMPUTED_VALUE"""),"NORMAL")</f>
        <v>NORMAL</v>
      </c>
      <c r="D768" s="5" t="str">
        <f>IFERROR(__xludf.DUMMYFUNCTION("""COMPUTED_VALUE"""),"YOUCEF ATAL")</f>
        <v>YOUCEF ATAL</v>
      </c>
      <c r="E768" s="5">
        <f>IFERROR(__xludf.DUMMYFUNCTION("""COMPUTED_VALUE"""),0.0)</f>
        <v>0</v>
      </c>
      <c r="F768" s="5">
        <f>IFERROR(__xludf.DUMMYFUNCTION("""COMPUTED_VALUE"""),0.0)</f>
        <v>0</v>
      </c>
    </row>
    <row r="769">
      <c r="A769" s="7" t="str">
        <f>IFERROR(__xludf.DUMMYFUNCTION("""COMPUTED_VALUE"""),"ALG05")</f>
        <v>ALG05</v>
      </c>
      <c r="B769" s="5" t="str">
        <f>IFERROR(__xludf.DUMMYFUNCTION("""COMPUTED_VALUE"""),"ALGERIA")</f>
        <v>ALGERIA</v>
      </c>
      <c r="C769" s="5" t="str">
        <f>IFERROR(__xludf.DUMMYFUNCTION("""COMPUTED_VALUE"""),"NORMAL")</f>
        <v>NORMAL</v>
      </c>
      <c r="D769" s="5" t="str">
        <f>IFERROR(__xludf.DUMMYFUNCTION("""COMPUTED_VALUE"""),"RAYAN AIT NOURI")</f>
        <v>RAYAN AIT NOURI</v>
      </c>
      <c r="E769" s="5">
        <f>IFERROR(__xludf.DUMMYFUNCTION("""COMPUTED_VALUE"""),0.0)</f>
        <v>0</v>
      </c>
      <c r="F769" s="5">
        <f>IFERROR(__xludf.DUMMYFUNCTION("""COMPUTED_VALUE"""),0.0)</f>
        <v>0</v>
      </c>
    </row>
    <row r="770">
      <c r="A770" s="7" t="str">
        <f>IFERROR(__xludf.DUMMYFUNCTION("""COMPUTED_VALUE"""),"ALG06")</f>
        <v>ALG06</v>
      </c>
      <c r="B770" s="5" t="str">
        <f>IFERROR(__xludf.DUMMYFUNCTION("""COMPUTED_VALUE"""),"ALGERIA")</f>
        <v>ALGERIA</v>
      </c>
      <c r="C770" s="5" t="str">
        <f>IFERROR(__xludf.DUMMYFUNCTION("""COMPUTED_VALUE"""),"NORMAL")</f>
        <v>NORMAL</v>
      </c>
      <c r="D770" s="5" t="str">
        <f>IFERROR(__xludf.DUMMYFUNCTION("""COMPUTED_VALUE"""),"MOHAMED AMINE TOUGAI")</f>
        <v>MOHAMED AMINE TOUGAI</v>
      </c>
      <c r="E770" s="5">
        <f>IFERROR(__xludf.DUMMYFUNCTION("""COMPUTED_VALUE"""),0.0)</f>
        <v>0</v>
      </c>
      <c r="F770" s="5">
        <f>IFERROR(__xludf.DUMMYFUNCTION("""COMPUTED_VALUE"""),0.0)</f>
        <v>0</v>
      </c>
    </row>
    <row r="771">
      <c r="A771" s="7" t="str">
        <f>IFERROR(__xludf.DUMMYFUNCTION("""COMPUTED_VALUE"""),"ALG07")</f>
        <v>ALG07</v>
      </c>
      <c r="B771" s="5" t="str">
        <f>IFERROR(__xludf.DUMMYFUNCTION("""COMPUTED_VALUE"""),"ALGERIA")</f>
        <v>ALGERIA</v>
      </c>
      <c r="C771" s="5" t="str">
        <f>IFERROR(__xludf.DUMMYFUNCTION("""COMPUTED_VALUE"""),"NORMAL")</f>
        <v>NORMAL</v>
      </c>
      <c r="D771" s="5" t="str">
        <f>IFERROR(__xludf.DUMMYFUNCTION("""COMPUTED_VALUE"""),"AISSA MANDI")</f>
        <v>AISSA MANDI</v>
      </c>
      <c r="E771" s="5">
        <f>IFERROR(__xludf.DUMMYFUNCTION("""COMPUTED_VALUE"""),0.0)</f>
        <v>0</v>
      </c>
      <c r="F771" s="5">
        <f>IFERROR(__xludf.DUMMYFUNCTION("""COMPUTED_VALUE"""),0.0)</f>
        <v>0</v>
      </c>
    </row>
    <row r="772">
      <c r="A772" s="7" t="str">
        <f>IFERROR(__xludf.DUMMYFUNCTION("""COMPUTED_VALUE"""),"ALG08")</f>
        <v>ALG08</v>
      </c>
      <c r="B772" s="5" t="str">
        <f>IFERROR(__xludf.DUMMYFUNCTION("""COMPUTED_VALUE"""),"ALGERIA")</f>
        <v>ALGERIA</v>
      </c>
      <c r="C772" s="5" t="str">
        <f>IFERROR(__xludf.DUMMYFUNCTION("""COMPUTED_VALUE"""),"NORMAL")</f>
        <v>NORMAL</v>
      </c>
      <c r="D772" s="5" t="str">
        <f>IFERROR(__xludf.DUMMYFUNCTION("""COMPUTED_VALUE"""),"ISMAEL BENNACER")</f>
        <v>ISMAEL BENNACER</v>
      </c>
      <c r="E772" s="5">
        <f>IFERROR(__xludf.DUMMYFUNCTION("""COMPUTED_VALUE"""),0.0)</f>
        <v>0</v>
      </c>
      <c r="F772" s="5">
        <f>IFERROR(__xludf.DUMMYFUNCTION("""COMPUTED_VALUE"""),0.0)</f>
        <v>0</v>
      </c>
    </row>
    <row r="773">
      <c r="A773" s="7" t="str">
        <f>IFERROR(__xludf.DUMMYFUNCTION("""COMPUTED_VALUE"""),"ALG09")</f>
        <v>ALG09</v>
      </c>
      <c r="B773" s="5" t="str">
        <f>IFERROR(__xludf.DUMMYFUNCTION("""COMPUTED_VALUE"""),"ALGERIA")</f>
        <v>ALGERIA</v>
      </c>
      <c r="C773" s="5" t="str">
        <f>IFERROR(__xludf.DUMMYFUNCTION("""COMPUTED_VALUE"""),"NORMAL")</f>
        <v>NORMAL</v>
      </c>
      <c r="D773" s="5" t="str">
        <f>IFERROR(__xludf.DUMMYFUNCTION("""COMPUTED_VALUE"""),"HOUSSEM AOUAR")</f>
        <v>HOUSSEM AOUAR</v>
      </c>
      <c r="E773" s="5">
        <f>IFERROR(__xludf.DUMMYFUNCTION("""COMPUTED_VALUE"""),0.0)</f>
        <v>0</v>
      </c>
      <c r="F773" s="5">
        <f>IFERROR(__xludf.DUMMYFUNCTION("""COMPUTED_VALUE"""),0.0)</f>
        <v>0</v>
      </c>
    </row>
    <row r="774">
      <c r="A774" s="7" t="str">
        <f>IFERROR(__xludf.DUMMYFUNCTION("""COMPUTED_VALUE"""),"ALG10")</f>
        <v>ALG10</v>
      </c>
      <c r="B774" s="5" t="str">
        <f>IFERROR(__xludf.DUMMYFUNCTION("""COMPUTED_VALUE"""),"ALGERIA")</f>
        <v>ALGERIA</v>
      </c>
      <c r="C774" s="5" t="str">
        <f>IFERROR(__xludf.DUMMYFUNCTION("""COMPUTED_VALUE"""),"NORMAL")</f>
        <v>NORMAL</v>
      </c>
      <c r="D774" s="5" t="str">
        <f>IFERROR(__xludf.DUMMYFUNCTION("""COMPUTED_VALUE"""),"HICHAM BOUDAOUI")</f>
        <v>HICHAM BOUDAOUI</v>
      </c>
      <c r="E774" s="5">
        <f>IFERROR(__xludf.DUMMYFUNCTION("""COMPUTED_VALUE"""),0.0)</f>
        <v>0</v>
      </c>
      <c r="F774" s="5">
        <f>IFERROR(__xludf.DUMMYFUNCTION("""COMPUTED_VALUE"""),0.0)</f>
        <v>0</v>
      </c>
    </row>
    <row r="775">
      <c r="A775" s="7" t="str">
        <f>IFERROR(__xludf.DUMMYFUNCTION("""COMPUTED_VALUE"""),"ALG11")</f>
        <v>ALG11</v>
      </c>
      <c r="B775" s="5" t="str">
        <f>IFERROR(__xludf.DUMMYFUNCTION("""COMPUTED_VALUE"""),"ALGERIA")</f>
        <v>ALGERIA</v>
      </c>
      <c r="C775" s="5" t="str">
        <f>IFERROR(__xludf.DUMMYFUNCTION("""COMPUTED_VALUE"""),"NORMAL")</f>
        <v>NORMAL</v>
      </c>
      <c r="D775" s="5" t="str">
        <f>IFERROR(__xludf.DUMMYFUNCTION("""COMPUTED_VALUE"""),"RAMIZ ZERROUKI")</f>
        <v>RAMIZ ZERROUKI</v>
      </c>
      <c r="E775" s="5">
        <f>IFERROR(__xludf.DUMMYFUNCTION("""COMPUTED_VALUE"""),0.0)</f>
        <v>0</v>
      </c>
      <c r="F775" s="5">
        <f>IFERROR(__xludf.DUMMYFUNCTION("""COMPUTED_VALUE"""),0.0)</f>
        <v>0</v>
      </c>
    </row>
    <row r="776">
      <c r="A776" s="7" t="str">
        <f>IFERROR(__xludf.DUMMYFUNCTION("""COMPUTED_VALUE"""),"ALG12")</f>
        <v>ALG12</v>
      </c>
      <c r="B776" s="5" t="str">
        <f>IFERROR(__xludf.DUMMYFUNCTION("""COMPUTED_VALUE"""),"ALGERIA")</f>
        <v>ALGERIA</v>
      </c>
      <c r="C776" s="5" t="str">
        <f>IFERROR(__xludf.DUMMYFUNCTION("""COMPUTED_VALUE"""),"NORMAL")</f>
        <v>NORMAL</v>
      </c>
      <c r="D776" s="5" t="str">
        <f>IFERROR(__xludf.DUMMYFUNCTION("""COMPUTED_VALUE"""),"NABIL BENTALEB")</f>
        <v>NABIL BENTALEB</v>
      </c>
      <c r="E776" s="5">
        <f>IFERROR(__xludf.DUMMYFUNCTION("""COMPUTED_VALUE"""),0.0)</f>
        <v>0</v>
      </c>
      <c r="F776" s="5">
        <f>IFERROR(__xludf.DUMMYFUNCTION("""COMPUTED_VALUE"""),0.0)</f>
        <v>0</v>
      </c>
    </row>
    <row r="777">
      <c r="A777" s="7" t="str">
        <f>IFERROR(__xludf.DUMMYFUNCTION("""COMPUTED_VALUE"""),"ALG13")</f>
        <v>ALG13</v>
      </c>
      <c r="B777" s="5" t="str">
        <f>IFERROR(__xludf.DUMMYFUNCTION("""COMPUTED_VALUE"""),"ALGERIA")</f>
        <v>ALGERIA</v>
      </c>
      <c r="C777" s="5" t="str">
        <f>IFERROR(__xludf.DUMMYFUNCTION("""COMPUTED_VALUE"""),"TEAM")</f>
        <v>TEAM</v>
      </c>
      <c r="D777" s="5" t="str">
        <f>IFERROR(__xludf.DUMMYFUNCTION("""COMPUTED_VALUE"""),"ALGERIA NATIONAL TEAM")</f>
        <v>ALGERIA NATIONAL TEAM</v>
      </c>
      <c r="E777" s="5">
        <f>IFERROR(__xludf.DUMMYFUNCTION("""COMPUTED_VALUE"""),0.0)</f>
        <v>0</v>
      </c>
      <c r="F777" s="5">
        <f>IFERROR(__xludf.DUMMYFUNCTION("""COMPUTED_VALUE"""),0.0)</f>
        <v>0</v>
      </c>
    </row>
    <row r="778">
      <c r="A778" s="7" t="str">
        <f>IFERROR(__xludf.DUMMYFUNCTION("""COMPUTED_VALUE"""),"ALG14")</f>
        <v>ALG14</v>
      </c>
      <c r="B778" s="5" t="str">
        <f>IFERROR(__xludf.DUMMYFUNCTION("""COMPUTED_VALUE"""),"ALGERIA")</f>
        <v>ALGERIA</v>
      </c>
      <c r="C778" s="5" t="str">
        <f>IFERROR(__xludf.DUMMYFUNCTION("""COMPUTED_VALUE"""),"NORMAL")</f>
        <v>NORMAL</v>
      </c>
      <c r="D778" s="5" t="str">
        <f>IFERROR(__xludf.DUMMYFUNCTION("""COMPUTED_VALUE"""),"FARES CHAIBI")</f>
        <v>FARES CHAIBI</v>
      </c>
      <c r="E778" s="5">
        <f>IFERROR(__xludf.DUMMYFUNCTION("""COMPUTED_VALUE"""),0.0)</f>
        <v>0</v>
      </c>
      <c r="F778" s="5">
        <f>IFERROR(__xludf.DUMMYFUNCTION("""COMPUTED_VALUE"""),0.0)</f>
        <v>0</v>
      </c>
    </row>
    <row r="779">
      <c r="A779" s="7" t="str">
        <f>IFERROR(__xludf.DUMMYFUNCTION("""COMPUTED_VALUE"""),"ALG15")</f>
        <v>ALG15</v>
      </c>
      <c r="B779" s="5" t="str">
        <f>IFERROR(__xludf.DUMMYFUNCTION("""COMPUTED_VALUE"""),"ALGERIA")</f>
        <v>ALGERIA</v>
      </c>
      <c r="C779" s="5" t="str">
        <f>IFERROR(__xludf.DUMMYFUNCTION("""COMPUTED_VALUE"""),"NORMAL")</f>
        <v>NORMAL</v>
      </c>
      <c r="D779" s="5" t="str">
        <f>IFERROR(__xludf.DUMMYFUNCTION("""COMPUTED_VALUE"""),"RIYAD MAHREZ")</f>
        <v>RIYAD MAHREZ</v>
      </c>
      <c r="E779" s="5">
        <f>IFERROR(__xludf.DUMMYFUNCTION("""COMPUTED_VALUE"""),0.0)</f>
        <v>0</v>
      </c>
      <c r="F779" s="5">
        <f>IFERROR(__xludf.DUMMYFUNCTION("""COMPUTED_VALUE"""),0.0)</f>
        <v>0</v>
      </c>
    </row>
    <row r="780">
      <c r="A780" s="7" t="str">
        <f>IFERROR(__xludf.DUMMYFUNCTION("""COMPUTED_VALUE"""),"ALG16")</f>
        <v>ALG16</v>
      </c>
      <c r="B780" s="5" t="str">
        <f>IFERROR(__xludf.DUMMYFUNCTION("""COMPUTED_VALUE"""),"ALGERIA")</f>
        <v>ALGERIA</v>
      </c>
      <c r="C780" s="5" t="str">
        <f>IFERROR(__xludf.DUMMYFUNCTION("""COMPUTED_VALUE"""),"NORMAL")</f>
        <v>NORMAL</v>
      </c>
      <c r="D780" s="5" t="str">
        <f>IFERROR(__xludf.DUMMYFUNCTION("""COMPUTED_VALUE"""),"SAID BENRAHMA")</f>
        <v>SAID BENRAHMA</v>
      </c>
      <c r="E780" s="5">
        <f>IFERROR(__xludf.DUMMYFUNCTION("""COMPUTED_VALUE"""),0.0)</f>
        <v>0</v>
      </c>
      <c r="F780" s="5">
        <f>IFERROR(__xludf.DUMMYFUNCTION("""COMPUTED_VALUE"""),0.0)</f>
        <v>0</v>
      </c>
    </row>
    <row r="781">
      <c r="A781" s="7" t="str">
        <f>IFERROR(__xludf.DUMMYFUNCTION("""COMPUTED_VALUE"""),"ALG17")</f>
        <v>ALG17</v>
      </c>
      <c r="B781" s="5" t="str">
        <f>IFERROR(__xludf.DUMMYFUNCTION("""COMPUTED_VALUE"""),"ALGERIA")</f>
        <v>ALGERIA</v>
      </c>
      <c r="C781" s="5" t="str">
        <f>IFERROR(__xludf.DUMMYFUNCTION("""COMPUTED_VALUE"""),"NORMAL")</f>
        <v>NORMAL</v>
      </c>
      <c r="D781" s="5" t="str">
        <f>IFERROR(__xludf.DUMMYFUNCTION("""COMPUTED_VALUE"""),"ANIS HADJ MOUSSA")</f>
        <v>ANIS HADJ MOUSSA</v>
      </c>
      <c r="E781" s="5">
        <f>IFERROR(__xludf.DUMMYFUNCTION("""COMPUTED_VALUE"""),0.0)</f>
        <v>0</v>
      </c>
      <c r="F781" s="5">
        <f>IFERROR(__xludf.DUMMYFUNCTION("""COMPUTED_VALUE"""),0.0)</f>
        <v>0</v>
      </c>
    </row>
    <row r="782">
      <c r="A782" s="7" t="str">
        <f>IFERROR(__xludf.DUMMYFUNCTION("""COMPUTED_VALUE"""),"ALG18")</f>
        <v>ALG18</v>
      </c>
      <c r="B782" s="5" t="str">
        <f>IFERROR(__xludf.DUMMYFUNCTION("""COMPUTED_VALUE"""),"ALGERIA")</f>
        <v>ALGERIA</v>
      </c>
      <c r="C782" s="5" t="str">
        <f>IFERROR(__xludf.DUMMYFUNCTION("""COMPUTED_VALUE"""),"NORMAL")</f>
        <v>NORMAL</v>
      </c>
      <c r="D782" s="5" t="str">
        <f>IFERROR(__xludf.DUMMYFUNCTION("""COMPUTED_VALUE"""),"AMINE GOUIRI")</f>
        <v>AMINE GOUIRI</v>
      </c>
      <c r="E782" s="5">
        <f>IFERROR(__xludf.DUMMYFUNCTION("""COMPUTED_VALUE"""),0.0)</f>
        <v>0</v>
      </c>
      <c r="F782" s="5">
        <f>IFERROR(__xludf.DUMMYFUNCTION("""COMPUTED_VALUE"""),0.0)</f>
        <v>0</v>
      </c>
    </row>
    <row r="783">
      <c r="A783" s="7" t="str">
        <f>IFERROR(__xludf.DUMMYFUNCTION("""COMPUTED_VALUE"""),"ALG19")</f>
        <v>ALG19</v>
      </c>
      <c r="B783" s="5" t="str">
        <f>IFERROR(__xludf.DUMMYFUNCTION("""COMPUTED_VALUE"""),"ALGERIA")</f>
        <v>ALGERIA</v>
      </c>
      <c r="C783" s="5" t="str">
        <f>IFERROR(__xludf.DUMMYFUNCTION("""COMPUTED_VALUE"""),"NORMAL")</f>
        <v>NORMAL</v>
      </c>
      <c r="D783" s="5" t="str">
        <f>IFERROR(__xludf.DUMMYFUNCTION("""COMPUTED_VALUE"""),"BAGHDAD BOUNEDJAH")</f>
        <v>BAGHDAD BOUNEDJAH</v>
      </c>
      <c r="E783" s="5">
        <f>IFERROR(__xludf.DUMMYFUNCTION("""COMPUTED_VALUE"""),0.0)</f>
        <v>0</v>
      </c>
      <c r="F783" s="5">
        <f>IFERROR(__xludf.DUMMYFUNCTION("""COMPUTED_VALUE"""),0.0)</f>
        <v>0</v>
      </c>
    </row>
    <row r="784">
      <c r="A784" s="7" t="str">
        <f>IFERROR(__xludf.DUMMYFUNCTION("""COMPUTED_VALUE"""),"ALG20")</f>
        <v>ALG20</v>
      </c>
      <c r="B784" s="5" t="str">
        <f>IFERROR(__xludf.DUMMYFUNCTION("""COMPUTED_VALUE"""),"ALGERIA")</f>
        <v>ALGERIA</v>
      </c>
      <c r="C784" s="5" t="str">
        <f>IFERROR(__xludf.DUMMYFUNCTION("""COMPUTED_VALUE"""),"NORMAL")</f>
        <v>NORMAL</v>
      </c>
      <c r="D784" s="5" t="str">
        <f>IFERROR(__xludf.DUMMYFUNCTION("""COMPUTED_VALUE"""),"MOHAMMED AMOURA")</f>
        <v>MOHAMMED AMOURA</v>
      </c>
      <c r="E784" s="5">
        <f>IFERROR(__xludf.DUMMYFUNCTION("""COMPUTED_VALUE"""),0.0)</f>
        <v>0</v>
      </c>
      <c r="F784" s="5">
        <f>IFERROR(__xludf.DUMMYFUNCTION("""COMPUTED_VALUE"""),0.0)</f>
        <v>0</v>
      </c>
    </row>
    <row r="785">
      <c r="A785" s="5" t="str">
        <f>IFERROR(__xludf.DUMMYFUNCTION("""COMPUTED_VALUE"""),"AUT01")</f>
        <v>AUT01</v>
      </c>
      <c r="B785" s="5" t="str">
        <f>IFERROR(__xludf.DUMMYFUNCTION("""COMPUTED_VALUE"""),"AUSTRIA")</f>
        <v>AUSTRIA</v>
      </c>
      <c r="C785" s="5" t="str">
        <f>IFERROR(__xludf.DUMMYFUNCTION("""COMPUTED_VALUE"""),"BADGE")</f>
        <v>BADGE</v>
      </c>
      <c r="D785" s="5" t="str">
        <f>IFERROR(__xludf.DUMMYFUNCTION("""COMPUTED_VALUE"""),"AUSTRIA NATIONAL TEAM")</f>
        <v>AUSTRIA NATIONAL TEAM</v>
      </c>
      <c r="E785" s="5">
        <f>IFERROR(__xludf.DUMMYFUNCTION("""COMPUTED_VALUE"""),0.0)</f>
        <v>0</v>
      </c>
      <c r="F785" s="5">
        <f>IFERROR(__xludf.DUMMYFUNCTION("""COMPUTED_VALUE"""),0.0)</f>
        <v>0</v>
      </c>
    </row>
    <row r="786">
      <c r="A786" s="5" t="str">
        <f>IFERROR(__xludf.DUMMYFUNCTION("""COMPUTED_VALUE"""),"AUT02")</f>
        <v>AUT02</v>
      </c>
      <c r="B786" s="5" t="str">
        <f>IFERROR(__xludf.DUMMYFUNCTION("""COMPUTED_VALUE"""),"AUSTRIA")</f>
        <v>AUSTRIA</v>
      </c>
      <c r="C786" s="5" t="str">
        <f>IFERROR(__xludf.DUMMYFUNCTION("""COMPUTED_VALUE"""),"NORMAL")</f>
        <v>NORMAL</v>
      </c>
      <c r="D786" s="5" t="str">
        <f>IFERROR(__xludf.DUMMYFUNCTION("""COMPUTED_VALUE"""),"ALEXANDER SCHLAGER")</f>
        <v>ALEXANDER SCHLAGER</v>
      </c>
      <c r="E786" s="5">
        <f>IFERROR(__xludf.DUMMYFUNCTION("""COMPUTED_VALUE"""),0.0)</f>
        <v>0</v>
      </c>
      <c r="F786" s="5">
        <f>IFERROR(__xludf.DUMMYFUNCTION("""COMPUTED_VALUE"""),0.0)</f>
        <v>0</v>
      </c>
    </row>
    <row r="787">
      <c r="A787" s="5" t="str">
        <f>IFERROR(__xludf.DUMMYFUNCTION("""COMPUTED_VALUE"""),"AUT03")</f>
        <v>AUT03</v>
      </c>
      <c r="B787" s="5" t="str">
        <f>IFERROR(__xludf.DUMMYFUNCTION("""COMPUTED_VALUE"""),"AUSTRIA")</f>
        <v>AUSTRIA</v>
      </c>
      <c r="C787" s="5" t="str">
        <f>IFERROR(__xludf.DUMMYFUNCTION("""COMPUTED_VALUE"""),"NORMAL")</f>
        <v>NORMAL</v>
      </c>
      <c r="D787" s="5" t="str">
        <f>IFERROR(__xludf.DUMMYFUNCTION("""COMPUTED_VALUE"""),"PATRICK PENTZ")</f>
        <v>PATRICK PENTZ</v>
      </c>
      <c r="E787" s="5">
        <f>IFERROR(__xludf.DUMMYFUNCTION("""COMPUTED_VALUE"""),0.0)</f>
        <v>0</v>
      </c>
      <c r="F787" s="5">
        <f>IFERROR(__xludf.DUMMYFUNCTION("""COMPUTED_VALUE"""),0.0)</f>
        <v>0</v>
      </c>
    </row>
    <row r="788">
      <c r="A788" s="5" t="str">
        <f>IFERROR(__xludf.DUMMYFUNCTION("""COMPUTED_VALUE"""),"AUT04")</f>
        <v>AUT04</v>
      </c>
      <c r="B788" s="5" t="str">
        <f>IFERROR(__xludf.DUMMYFUNCTION("""COMPUTED_VALUE"""),"AUSTRIA")</f>
        <v>AUSTRIA</v>
      </c>
      <c r="C788" s="5" t="str">
        <f>IFERROR(__xludf.DUMMYFUNCTION("""COMPUTED_VALUE"""),"NORMAL")</f>
        <v>NORMAL</v>
      </c>
      <c r="D788" s="5" t="str">
        <f>IFERROR(__xludf.DUMMYFUNCTION("""COMPUTED_VALUE"""),"DAVID ALABA")</f>
        <v>DAVID ALABA</v>
      </c>
      <c r="E788" s="5">
        <f>IFERROR(__xludf.DUMMYFUNCTION("""COMPUTED_VALUE"""),0.0)</f>
        <v>0</v>
      </c>
      <c r="F788" s="5">
        <f>IFERROR(__xludf.DUMMYFUNCTION("""COMPUTED_VALUE"""),0.0)</f>
        <v>0</v>
      </c>
    </row>
    <row r="789">
      <c r="A789" s="5" t="str">
        <f>IFERROR(__xludf.DUMMYFUNCTION("""COMPUTED_VALUE"""),"AUT05")</f>
        <v>AUT05</v>
      </c>
      <c r="B789" s="5" t="str">
        <f>IFERROR(__xludf.DUMMYFUNCTION("""COMPUTED_VALUE"""),"AUSTRIA")</f>
        <v>AUSTRIA</v>
      </c>
      <c r="C789" s="5" t="str">
        <f>IFERROR(__xludf.DUMMYFUNCTION("""COMPUTED_VALUE"""),"NORMAL")</f>
        <v>NORMAL</v>
      </c>
      <c r="D789" s="5" t="str">
        <f>IFERROR(__xludf.DUMMYFUNCTION("""COMPUTED_VALUE"""),"KEVIN DANSO")</f>
        <v>KEVIN DANSO</v>
      </c>
      <c r="E789" s="5">
        <f>IFERROR(__xludf.DUMMYFUNCTION("""COMPUTED_VALUE"""),0.0)</f>
        <v>0</v>
      </c>
      <c r="F789" s="5">
        <f>IFERROR(__xludf.DUMMYFUNCTION("""COMPUTED_VALUE"""),0.0)</f>
        <v>0</v>
      </c>
    </row>
    <row r="790">
      <c r="A790" s="5" t="str">
        <f>IFERROR(__xludf.DUMMYFUNCTION("""COMPUTED_VALUE"""),"AUT06")</f>
        <v>AUT06</v>
      </c>
      <c r="B790" s="5" t="str">
        <f>IFERROR(__xludf.DUMMYFUNCTION("""COMPUTED_VALUE"""),"AUSTRIA")</f>
        <v>AUSTRIA</v>
      </c>
      <c r="C790" s="5" t="str">
        <f>IFERROR(__xludf.DUMMYFUNCTION("""COMPUTED_VALUE"""),"NORMAL")</f>
        <v>NORMAL</v>
      </c>
      <c r="D790" s="5" t="str">
        <f>IFERROR(__xludf.DUMMYFUNCTION("""COMPUTED_VALUE"""),"PHILLIP LIENHART")</f>
        <v>PHILLIP LIENHART</v>
      </c>
      <c r="E790" s="5">
        <f>IFERROR(__xludf.DUMMYFUNCTION("""COMPUTED_VALUE"""),0.0)</f>
        <v>0</v>
      </c>
      <c r="F790" s="5">
        <f>IFERROR(__xludf.DUMMYFUNCTION("""COMPUTED_VALUE"""),0.0)</f>
        <v>0</v>
      </c>
    </row>
    <row r="791">
      <c r="A791" s="5" t="str">
        <f>IFERROR(__xludf.DUMMYFUNCTION("""COMPUTED_VALUE"""),"AUT07")</f>
        <v>AUT07</v>
      </c>
      <c r="B791" s="5" t="str">
        <f>IFERROR(__xludf.DUMMYFUNCTION("""COMPUTED_VALUE"""),"AUSTRIA")</f>
        <v>AUSTRIA</v>
      </c>
      <c r="C791" s="5" t="str">
        <f>IFERROR(__xludf.DUMMYFUNCTION("""COMPUTED_VALUE"""),"NORMAL")</f>
        <v>NORMAL</v>
      </c>
      <c r="D791" s="5" t="str">
        <f>IFERROR(__xludf.DUMMYFUNCTION("""COMPUTED_VALUE"""),"STEFAN POSCH")</f>
        <v>STEFAN POSCH</v>
      </c>
      <c r="E791" s="5">
        <f>IFERROR(__xludf.DUMMYFUNCTION("""COMPUTED_VALUE"""),0.0)</f>
        <v>0</v>
      </c>
      <c r="F791" s="5">
        <f>IFERROR(__xludf.DUMMYFUNCTION("""COMPUTED_VALUE"""),0.0)</f>
        <v>0</v>
      </c>
    </row>
    <row r="792">
      <c r="A792" s="5" t="str">
        <f>IFERROR(__xludf.DUMMYFUNCTION("""COMPUTED_VALUE"""),"AUT08")</f>
        <v>AUT08</v>
      </c>
      <c r="B792" s="5" t="str">
        <f>IFERROR(__xludf.DUMMYFUNCTION("""COMPUTED_VALUE"""),"AUSTRIA")</f>
        <v>AUSTRIA</v>
      </c>
      <c r="C792" s="5" t="str">
        <f>IFERROR(__xludf.DUMMYFUNCTION("""COMPUTED_VALUE"""),"NORMAL")</f>
        <v>NORMAL</v>
      </c>
      <c r="D792" s="5" t="str">
        <f>IFERROR(__xludf.DUMMYFUNCTION("""COMPUTED_VALUE"""),"PHILLIP MWENE")</f>
        <v>PHILLIP MWENE</v>
      </c>
      <c r="E792" s="5">
        <f>IFERROR(__xludf.DUMMYFUNCTION("""COMPUTED_VALUE"""),0.0)</f>
        <v>0</v>
      </c>
      <c r="F792" s="5">
        <f>IFERROR(__xludf.DUMMYFUNCTION("""COMPUTED_VALUE"""),0.0)</f>
        <v>0</v>
      </c>
    </row>
    <row r="793">
      <c r="A793" s="5" t="str">
        <f>IFERROR(__xludf.DUMMYFUNCTION("""COMPUTED_VALUE"""),"AUT09")</f>
        <v>AUT09</v>
      </c>
      <c r="B793" s="5" t="str">
        <f>IFERROR(__xludf.DUMMYFUNCTION("""COMPUTED_VALUE"""),"AUSTRIA")</f>
        <v>AUSTRIA</v>
      </c>
      <c r="C793" s="5" t="str">
        <f>IFERROR(__xludf.DUMMYFUNCTION("""COMPUTED_VALUE"""),"NORMAL")</f>
        <v>NORMAL</v>
      </c>
      <c r="D793" s="5" t="str">
        <f>IFERROR(__xludf.DUMMYFUNCTION("""COMPUTED_VALUE"""),"ALEXANDER PRASS")</f>
        <v>ALEXANDER PRASS</v>
      </c>
      <c r="E793" s="5">
        <f>IFERROR(__xludf.DUMMYFUNCTION("""COMPUTED_VALUE"""),0.0)</f>
        <v>0</v>
      </c>
      <c r="F793" s="5">
        <f>IFERROR(__xludf.DUMMYFUNCTION("""COMPUTED_VALUE"""),0.0)</f>
        <v>0</v>
      </c>
    </row>
    <row r="794">
      <c r="A794" s="5" t="str">
        <f>IFERROR(__xludf.DUMMYFUNCTION("""COMPUTED_VALUE"""),"AUT10")</f>
        <v>AUT10</v>
      </c>
      <c r="B794" s="5" t="str">
        <f>IFERROR(__xludf.DUMMYFUNCTION("""COMPUTED_VALUE"""),"AUSTRIA")</f>
        <v>AUSTRIA</v>
      </c>
      <c r="C794" s="5" t="str">
        <f>IFERROR(__xludf.DUMMYFUNCTION("""COMPUTED_VALUE"""),"NORMAL")</f>
        <v>NORMAL</v>
      </c>
      <c r="D794" s="5" t="str">
        <f>IFERROR(__xludf.DUMMYFUNCTION("""COMPUTED_VALUE"""),"XAVER SCHLAER")</f>
        <v>XAVER SCHLAER</v>
      </c>
      <c r="E794" s="5">
        <f>IFERROR(__xludf.DUMMYFUNCTION("""COMPUTED_VALUE"""),0.0)</f>
        <v>0</v>
      </c>
      <c r="F794" s="5">
        <f>IFERROR(__xludf.DUMMYFUNCTION("""COMPUTED_VALUE"""),0.0)</f>
        <v>0</v>
      </c>
    </row>
    <row r="795">
      <c r="A795" s="5" t="str">
        <f>IFERROR(__xludf.DUMMYFUNCTION("""COMPUTED_VALUE"""),"AUT11")</f>
        <v>AUT11</v>
      </c>
      <c r="B795" s="5" t="str">
        <f>IFERROR(__xludf.DUMMYFUNCTION("""COMPUTED_VALUE"""),"AUSTRIA")</f>
        <v>AUSTRIA</v>
      </c>
      <c r="C795" s="5" t="str">
        <f>IFERROR(__xludf.DUMMYFUNCTION("""COMPUTED_VALUE"""),"NORMAL")</f>
        <v>NORMAL</v>
      </c>
      <c r="D795" s="5" t="str">
        <f>IFERROR(__xludf.DUMMYFUNCTION("""COMPUTED_VALUE"""),"MARCEL SABITZER")</f>
        <v>MARCEL SABITZER</v>
      </c>
      <c r="E795" s="5">
        <f>IFERROR(__xludf.DUMMYFUNCTION("""COMPUTED_VALUE"""),0.0)</f>
        <v>0</v>
      </c>
      <c r="F795" s="5">
        <f>IFERROR(__xludf.DUMMYFUNCTION("""COMPUTED_VALUE"""),0.0)</f>
        <v>0</v>
      </c>
    </row>
    <row r="796">
      <c r="A796" s="5" t="str">
        <f>IFERROR(__xludf.DUMMYFUNCTION("""COMPUTED_VALUE"""),"AUT12")</f>
        <v>AUT12</v>
      </c>
      <c r="B796" s="5" t="str">
        <f>IFERROR(__xludf.DUMMYFUNCTION("""COMPUTED_VALUE"""),"AUSTRIA")</f>
        <v>AUSTRIA</v>
      </c>
      <c r="C796" s="5" t="str">
        <f>IFERROR(__xludf.DUMMYFUNCTION("""COMPUTED_VALUE"""),"NORMAL")</f>
        <v>NORMAL</v>
      </c>
      <c r="D796" s="5" t="str">
        <f>IFERROR(__xludf.DUMMYFUNCTION("""COMPUTED_VALUE"""),"KONRAD LAIMER")</f>
        <v>KONRAD LAIMER</v>
      </c>
      <c r="E796" s="5">
        <f>IFERROR(__xludf.DUMMYFUNCTION("""COMPUTED_VALUE"""),0.0)</f>
        <v>0</v>
      </c>
      <c r="F796" s="5">
        <f>IFERROR(__xludf.DUMMYFUNCTION("""COMPUTED_VALUE"""),0.0)</f>
        <v>0</v>
      </c>
    </row>
    <row r="797">
      <c r="A797" s="5" t="str">
        <f>IFERROR(__xludf.DUMMYFUNCTION("""COMPUTED_VALUE"""),"AUT13")</f>
        <v>AUT13</v>
      </c>
      <c r="B797" s="5" t="str">
        <f>IFERROR(__xludf.DUMMYFUNCTION("""COMPUTED_VALUE"""),"AUSTRIA")</f>
        <v>AUSTRIA</v>
      </c>
      <c r="C797" s="5" t="str">
        <f>IFERROR(__xludf.DUMMYFUNCTION("""COMPUTED_VALUE"""),"TEAM")</f>
        <v>TEAM</v>
      </c>
      <c r="D797" s="5" t="str">
        <f>IFERROR(__xludf.DUMMYFUNCTION("""COMPUTED_VALUE"""),"AUSTRIA NATIONAL TEAM")</f>
        <v>AUSTRIA NATIONAL TEAM</v>
      </c>
      <c r="E797" s="5">
        <f>IFERROR(__xludf.DUMMYFUNCTION("""COMPUTED_VALUE"""),0.0)</f>
        <v>0</v>
      </c>
      <c r="F797" s="5">
        <f>IFERROR(__xludf.DUMMYFUNCTION("""COMPUTED_VALUE"""),0.0)</f>
        <v>0</v>
      </c>
    </row>
    <row r="798">
      <c r="A798" s="5" t="str">
        <f>IFERROR(__xludf.DUMMYFUNCTION("""COMPUTED_VALUE"""),"AUT14")</f>
        <v>AUT14</v>
      </c>
      <c r="B798" s="5" t="str">
        <f>IFERROR(__xludf.DUMMYFUNCTION("""COMPUTED_VALUE"""),"AUSTRIA")</f>
        <v>AUSTRIA</v>
      </c>
      <c r="C798" s="5" t="str">
        <f>IFERROR(__xludf.DUMMYFUNCTION("""COMPUTED_VALUE"""),"NORMAL")</f>
        <v>NORMAL</v>
      </c>
      <c r="D798" s="5" t="str">
        <f>IFERROR(__xludf.DUMMYFUNCTION("""COMPUTED_VALUE"""),"FLORIAN GRILLITSCH")</f>
        <v>FLORIAN GRILLITSCH</v>
      </c>
      <c r="E798" s="5">
        <f>IFERROR(__xludf.DUMMYFUNCTION("""COMPUTED_VALUE"""),0.0)</f>
        <v>0</v>
      </c>
      <c r="F798" s="5">
        <f>IFERROR(__xludf.DUMMYFUNCTION("""COMPUTED_VALUE"""),0.0)</f>
        <v>0</v>
      </c>
    </row>
    <row r="799">
      <c r="A799" s="5" t="str">
        <f>IFERROR(__xludf.DUMMYFUNCTION("""COMPUTED_VALUE"""),"AUT15")</f>
        <v>AUT15</v>
      </c>
      <c r="B799" s="5" t="str">
        <f>IFERROR(__xludf.DUMMYFUNCTION("""COMPUTED_VALUE"""),"AUSTRIA")</f>
        <v>AUSTRIA</v>
      </c>
      <c r="C799" s="5" t="str">
        <f>IFERROR(__xludf.DUMMYFUNCTION("""COMPUTED_VALUE"""),"NORMAL")</f>
        <v>NORMAL</v>
      </c>
      <c r="D799" s="5" t="str">
        <f>IFERROR(__xludf.DUMMYFUNCTION("""COMPUTED_VALUE"""),"NICOLAS SEIWALD")</f>
        <v>NICOLAS SEIWALD</v>
      </c>
      <c r="E799" s="5">
        <f>IFERROR(__xludf.DUMMYFUNCTION("""COMPUTED_VALUE"""),0.0)</f>
        <v>0</v>
      </c>
      <c r="F799" s="5">
        <f>IFERROR(__xludf.DUMMYFUNCTION("""COMPUTED_VALUE"""),0.0)</f>
        <v>0</v>
      </c>
    </row>
    <row r="800">
      <c r="A800" s="5" t="str">
        <f>IFERROR(__xludf.DUMMYFUNCTION("""COMPUTED_VALUE"""),"AUT16")</f>
        <v>AUT16</v>
      </c>
      <c r="B800" s="5" t="str">
        <f>IFERROR(__xludf.DUMMYFUNCTION("""COMPUTED_VALUE"""),"AUSTRIA")</f>
        <v>AUSTRIA</v>
      </c>
      <c r="C800" s="5" t="str">
        <f>IFERROR(__xludf.DUMMYFUNCTION("""COMPUTED_VALUE"""),"NORMAL")</f>
        <v>NORMAL</v>
      </c>
      <c r="D800" s="5" t="str">
        <f>IFERROR(__xludf.DUMMYFUNCTION("""COMPUTED_VALUE"""),"ROMANO SCHMID")</f>
        <v>ROMANO SCHMID</v>
      </c>
      <c r="E800" s="5">
        <f>IFERROR(__xludf.DUMMYFUNCTION("""COMPUTED_VALUE"""),0.0)</f>
        <v>0</v>
      </c>
      <c r="F800" s="5">
        <f>IFERROR(__xludf.DUMMYFUNCTION("""COMPUTED_VALUE"""),0.0)</f>
        <v>0</v>
      </c>
    </row>
    <row r="801">
      <c r="A801" s="5" t="str">
        <f>IFERROR(__xludf.DUMMYFUNCTION("""COMPUTED_VALUE"""),"AUT17")</f>
        <v>AUT17</v>
      </c>
      <c r="B801" s="5" t="str">
        <f>IFERROR(__xludf.DUMMYFUNCTION("""COMPUTED_VALUE"""),"AUSTRIA")</f>
        <v>AUSTRIA</v>
      </c>
      <c r="C801" s="5" t="str">
        <f>IFERROR(__xludf.DUMMYFUNCTION("""COMPUTED_VALUE"""),"NORMAL")</f>
        <v>NORMAL</v>
      </c>
      <c r="D801" s="5" t="str">
        <f>IFERROR(__xludf.DUMMYFUNCTION("""COMPUTED_VALUE"""),"PATRICK WIMMER")</f>
        <v>PATRICK WIMMER</v>
      </c>
      <c r="E801" s="5">
        <f>IFERROR(__xludf.DUMMYFUNCTION("""COMPUTED_VALUE"""),0.0)</f>
        <v>0</v>
      </c>
      <c r="F801" s="5">
        <f>IFERROR(__xludf.DUMMYFUNCTION("""COMPUTED_VALUE"""),0.0)</f>
        <v>0</v>
      </c>
    </row>
    <row r="802">
      <c r="A802" s="5" t="str">
        <f>IFERROR(__xludf.DUMMYFUNCTION("""COMPUTED_VALUE"""),"AUT18")</f>
        <v>AUT18</v>
      </c>
      <c r="B802" s="5" t="str">
        <f>IFERROR(__xludf.DUMMYFUNCTION("""COMPUTED_VALUE"""),"AUSTRIA")</f>
        <v>AUSTRIA</v>
      </c>
      <c r="C802" s="5" t="str">
        <f>IFERROR(__xludf.DUMMYFUNCTION("""COMPUTED_VALUE"""),"NORMAL")</f>
        <v>NORMAL</v>
      </c>
      <c r="D802" s="5" t="str">
        <f>IFERROR(__xludf.DUMMYFUNCTION("""COMPUTED_VALUE"""),"CHRISTOPH BAUMGARTNER")</f>
        <v>CHRISTOPH BAUMGARTNER</v>
      </c>
      <c r="E802" s="5">
        <f>IFERROR(__xludf.DUMMYFUNCTION("""COMPUTED_VALUE"""),0.0)</f>
        <v>0</v>
      </c>
      <c r="F802" s="5">
        <f>IFERROR(__xludf.DUMMYFUNCTION("""COMPUTED_VALUE"""),0.0)</f>
        <v>0</v>
      </c>
    </row>
    <row r="803">
      <c r="A803" s="5" t="str">
        <f>IFERROR(__xludf.DUMMYFUNCTION("""COMPUTED_VALUE"""),"AUT19")</f>
        <v>AUT19</v>
      </c>
      <c r="B803" s="5" t="str">
        <f>IFERROR(__xludf.DUMMYFUNCTION("""COMPUTED_VALUE"""),"AUSTRIA")</f>
        <v>AUSTRIA</v>
      </c>
      <c r="C803" s="5" t="str">
        <f>IFERROR(__xludf.DUMMYFUNCTION("""COMPUTED_VALUE"""),"NORMAL")</f>
        <v>NORMAL</v>
      </c>
      <c r="D803" s="5" t="str">
        <f>IFERROR(__xludf.DUMMYFUNCTION("""COMPUTED_VALUE"""),"MICHAEL GREGORITSCH")</f>
        <v>MICHAEL GREGORITSCH</v>
      </c>
      <c r="E803" s="5">
        <f>IFERROR(__xludf.DUMMYFUNCTION("""COMPUTED_VALUE"""),0.0)</f>
        <v>0</v>
      </c>
      <c r="F803" s="5">
        <f>IFERROR(__xludf.DUMMYFUNCTION("""COMPUTED_VALUE"""),0.0)</f>
        <v>0</v>
      </c>
    </row>
    <row r="804">
      <c r="A804" s="5" t="str">
        <f>IFERROR(__xludf.DUMMYFUNCTION("""COMPUTED_VALUE"""),"AUT20")</f>
        <v>AUT20</v>
      </c>
      <c r="B804" s="5" t="str">
        <f>IFERROR(__xludf.DUMMYFUNCTION("""COMPUTED_VALUE"""),"AUSTRIA")</f>
        <v>AUSTRIA</v>
      </c>
      <c r="C804" s="5" t="str">
        <f>IFERROR(__xludf.DUMMYFUNCTION("""COMPUTED_VALUE"""),"NORMAL")</f>
        <v>NORMAL</v>
      </c>
      <c r="D804" s="5" t="str">
        <f>IFERROR(__xludf.DUMMYFUNCTION("""COMPUTED_VALUE"""),"MARKO ARNAUTOVIC")</f>
        <v>MARKO ARNAUTOVIC</v>
      </c>
      <c r="E804" s="5">
        <f>IFERROR(__xludf.DUMMYFUNCTION("""COMPUTED_VALUE"""),0.0)</f>
        <v>0</v>
      </c>
      <c r="F804" s="5">
        <f>IFERROR(__xludf.DUMMYFUNCTION("""COMPUTED_VALUE"""),0.0)</f>
        <v>0</v>
      </c>
    </row>
    <row r="805">
      <c r="A805" s="5" t="str">
        <f>IFERROR(__xludf.DUMMYFUNCTION("""COMPUTED_VALUE"""),"JOR01")</f>
        <v>JOR01</v>
      </c>
      <c r="B805" s="5" t="str">
        <f>IFERROR(__xludf.DUMMYFUNCTION("""COMPUTED_VALUE"""),"JORDAN")</f>
        <v>JORDAN</v>
      </c>
      <c r="C805" s="5" t="str">
        <f>IFERROR(__xludf.DUMMYFUNCTION("""COMPUTED_VALUE"""),"BADGE")</f>
        <v>BADGE</v>
      </c>
      <c r="D805" s="5" t="str">
        <f>IFERROR(__xludf.DUMMYFUNCTION("""COMPUTED_VALUE"""),"JORDAN NATIONAL TEAM")</f>
        <v>JORDAN NATIONAL TEAM</v>
      </c>
      <c r="E805" s="5">
        <f>IFERROR(__xludf.DUMMYFUNCTION("""COMPUTED_VALUE"""),0.0)</f>
        <v>0</v>
      </c>
      <c r="F805" s="5">
        <f>IFERROR(__xludf.DUMMYFUNCTION("""COMPUTED_VALUE"""),0.0)</f>
        <v>0</v>
      </c>
    </row>
    <row r="806">
      <c r="A806" s="5" t="str">
        <f>IFERROR(__xludf.DUMMYFUNCTION("""COMPUTED_VALUE"""),"JOR02")</f>
        <v>JOR02</v>
      </c>
      <c r="B806" s="5" t="str">
        <f>IFERROR(__xludf.DUMMYFUNCTION("""COMPUTED_VALUE"""),"JORDAN")</f>
        <v>JORDAN</v>
      </c>
      <c r="C806" s="5" t="str">
        <f>IFERROR(__xludf.DUMMYFUNCTION("""COMPUTED_VALUE"""),"NORMAL")</f>
        <v>NORMAL</v>
      </c>
      <c r="D806" s="5" t="str">
        <f>IFERROR(__xludf.DUMMYFUNCTION("""COMPUTED_VALUE"""),"YAZEED ABULAILA")</f>
        <v>YAZEED ABULAILA</v>
      </c>
      <c r="E806" s="5">
        <f>IFERROR(__xludf.DUMMYFUNCTION("""COMPUTED_VALUE"""),0.0)</f>
        <v>0</v>
      </c>
      <c r="F806" s="5">
        <f>IFERROR(__xludf.DUMMYFUNCTION("""COMPUTED_VALUE"""),0.0)</f>
        <v>0</v>
      </c>
    </row>
    <row r="807">
      <c r="A807" s="5" t="str">
        <f>IFERROR(__xludf.DUMMYFUNCTION("""COMPUTED_VALUE"""),"JOR03")</f>
        <v>JOR03</v>
      </c>
      <c r="B807" s="5" t="str">
        <f>IFERROR(__xludf.DUMMYFUNCTION("""COMPUTED_VALUE"""),"JORDAN")</f>
        <v>JORDAN</v>
      </c>
      <c r="C807" s="5" t="str">
        <f>IFERROR(__xludf.DUMMYFUNCTION("""COMPUTED_VALUE"""),"NORMAL")</f>
        <v>NORMAL</v>
      </c>
      <c r="D807" s="5" t="str">
        <f>IFERROR(__xludf.DUMMYFUNCTION("""COMPUTED_VALUE"""),"IHSAN HADDAD")</f>
        <v>IHSAN HADDAD</v>
      </c>
      <c r="E807" s="5">
        <f>IFERROR(__xludf.DUMMYFUNCTION("""COMPUTED_VALUE"""),0.0)</f>
        <v>0</v>
      </c>
      <c r="F807" s="5">
        <f>IFERROR(__xludf.DUMMYFUNCTION("""COMPUTED_VALUE"""),0.0)</f>
        <v>0</v>
      </c>
    </row>
    <row r="808">
      <c r="A808" s="5" t="str">
        <f>IFERROR(__xludf.DUMMYFUNCTION("""COMPUTED_VALUE"""),"JOR04")</f>
        <v>JOR04</v>
      </c>
      <c r="B808" s="5" t="str">
        <f>IFERROR(__xludf.DUMMYFUNCTION("""COMPUTED_VALUE"""),"JORDAN")</f>
        <v>JORDAN</v>
      </c>
      <c r="C808" s="5" t="str">
        <f>IFERROR(__xludf.DUMMYFUNCTION("""COMPUTED_VALUE"""),"NORMAL")</f>
        <v>NORMAL</v>
      </c>
      <c r="D808" s="5" t="str">
        <f>IFERROR(__xludf.DUMMYFUNCTION("""COMPUTED_VALUE"""),"MOHAMMAD ABU HASHISH")</f>
        <v>MOHAMMAD ABU HASHISH</v>
      </c>
      <c r="E808" s="5">
        <f>IFERROR(__xludf.DUMMYFUNCTION("""COMPUTED_VALUE"""),0.0)</f>
        <v>0</v>
      </c>
      <c r="F808" s="5">
        <f>IFERROR(__xludf.DUMMYFUNCTION("""COMPUTED_VALUE"""),0.0)</f>
        <v>0</v>
      </c>
    </row>
    <row r="809">
      <c r="A809" s="5" t="str">
        <f>IFERROR(__xludf.DUMMYFUNCTION("""COMPUTED_VALUE"""),"JOR05")</f>
        <v>JOR05</v>
      </c>
      <c r="B809" s="5" t="str">
        <f>IFERROR(__xludf.DUMMYFUNCTION("""COMPUTED_VALUE"""),"JORDAN")</f>
        <v>JORDAN</v>
      </c>
      <c r="C809" s="5" t="str">
        <f>IFERROR(__xludf.DUMMYFUNCTION("""COMPUTED_VALUE"""),"NORMAL")</f>
        <v>NORMAL</v>
      </c>
      <c r="D809" s="5" t="str">
        <f>IFERROR(__xludf.DUMMYFUNCTION("""COMPUTED_VALUE"""),"YAZAN AL-ARAB")</f>
        <v>YAZAN AL-ARAB</v>
      </c>
      <c r="E809" s="5">
        <f>IFERROR(__xludf.DUMMYFUNCTION("""COMPUTED_VALUE"""),0.0)</f>
        <v>0</v>
      </c>
      <c r="F809" s="5">
        <f>IFERROR(__xludf.DUMMYFUNCTION("""COMPUTED_VALUE"""),0.0)</f>
        <v>0</v>
      </c>
    </row>
    <row r="810">
      <c r="A810" s="5" t="str">
        <f>IFERROR(__xludf.DUMMYFUNCTION("""COMPUTED_VALUE"""),"JOR06")</f>
        <v>JOR06</v>
      </c>
      <c r="B810" s="5" t="str">
        <f>IFERROR(__xludf.DUMMYFUNCTION("""COMPUTED_VALUE"""),"JORDAN")</f>
        <v>JORDAN</v>
      </c>
      <c r="C810" s="5" t="str">
        <f>IFERROR(__xludf.DUMMYFUNCTION("""COMPUTED_VALUE"""),"NORMAL")</f>
        <v>NORMAL</v>
      </c>
      <c r="D810" s="5" t="str">
        <f>IFERROR(__xludf.DUMMYFUNCTION("""COMPUTED_VALUE"""),"ABDALLAH NASIB")</f>
        <v>ABDALLAH NASIB</v>
      </c>
      <c r="E810" s="5">
        <f>IFERROR(__xludf.DUMMYFUNCTION("""COMPUTED_VALUE"""),0.0)</f>
        <v>0</v>
      </c>
      <c r="F810" s="5">
        <f>IFERROR(__xludf.DUMMYFUNCTION("""COMPUTED_VALUE"""),0.0)</f>
        <v>0</v>
      </c>
    </row>
    <row r="811">
      <c r="A811" s="5" t="str">
        <f>IFERROR(__xludf.DUMMYFUNCTION("""COMPUTED_VALUE"""),"JOR07")</f>
        <v>JOR07</v>
      </c>
      <c r="B811" s="5" t="str">
        <f>IFERROR(__xludf.DUMMYFUNCTION("""COMPUTED_VALUE"""),"JORDAN")</f>
        <v>JORDAN</v>
      </c>
      <c r="C811" s="5" t="str">
        <f>IFERROR(__xludf.DUMMYFUNCTION("""COMPUTED_VALUE"""),"NORMAL")</f>
        <v>NORMAL</v>
      </c>
      <c r="D811" s="5" t="str">
        <f>IFERROR(__xludf.DUMMYFUNCTION("""COMPUTED_VALUE"""),"SALLEM OBAID")</f>
        <v>SALLEM OBAID</v>
      </c>
      <c r="E811" s="5">
        <f>IFERROR(__xludf.DUMMYFUNCTION("""COMPUTED_VALUE"""),0.0)</f>
        <v>0</v>
      </c>
      <c r="F811" s="5">
        <f>IFERROR(__xludf.DUMMYFUNCTION("""COMPUTED_VALUE"""),0.0)</f>
        <v>0</v>
      </c>
    </row>
    <row r="812">
      <c r="A812" s="5" t="str">
        <f>IFERROR(__xludf.DUMMYFUNCTION("""COMPUTED_VALUE"""),"JOR08")</f>
        <v>JOR08</v>
      </c>
      <c r="B812" s="5" t="str">
        <f>IFERROR(__xludf.DUMMYFUNCTION("""COMPUTED_VALUE"""),"JORDAN")</f>
        <v>JORDAN</v>
      </c>
      <c r="C812" s="5" t="str">
        <f>IFERROR(__xludf.DUMMYFUNCTION("""COMPUTED_VALUE"""),"NORMAL")</f>
        <v>NORMAL</v>
      </c>
      <c r="D812" s="5" t="str">
        <f>IFERROR(__xludf.DUMMYFUNCTION("""COMPUTED_VALUE"""),"MOHAMMAD ABUALNADI")</f>
        <v>MOHAMMAD ABUALNADI</v>
      </c>
      <c r="E812" s="5">
        <f>IFERROR(__xludf.DUMMYFUNCTION("""COMPUTED_VALUE"""),0.0)</f>
        <v>0</v>
      </c>
      <c r="F812" s="5">
        <f>IFERROR(__xludf.DUMMYFUNCTION("""COMPUTED_VALUE"""),0.0)</f>
        <v>0</v>
      </c>
    </row>
    <row r="813">
      <c r="A813" s="5" t="str">
        <f>IFERROR(__xludf.DUMMYFUNCTION("""COMPUTED_VALUE"""),"JOR09")</f>
        <v>JOR09</v>
      </c>
      <c r="B813" s="5" t="str">
        <f>IFERROR(__xludf.DUMMYFUNCTION("""COMPUTED_VALUE"""),"JORDAN")</f>
        <v>JORDAN</v>
      </c>
      <c r="C813" s="5" t="str">
        <f>IFERROR(__xludf.DUMMYFUNCTION("""COMPUTED_VALUE"""),"NORMAL")</f>
        <v>NORMAL</v>
      </c>
      <c r="D813" s="5" t="str">
        <f>IFERROR(__xludf.DUMMYFUNCTION("""COMPUTED_VALUE"""),"IBRAHIM SAADEH")</f>
        <v>IBRAHIM SAADEH</v>
      </c>
      <c r="E813" s="5">
        <f>IFERROR(__xludf.DUMMYFUNCTION("""COMPUTED_VALUE"""),0.0)</f>
        <v>0</v>
      </c>
      <c r="F813" s="5">
        <f>IFERROR(__xludf.DUMMYFUNCTION("""COMPUTED_VALUE"""),0.0)</f>
        <v>0</v>
      </c>
    </row>
    <row r="814">
      <c r="A814" s="5" t="str">
        <f>IFERROR(__xludf.DUMMYFUNCTION("""COMPUTED_VALUE"""),"JOR10")</f>
        <v>JOR10</v>
      </c>
      <c r="B814" s="5" t="str">
        <f>IFERROR(__xludf.DUMMYFUNCTION("""COMPUTED_VALUE"""),"JORDAN")</f>
        <v>JORDAN</v>
      </c>
      <c r="C814" s="5" t="str">
        <f>IFERROR(__xludf.DUMMYFUNCTION("""COMPUTED_VALUE"""),"NORMAL")</f>
        <v>NORMAL</v>
      </c>
      <c r="D814" s="5" t="str">
        <f>IFERROR(__xludf.DUMMYFUNCTION("""COMPUTED_VALUE"""),"NIZAR AL-RASHDAN")</f>
        <v>NIZAR AL-RASHDAN</v>
      </c>
      <c r="E814" s="5">
        <f>IFERROR(__xludf.DUMMYFUNCTION("""COMPUTED_VALUE"""),0.0)</f>
        <v>0</v>
      </c>
      <c r="F814" s="5">
        <f>IFERROR(__xludf.DUMMYFUNCTION("""COMPUTED_VALUE"""),0.0)</f>
        <v>0</v>
      </c>
    </row>
    <row r="815">
      <c r="A815" s="5" t="str">
        <f>IFERROR(__xludf.DUMMYFUNCTION("""COMPUTED_VALUE"""),"JOR11")</f>
        <v>JOR11</v>
      </c>
      <c r="B815" s="5" t="str">
        <f>IFERROR(__xludf.DUMMYFUNCTION("""COMPUTED_VALUE"""),"JORDAN")</f>
        <v>JORDAN</v>
      </c>
      <c r="C815" s="5" t="str">
        <f>IFERROR(__xludf.DUMMYFUNCTION("""COMPUTED_VALUE"""),"NORMAL")</f>
        <v>NORMAL</v>
      </c>
      <c r="D815" s="5" t="str">
        <f>IFERROR(__xludf.DUMMYFUNCTION("""COMPUTED_VALUE"""),"NOOR AL-RAWABDEH")</f>
        <v>NOOR AL-RAWABDEH</v>
      </c>
      <c r="E815" s="5">
        <f>IFERROR(__xludf.DUMMYFUNCTION("""COMPUTED_VALUE"""),0.0)</f>
        <v>0</v>
      </c>
      <c r="F815" s="5">
        <f>IFERROR(__xludf.DUMMYFUNCTION("""COMPUTED_VALUE"""),0.0)</f>
        <v>0</v>
      </c>
    </row>
    <row r="816">
      <c r="A816" s="5" t="str">
        <f>IFERROR(__xludf.DUMMYFUNCTION("""COMPUTED_VALUE"""),"JOR12")</f>
        <v>JOR12</v>
      </c>
      <c r="B816" s="5" t="str">
        <f>IFERROR(__xludf.DUMMYFUNCTION("""COMPUTED_VALUE"""),"JORDAN")</f>
        <v>JORDAN</v>
      </c>
      <c r="C816" s="5" t="str">
        <f>IFERROR(__xludf.DUMMYFUNCTION("""COMPUTED_VALUE"""),"NORMAL")</f>
        <v>NORMAL</v>
      </c>
      <c r="D816" s="5" t="str">
        <f>IFERROR(__xludf.DUMMYFUNCTION("""COMPUTED_VALUE"""),"MOHAMMAD ABU TAHA")</f>
        <v>MOHAMMAD ABU TAHA</v>
      </c>
      <c r="E816" s="5">
        <f>IFERROR(__xludf.DUMMYFUNCTION("""COMPUTED_VALUE"""),0.0)</f>
        <v>0</v>
      </c>
      <c r="F816" s="5">
        <f>IFERROR(__xludf.DUMMYFUNCTION("""COMPUTED_VALUE"""),0.0)</f>
        <v>0</v>
      </c>
    </row>
    <row r="817">
      <c r="A817" s="5" t="str">
        <f>IFERROR(__xludf.DUMMYFUNCTION("""COMPUTED_VALUE"""),"JOR13")</f>
        <v>JOR13</v>
      </c>
      <c r="B817" s="5" t="str">
        <f>IFERROR(__xludf.DUMMYFUNCTION("""COMPUTED_VALUE"""),"JORDAN")</f>
        <v>JORDAN</v>
      </c>
      <c r="C817" s="5" t="str">
        <f>IFERROR(__xludf.DUMMYFUNCTION("""COMPUTED_VALUE"""),"TEAM")</f>
        <v>TEAM</v>
      </c>
      <c r="D817" s="5" t="str">
        <f>IFERROR(__xludf.DUMMYFUNCTION("""COMPUTED_VALUE"""),"JORDAN NATIONAL TEAM")</f>
        <v>JORDAN NATIONAL TEAM</v>
      </c>
      <c r="E817" s="5">
        <f>IFERROR(__xludf.DUMMYFUNCTION("""COMPUTED_VALUE"""),0.0)</f>
        <v>0</v>
      </c>
      <c r="F817" s="5">
        <f>IFERROR(__xludf.DUMMYFUNCTION("""COMPUTED_VALUE"""),0.0)</f>
        <v>0</v>
      </c>
    </row>
    <row r="818">
      <c r="A818" s="5" t="str">
        <f>IFERROR(__xludf.DUMMYFUNCTION("""COMPUTED_VALUE"""),"JOR14")</f>
        <v>JOR14</v>
      </c>
      <c r="B818" s="5" t="str">
        <f>IFERROR(__xludf.DUMMYFUNCTION("""COMPUTED_VALUE"""),"JORDAN")</f>
        <v>JORDAN</v>
      </c>
      <c r="C818" s="5" t="str">
        <f>IFERROR(__xludf.DUMMYFUNCTION("""COMPUTED_VALUE"""),"NORMAL")</f>
        <v>NORMAL</v>
      </c>
      <c r="D818" s="5" t="str">
        <f>IFERROR(__xludf.DUMMYFUNCTION("""COMPUTED_VALUE"""),"AMER JAMOUS")</f>
        <v>AMER JAMOUS</v>
      </c>
      <c r="E818" s="5">
        <f>IFERROR(__xludf.DUMMYFUNCTION("""COMPUTED_VALUE"""),0.0)</f>
        <v>0</v>
      </c>
      <c r="F818" s="5">
        <f>IFERROR(__xludf.DUMMYFUNCTION("""COMPUTED_VALUE"""),0.0)</f>
        <v>0</v>
      </c>
    </row>
    <row r="819">
      <c r="A819" s="5" t="str">
        <f>IFERROR(__xludf.DUMMYFUNCTION("""COMPUTED_VALUE"""),"JOR15")</f>
        <v>JOR15</v>
      </c>
      <c r="B819" s="5" t="str">
        <f>IFERROR(__xludf.DUMMYFUNCTION("""COMPUTED_VALUE"""),"JORDAN")</f>
        <v>JORDAN</v>
      </c>
      <c r="C819" s="5" t="str">
        <f>IFERROR(__xludf.DUMMYFUNCTION("""COMPUTED_VALUE"""),"NORMAL")</f>
        <v>NORMAL</v>
      </c>
      <c r="D819" s="5" t="str">
        <f>IFERROR(__xludf.DUMMYFUNCTION("""COMPUTED_VALUE"""),"MOUSA AL-TAAMARI")</f>
        <v>MOUSA AL-TAAMARI</v>
      </c>
      <c r="E819" s="5">
        <f>IFERROR(__xludf.DUMMYFUNCTION("""COMPUTED_VALUE"""),0.0)</f>
        <v>0</v>
      </c>
      <c r="F819" s="5">
        <f>IFERROR(__xludf.DUMMYFUNCTION("""COMPUTED_VALUE"""),0.0)</f>
        <v>0</v>
      </c>
    </row>
    <row r="820">
      <c r="A820" s="5" t="str">
        <f>IFERROR(__xludf.DUMMYFUNCTION("""COMPUTED_VALUE"""),"JOR16")</f>
        <v>JOR16</v>
      </c>
      <c r="B820" s="5" t="str">
        <f>IFERROR(__xludf.DUMMYFUNCTION("""COMPUTED_VALUE"""),"JORDAN")</f>
        <v>JORDAN</v>
      </c>
      <c r="C820" s="5" t="str">
        <f>IFERROR(__xludf.DUMMYFUNCTION("""COMPUTED_VALUE"""),"NORMAL")</f>
        <v>NORMAL</v>
      </c>
      <c r="D820" s="5" t="str">
        <f>IFERROR(__xludf.DUMMYFUNCTION("""COMPUTED_VALUE"""),"YAZAN AL-NAIMAT")</f>
        <v>YAZAN AL-NAIMAT</v>
      </c>
      <c r="E820" s="5">
        <f>IFERROR(__xludf.DUMMYFUNCTION("""COMPUTED_VALUE"""),0.0)</f>
        <v>0</v>
      </c>
      <c r="F820" s="5">
        <f>IFERROR(__xludf.DUMMYFUNCTION("""COMPUTED_VALUE"""),0.0)</f>
        <v>0</v>
      </c>
    </row>
    <row r="821">
      <c r="A821" s="5" t="str">
        <f>IFERROR(__xludf.DUMMYFUNCTION("""COMPUTED_VALUE"""),"JOR17")</f>
        <v>JOR17</v>
      </c>
      <c r="B821" s="5" t="str">
        <f>IFERROR(__xludf.DUMMYFUNCTION("""COMPUTED_VALUE"""),"JORDAN")</f>
        <v>JORDAN</v>
      </c>
      <c r="C821" s="5" t="str">
        <f>IFERROR(__xludf.DUMMYFUNCTION("""COMPUTED_VALUE"""),"NORMAL")</f>
        <v>NORMAL</v>
      </c>
      <c r="D821" s="5" t="str">
        <f>IFERROR(__xludf.DUMMYFUNCTION("""COMPUTED_VALUE"""),"MAHMOUD AL-MARDI")</f>
        <v>MAHMOUD AL-MARDI</v>
      </c>
      <c r="E821" s="5">
        <f>IFERROR(__xludf.DUMMYFUNCTION("""COMPUTED_VALUE"""),0.0)</f>
        <v>0</v>
      </c>
      <c r="F821" s="5">
        <f>IFERROR(__xludf.DUMMYFUNCTION("""COMPUTED_VALUE"""),0.0)</f>
        <v>0</v>
      </c>
    </row>
    <row r="822">
      <c r="A822" s="5" t="str">
        <f>IFERROR(__xludf.DUMMYFUNCTION("""COMPUTED_VALUE"""),"JOR18")</f>
        <v>JOR18</v>
      </c>
      <c r="B822" s="5" t="str">
        <f>IFERROR(__xludf.DUMMYFUNCTION("""COMPUTED_VALUE"""),"JORDAN")</f>
        <v>JORDAN</v>
      </c>
      <c r="C822" s="5" t="str">
        <f>IFERROR(__xludf.DUMMYFUNCTION("""COMPUTED_VALUE"""),"NORMAL")</f>
        <v>NORMAL</v>
      </c>
      <c r="D822" s="5" t="str">
        <f>IFERROR(__xludf.DUMMYFUNCTION("""COMPUTED_VALUE"""),"ALI OLWAN")</f>
        <v>ALI OLWAN</v>
      </c>
      <c r="E822" s="5">
        <f>IFERROR(__xludf.DUMMYFUNCTION("""COMPUTED_VALUE"""),0.0)</f>
        <v>0</v>
      </c>
      <c r="F822" s="5">
        <f>IFERROR(__xludf.DUMMYFUNCTION("""COMPUTED_VALUE"""),0.0)</f>
        <v>0</v>
      </c>
    </row>
    <row r="823">
      <c r="A823" s="5" t="str">
        <f>IFERROR(__xludf.DUMMYFUNCTION("""COMPUTED_VALUE"""),"JOR19")</f>
        <v>JOR19</v>
      </c>
      <c r="B823" s="5" t="str">
        <f>IFERROR(__xludf.DUMMYFUNCTION("""COMPUTED_VALUE"""),"JORDAN")</f>
        <v>JORDAN</v>
      </c>
      <c r="C823" s="5" t="str">
        <f>IFERROR(__xludf.DUMMYFUNCTION("""COMPUTED_VALUE"""),"NORMAL")</f>
        <v>NORMAL</v>
      </c>
      <c r="D823" s="5" t="str">
        <f>IFERROR(__xludf.DUMMYFUNCTION("""COMPUTED_VALUE"""),"MOHAMMAD ABU ZRAYQ")</f>
        <v>MOHAMMAD ABU ZRAYQ</v>
      </c>
      <c r="E823" s="5">
        <f>IFERROR(__xludf.DUMMYFUNCTION("""COMPUTED_VALUE"""),0.0)</f>
        <v>0</v>
      </c>
      <c r="F823" s="5">
        <f>IFERROR(__xludf.DUMMYFUNCTION("""COMPUTED_VALUE"""),0.0)</f>
        <v>0</v>
      </c>
    </row>
    <row r="824">
      <c r="A824" s="5" t="str">
        <f>IFERROR(__xludf.DUMMYFUNCTION("""COMPUTED_VALUE"""),"JOR20")</f>
        <v>JOR20</v>
      </c>
      <c r="B824" s="5" t="str">
        <f>IFERROR(__xludf.DUMMYFUNCTION("""COMPUTED_VALUE"""),"JORDAN")</f>
        <v>JORDAN</v>
      </c>
      <c r="C824" s="5" t="str">
        <f>IFERROR(__xludf.DUMMYFUNCTION("""COMPUTED_VALUE"""),"NORMAL")</f>
        <v>NORMAL</v>
      </c>
      <c r="D824" s="5" t="str">
        <f>IFERROR(__xludf.DUMMYFUNCTION("""COMPUTED_VALUE"""),"IBRAHIM SABRA")</f>
        <v>IBRAHIM SABRA</v>
      </c>
      <c r="E824" s="5">
        <f>IFERROR(__xludf.DUMMYFUNCTION("""COMPUTED_VALUE"""),0.0)</f>
        <v>0</v>
      </c>
      <c r="F824" s="5">
        <f>IFERROR(__xludf.DUMMYFUNCTION("""COMPUTED_VALUE"""),0.0)</f>
        <v>0</v>
      </c>
    </row>
    <row r="825">
      <c r="A825" s="5" t="str">
        <f>IFERROR(__xludf.DUMMYFUNCTION("""COMPUTED_VALUE"""),"POR 01")</f>
        <v>POR 01</v>
      </c>
      <c r="B825" s="5" t="str">
        <f>IFERROR(__xludf.DUMMYFUNCTION("""COMPUTED_VALUE"""),"PORTUGAL")</f>
        <v>PORTUGAL</v>
      </c>
      <c r="C825" s="5" t="str">
        <f>IFERROR(__xludf.DUMMYFUNCTION("""COMPUTED_VALUE"""),"BADGE")</f>
        <v>BADGE</v>
      </c>
      <c r="D825" s="5" t="str">
        <f>IFERROR(__xludf.DUMMYFUNCTION("""COMPUTED_VALUE"""),"PORTUGAL NATIONAL TEAM")</f>
        <v>PORTUGAL NATIONAL TEAM</v>
      </c>
      <c r="E825" s="5">
        <f>IFERROR(__xludf.DUMMYFUNCTION("""COMPUTED_VALUE"""),0.0)</f>
        <v>0</v>
      </c>
      <c r="F825" s="5">
        <f>IFERROR(__xludf.DUMMYFUNCTION("""COMPUTED_VALUE"""),0.0)</f>
        <v>0</v>
      </c>
    </row>
    <row r="826">
      <c r="A826" s="5" t="str">
        <f>IFERROR(__xludf.DUMMYFUNCTION("""COMPUTED_VALUE"""),"POR 02")</f>
        <v>POR 02</v>
      </c>
      <c r="B826" s="5" t="str">
        <f>IFERROR(__xludf.DUMMYFUNCTION("""COMPUTED_VALUE"""),"PORTUGAL")</f>
        <v>PORTUGAL</v>
      </c>
      <c r="C826" s="5" t="str">
        <f>IFERROR(__xludf.DUMMYFUNCTION("""COMPUTED_VALUE"""),"NORMAL")</f>
        <v>NORMAL</v>
      </c>
      <c r="D826" s="5" t="str">
        <f>IFERROR(__xludf.DUMMYFUNCTION("""COMPUTED_VALUE"""),"DIOGO COSTA")</f>
        <v>DIOGO COSTA</v>
      </c>
      <c r="E826" s="5">
        <f>IFERROR(__xludf.DUMMYFUNCTION("""COMPUTED_VALUE"""),0.0)</f>
        <v>0</v>
      </c>
      <c r="F826" s="5">
        <f>IFERROR(__xludf.DUMMYFUNCTION("""COMPUTED_VALUE"""),0.0)</f>
        <v>0</v>
      </c>
    </row>
    <row r="827">
      <c r="A827" s="5" t="str">
        <f>IFERROR(__xludf.DUMMYFUNCTION("""COMPUTED_VALUE"""),"POR 03")</f>
        <v>POR 03</v>
      </c>
      <c r="B827" s="5" t="str">
        <f>IFERROR(__xludf.DUMMYFUNCTION("""COMPUTED_VALUE"""),"PORTUGAL")</f>
        <v>PORTUGAL</v>
      </c>
      <c r="C827" s="5" t="str">
        <f>IFERROR(__xludf.DUMMYFUNCTION("""COMPUTED_VALUE"""),"NORMAL")</f>
        <v>NORMAL</v>
      </c>
      <c r="D827" s="5" t="str">
        <f>IFERROR(__xludf.DUMMYFUNCTION("""COMPUTED_VALUE"""),"JOSE SA")</f>
        <v>JOSE SA</v>
      </c>
      <c r="E827" s="5">
        <f>IFERROR(__xludf.DUMMYFUNCTION("""COMPUTED_VALUE"""),0.0)</f>
        <v>0</v>
      </c>
      <c r="F827" s="5">
        <f>IFERROR(__xludf.DUMMYFUNCTION("""COMPUTED_VALUE"""),0.0)</f>
        <v>0</v>
      </c>
    </row>
    <row r="828">
      <c r="A828" s="5" t="str">
        <f>IFERROR(__xludf.DUMMYFUNCTION("""COMPUTED_VALUE"""),"POR 04")</f>
        <v>POR 04</v>
      </c>
      <c r="B828" s="5" t="str">
        <f>IFERROR(__xludf.DUMMYFUNCTION("""COMPUTED_VALUE"""),"PORTUGAL")</f>
        <v>PORTUGAL</v>
      </c>
      <c r="C828" s="5" t="str">
        <f>IFERROR(__xludf.DUMMYFUNCTION("""COMPUTED_VALUE"""),"NORMAL")</f>
        <v>NORMAL</v>
      </c>
      <c r="D828" s="5" t="str">
        <f>IFERROR(__xludf.DUMMYFUNCTION("""COMPUTED_VALUE"""),"RUBEN DIAS")</f>
        <v>RUBEN DIAS</v>
      </c>
      <c r="E828" s="5">
        <f>IFERROR(__xludf.DUMMYFUNCTION("""COMPUTED_VALUE"""),0.0)</f>
        <v>0</v>
      </c>
      <c r="F828" s="5">
        <f>IFERROR(__xludf.DUMMYFUNCTION("""COMPUTED_VALUE"""),0.0)</f>
        <v>0</v>
      </c>
    </row>
    <row r="829">
      <c r="A829" s="5" t="str">
        <f>IFERROR(__xludf.DUMMYFUNCTION("""COMPUTED_VALUE"""),"POR 05")</f>
        <v>POR 05</v>
      </c>
      <c r="B829" s="5" t="str">
        <f>IFERROR(__xludf.DUMMYFUNCTION("""COMPUTED_VALUE"""),"PORTUGAL")</f>
        <v>PORTUGAL</v>
      </c>
      <c r="C829" s="5" t="str">
        <f>IFERROR(__xludf.DUMMYFUNCTION("""COMPUTED_VALUE"""),"NORMAL")</f>
        <v>NORMAL</v>
      </c>
      <c r="D829" s="5" t="str">
        <f>IFERROR(__xludf.DUMMYFUNCTION("""COMPUTED_VALUE"""),"JOAO CANCELO")</f>
        <v>JOAO CANCELO</v>
      </c>
      <c r="E829" s="5">
        <f>IFERROR(__xludf.DUMMYFUNCTION("""COMPUTED_VALUE"""),0.0)</f>
        <v>0</v>
      </c>
      <c r="F829" s="5">
        <f>IFERROR(__xludf.DUMMYFUNCTION("""COMPUTED_VALUE"""),0.0)</f>
        <v>0</v>
      </c>
    </row>
    <row r="830">
      <c r="A830" s="5" t="str">
        <f>IFERROR(__xludf.DUMMYFUNCTION("""COMPUTED_VALUE"""),"POR 06")</f>
        <v>POR 06</v>
      </c>
      <c r="B830" s="5" t="str">
        <f>IFERROR(__xludf.DUMMYFUNCTION("""COMPUTED_VALUE"""),"PORTUGAL")</f>
        <v>PORTUGAL</v>
      </c>
      <c r="C830" s="5" t="str">
        <f>IFERROR(__xludf.DUMMYFUNCTION("""COMPUTED_VALUE"""),"NORMAL")</f>
        <v>NORMAL</v>
      </c>
      <c r="D830" s="5" t="str">
        <f>IFERROR(__xludf.DUMMYFUNCTION("""COMPUTED_VALUE"""),"DIOGO DALOT")</f>
        <v>DIOGO DALOT</v>
      </c>
      <c r="E830" s="5">
        <f>IFERROR(__xludf.DUMMYFUNCTION("""COMPUTED_VALUE"""),0.0)</f>
        <v>0</v>
      </c>
      <c r="F830" s="5">
        <f>IFERROR(__xludf.DUMMYFUNCTION("""COMPUTED_VALUE"""),0.0)</f>
        <v>0</v>
      </c>
    </row>
    <row r="831">
      <c r="A831" s="5" t="str">
        <f>IFERROR(__xludf.DUMMYFUNCTION("""COMPUTED_VALUE"""),"POR 07")</f>
        <v>POR 07</v>
      </c>
      <c r="B831" s="5" t="str">
        <f>IFERROR(__xludf.DUMMYFUNCTION("""COMPUTED_VALUE"""),"PORTUGAL")</f>
        <v>PORTUGAL</v>
      </c>
      <c r="C831" s="5" t="str">
        <f>IFERROR(__xludf.DUMMYFUNCTION("""COMPUTED_VALUE"""),"NORMAL")</f>
        <v>NORMAL</v>
      </c>
      <c r="D831" s="5" t="str">
        <f>IFERROR(__xludf.DUMMYFUNCTION("""COMPUTED_VALUE"""),"NUNO MENDES")</f>
        <v>NUNO MENDES</v>
      </c>
      <c r="E831" s="5">
        <f>IFERROR(__xludf.DUMMYFUNCTION("""COMPUTED_VALUE"""),0.0)</f>
        <v>0</v>
      </c>
      <c r="F831" s="5">
        <f>IFERROR(__xludf.DUMMYFUNCTION("""COMPUTED_VALUE"""),0.0)</f>
        <v>0</v>
      </c>
    </row>
    <row r="832">
      <c r="A832" s="5" t="str">
        <f>IFERROR(__xludf.DUMMYFUNCTION("""COMPUTED_VALUE"""),"POR 08")</f>
        <v>POR 08</v>
      </c>
      <c r="B832" s="5" t="str">
        <f>IFERROR(__xludf.DUMMYFUNCTION("""COMPUTED_VALUE"""),"PORTUGAL")</f>
        <v>PORTUGAL</v>
      </c>
      <c r="C832" s="5" t="str">
        <f>IFERROR(__xludf.DUMMYFUNCTION("""COMPUTED_VALUE"""),"NORMAL")</f>
        <v>NORMAL</v>
      </c>
      <c r="D832" s="5" t="str">
        <f>IFERROR(__xludf.DUMMYFUNCTION("""COMPUTED_VALUE"""),"GONCALO INACIO")</f>
        <v>GONCALO INACIO</v>
      </c>
      <c r="E832" s="5">
        <f>IFERROR(__xludf.DUMMYFUNCTION("""COMPUTED_VALUE"""),0.0)</f>
        <v>0</v>
      </c>
      <c r="F832" s="5">
        <f>IFERROR(__xludf.DUMMYFUNCTION("""COMPUTED_VALUE"""),0.0)</f>
        <v>0</v>
      </c>
    </row>
    <row r="833">
      <c r="A833" s="5" t="str">
        <f>IFERROR(__xludf.DUMMYFUNCTION("""COMPUTED_VALUE"""),"POR 09")</f>
        <v>POR 09</v>
      </c>
      <c r="B833" s="5" t="str">
        <f>IFERROR(__xludf.DUMMYFUNCTION("""COMPUTED_VALUE"""),"PORTUGAL")</f>
        <v>PORTUGAL</v>
      </c>
      <c r="C833" s="5" t="str">
        <f>IFERROR(__xludf.DUMMYFUNCTION("""COMPUTED_VALUE"""),"NORMAL")</f>
        <v>NORMAL</v>
      </c>
      <c r="D833" s="5" t="str">
        <f>IFERROR(__xludf.DUMMYFUNCTION("""COMPUTED_VALUE"""),"BERNARDO SILVA")</f>
        <v>BERNARDO SILVA</v>
      </c>
      <c r="E833" s="5">
        <f>IFERROR(__xludf.DUMMYFUNCTION("""COMPUTED_VALUE"""),0.0)</f>
        <v>0</v>
      </c>
      <c r="F833" s="5">
        <f>IFERROR(__xludf.DUMMYFUNCTION("""COMPUTED_VALUE"""),0.0)</f>
        <v>0</v>
      </c>
    </row>
    <row r="834">
      <c r="A834" s="5" t="str">
        <f>IFERROR(__xludf.DUMMYFUNCTION("""COMPUTED_VALUE"""),"POR 10")</f>
        <v>POR 10</v>
      </c>
      <c r="B834" s="5" t="str">
        <f>IFERROR(__xludf.DUMMYFUNCTION("""COMPUTED_VALUE"""),"PORTUGAL")</f>
        <v>PORTUGAL</v>
      </c>
      <c r="C834" s="5" t="str">
        <f>IFERROR(__xludf.DUMMYFUNCTION("""COMPUTED_VALUE"""),"NORMAL")</f>
        <v>NORMAL</v>
      </c>
      <c r="D834" s="5" t="str">
        <f>IFERROR(__xludf.DUMMYFUNCTION("""COMPUTED_VALUE"""),"BRUNO FERNANDES")</f>
        <v>BRUNO FERNANDES</v>
      </c>
      <c r="E834" s="5">
        <f>IFERROR(__xludf.DUMMYFUNCTION("""COMPUTED_VALUE"""),0.0)</f>
        <v>0</v>
      </c>
      <c r="F834" s="5">
        <f>IFERROR(__xludf.DUMMYFUNCTION("""COMPUTED_VALUE"""),0.0)</f>
        <v>0</v>
      </c>
    </row>
    <row r="835">
      <c r="A835" s="5" t="str">
        <f>IFERROR(__xludf.DUMMYFUNCTION("""COMPUTED_VALUE"""),"POR 11")</f>
        <v>POR 11</v>
      </c>
      <c r="B835" s="5" t="str">
        <f>IFERROR(__xludf.DUMMYFUNCTION("""COMPUTED_VALUE"""),"PORTUGAL")</f>
        <v>PORTUGAL</v>
      </c>
      <c r="C835" s="5" t="str">
        <f>IFERROR(__xludf.DUMMYFUNCTION("""COMPUTED_VALUE"""),"NORMAL")</f>
        <v>NORMAL</v>
      </c>
      <c r="D835" s="5" t="str">
        <f>IFERROR(__xludf.DUMMYFUNCTION("""COMPUTED_VALUE"""),"RUBEN NEVES")</f>
        <v>RUBEN NEVES</v>
      </c>
      <c r="E835" s="5">
        <f>IFERROR(__xludf.DUMMYFUNCTION("""COMPUTED_VALUE"""),0.0)</f>
        <v>0</v>
      </c>
      <c r="F835" s="5">
        <f>IFERROR(__xludf.DUMMYFUNCTION("""COMPUTED_VALUE"""),0.0)</f>
        <v>0</v>
      </c>
    </row>
    <row r="836">
      <c r="A836" s="5" t="str">
        <f>IFERROR(__xludf.DUMMYFUNCTION("""COMPUTED_VALUE"""),"POR 12")</f>
        <v>POR 12</v>
      </c>
      <c r="B836" s="5" t="str">
        <f>IFERROR(__xludf.DUMMYFUNCTION("""COMPUTED_VALUE"""),"PORTUGAL")</f>
        <v>PORTUGAL</v>
      </c>
      <c r="C836" s="5" t="str">
        <f>IFERROR(__xludf.DUMMYFUNCTION("""COMPUTED_VALUE"""),"NORMAL")</f>
        <v>NORMAL</v>
      </c>
      <c r="D836" s="5" t="str">
        <f>IFERROR(__xludf.DUMMYFUNCTION("""COMPUTED_VALUE"""),"VITINHA")</f>
        <v>VITINHA</v>
      </c>
      <c r="E836" s="5">
        <f>IFERROR(__xludf.DUMMYFUNCTION("""COMPUTED_VALUE"""),0.0)</f>
        <v>0</v>
      </c>
      <c r="F836" s="5">
        <f>IFERROR(__xludf.DUMMYFUNCTION("""COMPUTED_VALUE"""),0.0)</f>
        <v>0</v>
      </c>
    </row>
    <row r="837">
      <c r="A837" s="5" t="str">
        <f>IFERROR(__xludf.DUMMYFUNCTION("""COMPUTED_VALUE"""),"POR 13")</f>
        <v>POR 13</v>
      </c>
      <c r="B837" s="5" t="str">
        <f>IFERROR(__xludf.DUMMYFUNCTION("""COMPUTED_VALUE"""),"PORTUGAL")</f>
        <v>PORTUGAL</v>
      </c>
      <c r="C837" s="5" t="str">
        <f>IFERROR(__xludf.DUMMYFUNCTION("""COMPUTED_VALUE"""),"TEAM")</f>
        <v>TEAM</v>
      </c>
      <c r="D837" s="5" t="str">
        <f>IFERROR(__xludf.DUMMYFUNCTION("""COMPUTED_VALUE"""),"PORTUGAL NATIONAL TEAM")</f>
        <v>PORTUGAL NATIONAL TEAM</v>
      </c>
      <c r="E837" s="5">
        <f>IFERROR(__xludf.DUMMYFUNCTION("""COMPUTED_VALUE"""),0.0)</f>
        <v>0</v>
      </c>
      <c r="F837" s="5">
        <f>IFERROR(__xludf.DUMMYFUNCTION("""COMPUTED_VALUE"""),0.0)</f>
        <v>0</v>
      </c>
    </row>
    <row r="838">
      <c r="A838" s="5" t="str">
        <f>IFERROR(__xludf.DUMMYFUNCTION("""COMPUTED_VALUE"""),"POR 14")</f>
        <v>POR 14</v>
      </c>
      <c r="B838" s="5" t="str">
        <f>IFERROR(__xludf.DUMMYFUNCTION("""COMPUTED_VALUE"""),"PORTUGAL")</f>
        <v>PORTUGAL</v>
      </c>
      <c r="C838" s="5" t="str">
        <f>IFERROR(__xludf.DUMMYFUNCTION("""COMPUTED_VALUE"""),"NORMAL")</f>
        <v>NORMAL</v>
      </c>
      <c r="D838" s="5" t="str">
        <f>IFERROR(__xludf.DUMMYFUNCTION("""COMPUTED_VALUE"""),"RUBEN NEVES")</f>
        <v>RUBEN NEVES</v>
      </c>
      <c r="E838" s="5">
        <f>IFERROR(__xludf.DUMMYFUNCTION("""COMPUTED_VALUE"""),0.0)</f>
        <v>0</v>
      </c>
      <c r="F838" s="5">
        <f>IFERROR(__xludf.DUMMYFUNCTION("""COMPUTED_VALUE"""),0.0)</f>
        <v>0</v>
      </c>
    </row>
    <row r="839">
      <c r="A839" s="5" t="str">
        <f>IFERROR(__xludf.DUMMYFUNCTION("""COMPUTED_VALUE"""),"POR 15")</f>
        <v>POR 15</v>
      </c>
      <c r="B839" s="5" t="str">
        <f>IFERROR(__xludf.DUMMYFUNCTION("""COMPUTED_VALUE"""),"PORTUGAL")</f>
        <v>PORTUGAL</v>
      </c>
      <c r="C839" s="5" t="str">
        <f>IFERROR(__xludf.DUMMYFUNCTION("""COMPUTED_VALUE"""),"NORMAL")</f>
        <v>NORMAL</v>
      </c>
      <c r="D839" s="5" t="str">
        <f>IFERROR(__xludf.DUMMYFUNCTION("""COMPUTED_VALUE"""),"CRISTIANO RONALDO")</f>
        <v>CRISTIANO RONALDO</v>
      </c>
      <c r="E839" s="5">
        <f>IFERROR(__xludf.DUMMYFUNCTION("""COMPUTED_VALUE"""),0.0)</f>
        <v>0</v>
      </c>
      <c r="F839" s="5">
        <f>IFERROR(__xludf.DUMMYFUNCTION("""COMPUTED_VALUE"""),0.0)</f>
        <v>0</v>
      </c>
    </row>
    <row r="840">
      <c r="A840" s="5" t="str">
        <f>IFERROR(__xludf.DUMMYFUNCTION("""COMPUTED_VALUE"""),"POR 16")</f>
        <v>POR 16</v>
      </c>
      <c r="B840" s="5" t="str">
        <f>IFERROR(__xludf.DUMMYFUNCTION("""COMPUTED_VALUE"""),"PORTUGAL")</f>
        <v>PORTUGAL</v>
      </c>
      <c r="C840" s="5" t="str">
        <f>IFERROR(__xludf.DUMMYFUNCTION("""COMPUTED_VALUE"""),"NORMAL")</f>
        <v>NORMAL</v>
      </c>
      <c r="D840" s="5" t="str">
        <f>IFERROR(__xludf.DUMMYFUNCTION("""COMPUTED_VALUE"""),"FRANCISCO TRINCAO")</f>
        <v>FRANCISCO TRINCAO</v>
      </c>
      <c r="E840" s="5">
        <f>IFERROR(__xludf.DUMMYFUNCTION("""COMPUTED_VALUE"""),0.0)</f>
        <v>0</v>
      </c>
      <c r="F840" s="5">
        <f>IFERROR(__xludf.DUMMYFUNCTION("""COMPUTED_VALUE"""),0.0)</f>
        <v>0</v>
      </c>
    </row>
    <row r="841">
      <c r="A841" s="5" t="str">
        <f>IFERROR(__xludf.DUMMYFUNCTION("""COMPUTED_VALUE"""),"POR 17")</f>
        <v>POR 17</v>
      </c>
      <c r="B841" s="5" t="str">
        <f>IFERROR(__xludf.DUMMYFUNCTION("""COMPUTED_VALUE"""),"PORTUGAL")</f>
        <v>PORTUGAL</v>
      </c>
      <c r="C841" s="5" t="str">
        <f>IFERROR(__xludf.DUMMYFUNCTION("""COMPUTED_VALUE"""),"NORMAL")</f>
        <v>NORMAL</v>
      </c>
      <c r="D841" s="5" t="str">
        <f>IFERROR(__xludf.DUMMYFUNCTION("""COMPUTED_VALUE"""),"JOAO FELIX")</f>
        <v>JOAO FELIX</v>
      </c>
      <c r="E841" s="5">
        <f>IFERROR(__xludf.DUMMYFUNCTION("""COMPUTED_VALUE"""),0.0)</f>
        <v>0</v>
      </c>
      <c r="F841" s="5">
        <f>IFERROR(__xludf.DUMMYFUNCTION("""COMPUTED_VALUE"""),0.0)</f>
        <v>0</v>
      </c>
    </row>
    <row r="842">
      <c r="A842" s="5" t="str">
        <f>IFERROR(__xludf.DUMMYFUNCTION("""COMPUTED_VALUE"""),"POR 18")</f>
        <v>POR 18</v>
      </c>
      <c r="B842" s="5" t="str">
        <f>IFERROR(__xludf.DUMMYFUNCTION("""COMPUTED_VALUE"""),"PORTUGAL")</f>
        <v>PORTUGAL</v>
      </c>
      <c r="C842" s="5" t="str">
        <f>IFERROR(__xludf.DUMMYFUNCTION("""COMPUTED_VALUE"""),"NORMAL")</f>
        <v>NORMAL</v>
      </c>
      <c r="D842" s="5" t="str">
        <f>IFERROR(__xludf.DUMMYFUNCTION("""COMPUTED_VALUE"""),"GONCALO RAMOS")</f>
        <v>GONCALO RAMOS</v>
      </c>
      <c r="E842" s="5">
        <f>IFERROR(__xludf.DUMMYFUNCTION("""COMPUTED_VALUE"""),0.0)</f>
        <v>0</v>
      </c>
      <c r="F842" s="5">
        <f>IFERROR(__xludf.DUMMYFUNCTION("""COMPUTED_VALUE"""),0.0)</f>
        <v>0</v>
      </c>
    </row>
    <row r="843">
      <c r="A843" s="5" t="str">
        <f>IFERROR(__xludf.DUMMYFUNCTION("""COMPUTED_VALUE"""),"POR 19")</f>
        <v>POR 19</v>
      </c>
      <c r="B843" s="5" t="str">
        <f>IFERROR(__xludf.DUMMYFUNCTION("""COMPUTED_VALUE"""),"PORTUGAL")</f>
        <v>PORTUGAL</v>
      </c>
      <c r="C843" s="5" t="str">
        <f>IFERROR(__xludf.DUMMYFUNCTION("""COMPUTED_VALUE"""),"NORMAL")</f>
        <v>NORMAL</v>
      </c>
      <c r="D843" s="5" t="str">
        <f>IFERROR(__xludf.DUMMYFUNCTION("""COMPUTED_VALUE"""),"PEDRO NETO")</f>
        <v>PEDRO NETO</v>
      </c>
      <c r="E843" s="5">
        <f>IFERROR(__xludf.DUMMYFUNCTION("""COMPUTED_VALUE"""),0.0)</f>
        <v>0</v>
      </c>
      <c r="F843" s="5">
        <f>IFERROR(__xludf.DUMMYFUNCTION("""COMPUTED_VALUE"""),0.0)</f>
        <v>0</v>
      </c>
    </row>
    <row r="844">
      <c r="A844" s="5" t="str">
        <f>IFERROR(__xludf.DUMMYFUNCTION("""COMPUTED_VALUE"""),"POR 20")</f>
        <v>POR 20</v>
      </c>
      <c r="B844" s="5" t="str">
        <f>IFERROR(__xludf.DUMMYFUNCTION("""COMPUTED_VALUE"""),"PORTUGAL")</f>
        <v>PORTUGAL</v>
      </c>
      <c r="C844" s="5" t="str">
        <f>IFERROR(__xludf.DUMMYFUNCTION("""COMPUTED_VALUE"""),"NORMAL")</f>
        <v>NORMAL</v>
      </c>
      <c r="D844" s="5" t="str">
        <f>IFERROR(__xludf.DUMMYFUNCTION("""COMPUTED_VALUE"""),"RAFAEL LEAO")</f>
        <v>RAFAEL LEAO</v>
      </c>
      <c r="E844" s="5">
        <f>IFERROR(__xludf.DUMMYFUNCTION("""COMPUTED_VALUE"""),0.0)</f>
        <v>0</v>
      </c>
      <c r="F844" s="5">
        <f>IFERROR(__xludf.DUMMYFUNCTION("""COMPUTED_VALUE"""),0.0)</f>
        <v>0</v>
      </c>
    </row>
    <row r="845">
      <c r="A845" s="7" t="str">
        <f>IFERROR(__xludf.DUMMYFUNCTION("""COMPUTED_VALUE"""),"COD01")</f>
        <v>COD01</v>
      </c>
      <c r="B845" s="5" t="str">
        <f>IFERROR(__xludf.DUMMYFUNCTION("""COMPUTED_VALUE"""),"CONGO DR")</f>
        <v>CONGO DR</v>
      </c>
      <c r="C845" s="5" t="str">
        <f>IFERROR(__xludf.DUMMYFUNCTION("""COMPUTED_VALUE"""),"BADGE")</f>
        <v>BADGE</v>
      </c>
      <c r="D845" s="5" t="str">
        <f>IFERROR(__xludf.DUMMYFUNCTION("""COMPUTED_VALUE"""),"RD CONGO NATIONAL TEAM")</f>
        <v>RD CONGO NATIONAL TEAM</v>
      </c>
      <c r="E845" s="5">
        <f>IFERROR(__xludf.DUMMYFUNCTION("""COMPUTED_VALUE"""),0.0)</f>
        <v>0</v>
      </c>
      <c r="F845" s="5">
        <f>IFERROR(__xludf.DUMMYFUNCTION("""COMPUTED_VALUE"""),0.0)</f>
        <v>0</v>
      </c>
    </row>
    <row r="846">
      <c r="A846" s="7" t="str">
        <f>IFERROR(__xludf.DUMMYFUNCTION("""COMPUTED_VALUE"""),"COD02")</f>
        <v>COD02</v>
      </c>
      <c r="B846" s="5" t="str">
        <f>IFERROR(__xludf.DUMMYFUNCTION("""COMPUTED_VALUE"""),"CONGO DR")</f>
        <v>CONGO DR</v>
      </c>
      <c r="C846" s="5" t="str">
        <f>IFERROR(__xludf.DUMMYFUNCTION("""COMPUTED_VALUE"""),"NORMAL")</f>
        <v>NORMAL</v>
      </c>
      <c r="D846" s="5" t="str">
        <f>IFERROR(__xludf.DUMMYFUNCTION("""COMPUTED_VALUE"""),"LIONEL MPASI")</f>
        <v>LIONEL MPASI</v>
      </c>
      <c r="E846" s="5">
        <f>IFERROR(__xludf.DUMMYFUNCTION("""COMPUTED_VALUE"""),0.0)</f>
        <v>0</v>
      </c>
      <c r="F846" s="5">
        <f>IFERROR(__xludf.DUMMYFUNCTION("""COMPUTED_VALUE"""),0.0)</f>
        <v>0</v>
      </c>
    </row>
    <row r="847">
      <c r="A847" s="7" t="str">
        <f>IFERROR(__xludf.DUMMYFUNCTION("""COMPUTED_VALUE"""),"COD03")</f>
        <v>COD03</v>
      </c>
      <c r="B847" s="5" t="str">
        <f>IFERROR(__xludf.DUMMYFUNCTION("""COMPUTED_VALUE"""),"CONGO DR")</f>
        <v>CONGO DR</v>
      </c>
      <c r="C847" s="5" t="str">
        <f>IFERROR(__xludf.DUMMYFUNCTION("""COMPUTED_VALUE"""),"NORMAL")</f>
        <v>NORMAL</v>
      </c>
      <c r="D847" s="5" t="str">
        <f>IFERROR(__xludf.DUMMYFUNCTION("""COMPUTED_VALUE"""),"AARON WAN-BISSAKA")</f>
        <v>AARON WAN-BISSAKA</v>
      </c>
      <c r="E847" s="5">
        <f>IFERROR(__xludf.DUMMYFUNCTION("""COMPUTED_VALUE"""),0.0)</f>
        <v>0</v>
      </c>
      <c r="F847" s="5">
        <f>IFERROR(__xludf.DUMMYFUNCTION("""COMPUTED_VALUE"""),0.0)</f>
        <v>0</v>
      </c>
    </row>
    <row r="848">
      <c r="A848" s="7" t="str">
        <f>IFERROR(__xludf.DUMMYFUNCTION("""COMPUTED_VALUE"""),"COD04")</f>
        <v>COD04</v>
      </c>
      <c r="B848" s="5" t="str">
        <f>IFERROR(__xludf.DUMMYFUNCTION("""COMPUTED_VALUE"""),"CONGO DR")</f>
        <v>CONGO DR</v>
      </c>
      <c r="C848" s="5" t="str">
        <f>IFERROR(__xludf.DUMMYFUNCTION("""COMPUTED_VALUE"""),"NORMAL")</f>
        <v>NORMAL</v>
      </c>
      <c r="D848" s="5" t="str">
        <f>IFERROR(__xludf.DUMMYFUNCTION("""COMPUTED_VALUE"""),"AXEL TUANZEBE")</f>
        <v>AXEL TUANZEBE</v>
      </c>
      <c r="E848" s="5">
        <f>IFERROR(__xludf.DUMMYFUNCTION("""COMPUTED_VALUE"""),0.0)</f>
        <v>0</v>
      </c>
      <c r="F848" s="5">
        <f>IFERROR(__xludf.DUMMYFUNCTION("""COMPUTED_VALUE"""),0.0)</f>
        <v>0</v>
      </c>
    </row>
    <row r="849">
      <c r="A849" s="7" t="str">
        <f>IFERROR(__xludf.DUMMYFUNCTION("""COMPUTED_VALUE"""),"COD05")</f>
        <v>COD05</v>
      </c>
      <c r="B849" s="5" t="str">
        <f>IFERROR(__xludf.DUMMYFUNCTION("""COMPUTED_VALUE"""),"CONGO DR")</f>
        <v>CONGO DR</v>
      </c>
      <c r="C849" s="5" t="str">
        <f>IFERROR(__xludf.DUMMYFUNCTION("""COMPUTED_VALUE"""),"NORMAL")</f>
        <v>NORMAL</v>
      </c>
      <c r="D849" s="5" t="str">
        <f>IFERROR(__xludf.DUMMYFUNCTION("""COMPUTED_VALUE"""),"ARTHUR MASUAKU")</f>
        <v>ARTHUR MASUAKU</v>
      </c>
      <c r="E849" s="5">
        <f>IFERROR(__xludf.DUMMYFUNCTION("""COMPUTED_VALUE"""),0.0)</f>
        <v>0</v>
      </c>
      <c r="F849" s="5">
        <f>IFERROR(__xludf.DUMMYFUNCTION("""COMPUTED_VALUE"""),0.0)</f>
        <v>0</v>
      </c>
    </row>
    <row r="850">
      <c r="A850" s="7" t="str">
        <f>IFERROR(__xludf.DUMMYFUNCTION("""COMPUTED_VALUE"""),"COD06")</f>
        <v>COD06</v>
      </c>
      <c r="B850" s="5" t="str">
        <f>IFERROR(__xludf.DUMMYFUNCTION("""COMPUTED_VALUE"""),"CONGO DR")</f>
        <v>CONGO DR</v>
      </c>
      <c r="C850" s="5" t="str">
        <f>IFERROR(__xludf.DUMMYFUNCTION("""COMPUTED_VALUE"""),"NORMAL")</f>
        <v>NORMAL</v>
      </c>
      <c r="D850" s="5" t="str">
        <f>IFERROR(__xludf.DUMMYFUNCTION("""COMPUTED_VALUE"""),"CHANCEL MBEMBA")</f>
        <v>CHANCEL MBEMBA</v>
      </c>
      <c r="E850" s="5">
        <f>IFERROR(__xludf.DUMMYFUNCTION("""COMPUTED_VALUE"""),0.0)</f>
        <v>0</v>
      </c>
      <c r="F850" s="5">
        <f>IFERROR(__xludf.DUMMYFUNCTION("""COMPUTED_VALUE"""),0.0)</f>
        <v>0</v>
      </c>
    </row>
    <row r="851">
      <c r="A851" s="7" t="str">
        <f>IFERROR(__xludf.DUMMYFUNCTION("""COMPUTED_VALUE"""),"COD07")</f>
        <v>COD07</v>
      </c>
      <c r="B851" s="5" t="str">
        <f>IFERROR(__xludf.DUMMYFUNCTION("""COMPUTED_VALUE"""),"CONGO DR")</f>
        <v>CONGO DR</v>
      </c>
      <c r="C851" s="5" t="str">
        <f>IFERROR(__xludf.DUMMYFUNCTION("""COMPUTED_VALUE"""),"NORMAL")</f>
        <v>NORMAL</v>
      </c>
      <c r="D851" s="5" t="str">
        <f>IFERROR(__xludf.DUMMYFUNCTION("""COMPUTED_VALUE"""),"JORIS KAYEMBE")</f>
        <v>JORIS KAYEMBE</v>
      </c>
      <c r="E851" s="5">
        <f>IFERROR(__xludf.DUMMYFUNCTION("""COMPUTED_VALUE"""),0.0)</f>
        <v>0</v>
      </c>
      <c r="F851" s="5">
        <f>IFERROR(__xludf.DUMMYFUNCTION("""COMPUTED_VALUE"""),0.0)</f>
        <v>0</v>
      </c>
    </row>
    <row r="852">
      <c r="A852" s="7" t="str">
        <f>IFERROR(__xludf.DUMMYFUNCTION("""COMPUTED_VALUE"""),"COD08")</f>
        <v>COD08</v>
      </c>
      <c r="B852" s="5" t="str">
        <f>IFERROR(__xludf.DUMMYFUNCTION("""COMPUTED_VALUE"""),"CONGO DR")</f>
        <v>CONGO DR</v>
      </c>
      <c r="C852" s="5" t="str">
        <f>IFERROR(__xludf.DUMMYFUNCTION("""COMPUTED_VALUE"""),"NORMAL")</f>
        <v>NORMAL</v>
      </c>
      <c r="D852" s="5" t="str">
        <f>IFERROR(__xludf.DUMMYFUNCTION("""COMPUTED_VALUE"""),"CHARLES PICKEL")</f>
        <v>CHARLES PICKEL</v>
      </c>
      <c r="E852" s="5">
        <f>IFERROR(__xludf.DUMMYFUNCTION("""COMPUTED_VALUE"""),0.0)</f>
        <v>0</v>
      </c>
      <c r="F852" s="5">
        <f>IFERROR(__xludf.DUMMYFUNCTION("""COMPUTED_VALUE"""),0.0)</f>
        <v>0</v>
      </c>
    </row>
    <row r="853">
      <c r="A853" s="7" t="str">
        <f>IFERROR(__xludf.DUMMYFUNCTION("""COMPUTED_VALUE"""),"COD09")</f>
        <v>COD09</v>
      </c>
      <c r="B853" s="5" t="str">
        <f>IFERROR(__xludf.DUMMYFUNCTION("""COMPUTED_VALUE"""),"CONGO DR")</f>
        <v>CONGO DR</v>
      </c>
      <c r="C853" s="5" t="str">
        <f>IFERROR(__xludf.DUMMYFUNCTION("""COMPUTED_VALUE"""),"NORMAL")</f>
        <v>NORMAL</v>
      </c>
      <c r="D853" s="5" t="str">
        <f>IFERROR(__xludf.DUMMYFUNCTION("""COMPUTED_VALUE"""),"NGAL'AYEL MUKAU")</f>
        <v>NGAL'AYEL MUKAU</v>
      </c>
      <c r="E853" s="5">
        <f>IFERROR(__xludf.DUMMYFUNCTION("""COMPUTED_VALUE"""),0.0)</f>
        <v>0</v>
      </c>
      <c r="F853" s="5">
        <f>IFERROR(__xludf.DUMMYFUNCTION("""COMPUTED_VALUE"""),0.0)</f>
        <v>0</v>
      </c>
    </row>
    <row r="854">
      <c r="A854" s="7" t="str">
        <f>IFERROR(__xludf.DUMMYFUNCTION("""COMPUTED_VALUE"""),"COD10")</f>
        <v>COD10</v>
      </c>
      <c r="B854" s="5" t="str">
        <f>IFERROR(__xludf.DUMMYFUNCTION("""COMPUTED_VALUE"""),"CONGO DR")</f>
        <v>CONGO DR</v>
      </c>
      <c r="C854" s="5" t="str">
        <f>IFERROR(__xludf.DUMMYFUNCTION("""COMPUTED_VALUE"""),"NORMAL")</f>
        <v>NORMAL</v>
      </c>
      <c r="D854" s="5" t="str">
        <f>IFERROR(__xludf.DUMMYFUNCTION("""COMPUTED_VALUE"""),"EDO KAYEMBE")</f>
        <v>EDO KAYEMBE</v>
      </c>
      <c r="E854" s="5">
        <f>IFERROR(__xludf.DUMMYFUNCTION("""COMPUTED_VALUE"""),0.0)</f>
        <v>0</v>
      </c>
      <c r="F854" s="5">
        <f>IFERROR(__xludf.DUMMYFUNCTION("""COMPUTED_VALUE"""),0.0)</f>
        <v>0</v>
      </c>
    </row>
    <row r="855">
      <c r="A855" s="7" t="str">
        <f>IFERROR(__xludf.DUMMYFUNCTION("""COMPUTED_VALUE"""),"COD11")</f>
        <v>COD11</v>
      </c>
      <c r="B855" s="5" t="str">
        <f>IFERROR(__xludf.DUMMYFUNCTION("""COMPUTED_VALUE"""),"CONGO DR")</f>
        <v>CONGO DR</v>
      </c>
      <c r="C855" s="5" t="str">
        <f>IFERROR(__xludf.DUMMYFUNCTION("""COMPUTED_VALUE"""),"NORMAL")</f>
        <v>NORMAL</v>
      </c>
      <c r="D855" s="5" t="str">
        <f>IFERROR(__xludf.DUMMYFUNCTION("""COMPUTED_VALUE"""),"SAMUEL MOUTOUSSAMY")</f>
        <v>SAMUEL MOUTOUSSAMY</v>
      </c>
      <c r="E855" s="5">
        <f>IFERROR(__xludf.DUMMYFUNCTION("""COMPUTED_VALUE"""),0.0)</f>
        <v>0</v>
      </c>
      <c r="F855" s="5">
        <f>IFERROR(__xludf.DUMMYFUNCTION("""COMPUTED_VALUE"""),0.0)</f>
        <v>0</v>
      </c>
    </row>
    <row r="856">
      <c r="A856" s="7" t="str">
        <f>IFERROR(__xludf.DUMMYFUNCTION("""COMPUTED_VALUE"""),"COD12")</f>
        <v>COD12</v>
      </c>
      <c r="B856" s="5" t="str">
        <f>IFERROR(__xludf.DUMMYFUNCTION("""COMPUTED_VALUE"""),"CONGO DR")</f>
        <v>CONGO DR</v>
      </c>
      <c r="C856" s="5" t="str">
        <f>IFERROR(__xludf.DUMMYFUNCTION("""COMPUTED_VALUE"""),"NORMAL")</f>
        <v>NORMAL</v>
      </c>
      <c r="D856" s="5" t="str">
        <f>IFERROR(__xludf.DUMMYFUNCTION("""COMPUTED_VALUE"""),"NOAH SADIKI")</f>
        <v>NOAH SADIKI</v>
      </c>
      <c r="E856" s="5">
        <f>IFERROR(__xludf.DUMMYFUNCTION("""COMPUTED_VALUE"""),0.0)</f>
        <v>0</v>
      </c>
      <c r="F856" s="5">
        <f>IFERROR(__xludf.DUMMYFUNCTION("""COMPUTED_VALUE"""),0.0)</f>
        <v>0</v>
      </c>
    </row>
    <row r="857">
      <c r="A857" s="7" t="str">
        <f>IFERROR(__xludf.DUMMYFUNCTION("""COMPUTED_VALUE"""),"COD13")</f>
        <v>COD13</v>
      </c>
      <c r="B857" s="5" t="str">
        <f>IFERROR(__xludf.DUMMYFUNCTION("""COMPUTED_VALUE"""),"CONGO DR")</f>
        <v>CONGO DR</v>
      </c>
      <c r="C857" s="5" t="str">
        <f>IFERROR(__xludf.DUMMYFUNCTION("""COMPUTED_VALUE"""),"TEAM")</f>
        <v>TEAM</v>
      </c>
      <c r="D857" s="5" t="str">
        <f>IFERROR(__xludf.DUMMYFUNCTION("""COMPUTED_VALUE"""),"RD CONGO NATIONAL TEAM")</f>
        <v>RD CONGO NATIONAL TEAM</v>
      </c>
      <c r="E857" s="5">
        <f>IFERROR(__xludf.DUMMYFUNCTION("""COMPUTED_VALUE"""),0.0)</f>
        <v>0</v>
      </c>
      <c r="F857" s="5">
        <f>IFERROR(__xludf.DUMMYFUNCTION("""COMPUTED_VALUE"""),0.0)</f>
        <v>0</v>
      </c>
    </row>
    <row r="858">
      <c r="A858" s="7" t="str">
        <f>IFERROR(__xludf.DUMMYFUNCTION("""COMPUTED_VALUE"""),"COD14")</f>
        <v>COD14</v>
      </c>
      <c r="B858" s="5" t="str">
        <f>IFERROR(__xludf.DUMMYFUNCTION("""COMPUTED_VALUE"""),"CONGO DR")</f>
        <v>CONGO DR</v>
      </c>
      <c r="C858" s="5" t="str">
        <f>IFERROR(__xludf.DUMMYFUNCTION("""COMPUTED_VALUE"""),"NORMAL")</f>
        <v>NORMAL</v>
      </c>
      <c r="D858" s="5" t="str">
        <f>IFERROR(__xludf.DUMMYFUNCTION("""COMPUTED_VALUE"""),"THEO BONGONDA")</f>
        <v>THEO BONGONDA</v>
      </c>
      <c r="E858" s="5">
        <f>IFERROR(__xludf.DUMMYFUNCTION("""COMPUTED_VALUE"""),0.0)</f>
        <v>0</v>
      </c>
      <c r="F858" s="5">
        <f>IFERROR(__xludf.DUMMYFUNCTION("""COMPUTED_VALUE"""),0.0)</f>
        <v>0</v>
      </c>
    </row>
    <row r="859">
      <c r="A859" s="7" t="str">
        <f>IFERROR(__xludf.DUMMYFUNCTION("""COMPUTED_VALUE"""),"COD15")</f>
        <v>COD15</v>
      </c>
      <c r="B859" s="5" t="str">
        <f>IFERROR(__xludf.DUMMYFUNCTION("""COMPUTED_VALUE"""),"CONGO DR")</f>
        <v>CONGO DR</v>
      </c>
      <c r="C859" s="5" t="str">
        <f>IFERROR(__xludf.DUMMYFUNCTION("""COMPUTED_VALUE"""),"NORMAL")</f>
        <v>NORMAL</v>
      </c>
      <c r="D859" s="5" t="str">
        <f>IFERROR(__xludf.DUMMYFUNCTION("""COMPUTED_VALUE"""),"MESCHACK ELIA")</f>
        <v>MESCHACK ELIA</v>
      </c>
      <c r="E859" s="5">
        <f>IFERROR(__xludf.DUMMYFUNCTION("""COMPUTED_VALUE"""),0.0)</f>
        <v>0</v>
      </c>
      <c r="F859" s="5">
        <f>IFERROR(__xludf.DUMMYFUNCTION("""COMPUTED_VALUE"""),0.0)</f>
        <v>0</v>
      </c>
    </row>
    <row r="860">
      <c r="A860" s="7" t="str">
        <f>IFERROR(__xludf.DUMMYFUNCTION("""COMPUTED_VALUE"""),"COD16")</f>
        <v>COD16</v>
      </c>
      <c r="B860" s="5" t="str">
        <f>IFERROR(__xludf.DUMMYFUNCTION("""COMPUTED_VALUE"""),"CONGO DR")</f>
        <v>CONGO DR</v>
      </c>
      <c r="C860" s="5" t="str">
        <f>IFERROR(__xludf.DUMMYFUNCTION("""COMPUTED_VALUE"""),"NORMAL")</f>
        <v>NORMAL</v>
      </c>
      <c r="D860" s="5" t="str">
        <f>IFERROR(__xludf.DUMMYFUNCTION("""COMPUTED_VALUE"""),"YOANE WISSA")</f>
        <v>YOANE WISSA</v>
      </c>
      <c r="E860" s="5">
        <f>IFERROR(__xludf.DUMMYFUNCTION("""COMPUTED_VALUE"""),0.0)</f>
        <v>0</v>
      </c>
      <c r="F860" s="5">
        <f>IFERROR(__xludf.DUMMYFUNCTION("""COMPUTED_VALUE"""),0.0)</f>
        <v>0</v>
      </c>
    </row>
    <row r="861">
      <c r="A861" s="7" t="str">
        <f>IFERROR(__xludf.DUMMYFUNCTION("""COMPUTED_VALUE"""),"COD17")</f>
        <v>COD17</v>
      </c>
      <c r="B861" s="5" t="str">
        <f>IFERROR(__xludf.DUMMYFUNCTION("""COMPUTED_VALUE"""),"CONGO DR")</f>
        <v>CONGO DR</v>
      </c>
      <c r="C861" s="5" t="str">
        <f>IFERROR(__xludf.DUMMYFUNCTION("""COMPUTED_VALUE"""),"NORMAL")</f>
        <v>NORMAL</v>
      </c>
      <c r="D861" s="5" t="str">
        <f>IFERROR(__xludf.DUMMYFUNCTION("""COMPUTED_VALUE"""),"BRIAN CIPENGA")</f>
        <v>BRIAN CIPENGA</v>
      </c>
      <c r="E861" s="5">
        <f>IFERROR(__xludf.DUMMYFUNCTION("""COMPUTED_VALUE"""),0.0)</f>
        <v>0</v>
      </c>
      <c r="F861" s="5">
        <f>IFERROR(__xludf.DUMMYFUNCTION("""COMPUTED_VALUE"""),0.0)</f>
        <v>0</v>
      </c>
    </row>
    <row r="862">
      <c r="A862" s="7" t="str">
        <f>IFERROR(__xludf.DUMMYFUNCTION("""COMPUTED_VALUE"""),"COD18")</f>
        <v>COD18</v>
      </c>
      <c r="B862" s="5" t="str">
        <f>IFERROR(__xludf.DUMMYFUNCTION("""COMPUTED_VALUE"""),"CONGO DR")</f>
        <v>CONGO DR</v>
      </c>
      <c r="C862" s="5" t="str">
        <f>IFERROR(__xludf.DUMMYFUNCTION("""COMPUTED_VALUE"""),"NORMAL")</f>
        <v>NORMAL</v>
      </c>
      <c r="D862" s="5" t="str">
        <f>IFERROR(__xludf.DUMMYFUNCTION("""COMPUTED_VALUE"""),"FISTON MAYELE")</f>
        <v>FISTON MAYELE</v>
      </c>
      <c r="E862" s="5">
        <f>IFERROR(__xludf.DUMMYFUNCTION("""COMPUTED_VALUE"""),0.0)</f>
        <v>0</v>
      </c>
      <c r="F862" s="5">
        <f>IFERROR(__xludf.DUMMYFUNCTION("""COMPUTED_VALUE"""),0.0)</f>
        <v>0</v>
      </c>
    </row>
    <row r="863">
      <c r="A863" s="7" t="str">
        <f>IFERROR(__xludf.DUMMYFUNCTION("""COMPUTED_VALUE"""),"COD19")</f>
        <v>COD19</v>
      </c>
      <c r="B863" s="5" t="str">
        <f>IFERROR(__xludf.DUMMYFUNCTION("""COMPUTED_VALUE"""),"CONGO DR")</f>
        <v>CONGO DR</v>
      </c>
      <c r="C863" s="5" t="str">
        <f>IFERROR(__xludf.DUMMYFUNCTION("""COMPUTED_VALUE"""),"NORMAL")</f>
        <v>NORMAL</v>
      </c>
      <c r="D863" s="5" t="str">
        <f>IFERROR(__xludf.DUMMYFUNCTION("""COMPUTED_VALUE"""),"CRDRIC BAKAMBU")</f>
        <v>CRDRIC BAKAMBU</v>
      </c>
      <c r="E863" s="5">
        <f>IFERROR(__xludf.DUMMYFUNCTION("""COMPUTED_VALUE"""),0.0)</f>
        <v>0</v>
      </c>
      <c r="F863" s="5">
        <f>IFERROR(__xludf.DUMMYFUNCTION("""COMPUTED_VALUE"""),0.0)</f>
        <v>0</v>
      </c>
    </row>
    <row r="864">
      <c r="A864" s="7" t="str">
        <f>IFERROR(__xludf.DUMMYFUNCTION("""COMPUTED_VALUE"""),"COD20")</f>
        <v>COD20</v>
      </c>
      <c r="B864" s="5" t="str">
        <f>IFERROR(__xludf.DUMMYFUNCTION("""COMPUTED_VALUE"""),"CONGO DR")</f>
        <v>CONGO DR</v>
      </c>
      <c r="C864" s="5" t="str">
        <f>IFERROR(__xludf.DUMMYFUNCTION("""COMPUTED_VALUE"""),"NORMAL")</f>
        <v>NORMAL</v>
      </c>
      <c r="D864" s="5" t="str">
        <f>IFERROR(__xludf.DUMMYFUNCTION("""COMPUTED_VALUE"""),"NATHANAEL MBUKU")</f>
        <v>NATHANAEL MBUKU</v>
      </c>
      <c r="E864" s="5">
        <f>IFERROR(__xludf.DUMMYFUNCTION("""COMPUTED_VALUE"""),0.0)</f>
        <v>0</v>
      </c>
      <c r="F864" s="5">
        <f>IFERROR(__xludf.DUMMYFUNCTION("""COMPUTED_VALUE"""),0.0)</f>
        <v>0</v>
      </c>
    </row>
    <row r="865">
      <c r="A865" s="5" t="str">
        <f>IFERROR(__xludf.DUMMYFUNCTION("""COMPUTED_VALUE"""),"UZB01")</f>
        <v>UZB01</v>
      </c>
      <c r="B865" s="5" t="str">
        <f>IFERROR(__xludf.DUMMYFUNCTION("""COMPUTED_VALUE"""),"UZBEKISTAN")</f>
        <v>UZBEKISTAN</v>
      </c>
      <c r="C865" s="5" t="str">
        <f>IFERROR(__xludf.DUMMYFUNCTION("""COMPUTED_VALUE"""),"BADGE")</f>
        <v>BADGE</v>
      </c>
      <c r="D865" s="5" t="str">
        <f>IFERROR(__xludf.DUMMYFUNCTION("""COMPUTED_VALUE"""),"UZBEKISTAN NATIONAL TEAM")</f>
        <v>UZBEKISTAN NATIONAL TEAM</v>
      </c>
      <c r="E865" s="5">
        <f>IFERROR(__xludf.DUMMYFUNCTION("""COMPUTED_VALUE"""),0.0)</f>
        <v>0</v>
      </c>
      <c r="F865" s="5">
        <f>IFERROR(__xludf.DUMMYFUNCTION("""COMPUTED_VALUE"""),0.0)</f>
        <v>0</v>
      </c>
    </row>
    <row r="866">
      <c r="A866" s="5" t="str">
        <f>IFERROR(__xludf.DUMMYFUNCTION("""COMPUTED_VALUE"""),"UZB02")</f>
        <v>UZB02</v>
      </c>
      <c r="B866" s="5" t="str">
        <f>IFERROR(__xludf.DUMMYFUNCTION("""COMPUTED_VALUE"""),"UZBEKISTAN")</f>
        <v>UZBEKISTAN</v>
      </c>
      <c r="C866" s="5" t="str">
        <f>IFERROR(__xludf.DUMMYFUNCTION("""COMPUTED_VALUE"""),"NORMAL")</f>
        <v>NORMAL</v>
      </c>
      <c r="D866" s="5" t="str">
        <f>IFERROR(__xludf.DUMMYFUNCTION("""COMPUTED_VALUE"""),"UTKIR YUSUPOV")</f>
        <v>UTKIR YUSUPOV</v>
      </c>
      <c r="E866" s="5">
        <f>IFERROR(__xludf.DUMMYFUNCTION("""COMPUTED_VALUE"""),0.0)</f>
        <v>0</v>
      </c>
      <c r="F866" s="5">
        <f>IFERROR(__xludf.DUMMYFUNCTION("""COMPUTED_VALUE"""),0.0)</f>
        <v>0</v>
      </c>
    </row>
    <row r="867">
      <c r="A867" s="5" t="str">
        <f>IFERROR(__xludf.DUMMYFUNCTION("""COMPUTED_VALUE"""),"UZB03")</f>
        <v>UZB03</v>
      </c>
      <c r="B867" s="5" t="str">
        <f>IFERROR(__xludf.DUMMYFUNCTION("""COMPUTED_VALUE"""),"UZBEKISTAN")</f>
        <v>UZBEKISTAN</v>
      </c>
      <c r="C867" s="5" t="str">
        <f>IFERROR(__xludf.DUMMYFUNCTION("""COMPUTED_VALUE"""),"NORMAL")</f>
        <v>NORMAL</v>
      </c>
      <c r="D867" s="5" t="str">
        <f>IFERROR(__xludf.DUMMYFUNCTION("""COMPUTED_VALUE"""),"FARRUKH SAYFIEV")</f>
        <v>FARRUKH SAYFIEV</v>
      </c>
      <c r="E867" s="5">
        <f>IFERROR(__xludf.DUMMYFUNCTION("""COMPUTED_VALUE"""),0.0)</f>
        <v>0</v>
      </c>
      <c r="F867" s="5">
        <f>IFERROR(__xludf.DUMMYFUNCTION("""COMPUTED_VALUE"""),0.0)</f>
        <v>0</v>
      </c>
    </row>
    <row r="868">
      <c r="A868" s="5" t="str">
        <f>IFERROR(__xludf.DUMMYFUNCTION("""COMPUTED_VALUE"""),"UZB04")</f>
        <v>UZB04</v>
      </c>
      <c r="B868" s="5" t="str">
        <f>IFERROR(__xludf.DUMMYFUNCTION("""COMPUTED_VALUE"""),"UZBEKISTAN")</f>
        <v>UZBEKISTAN</v>
      </c>
      <c r="C868" s="5" t="str">
        <f>IFERROR(__xludf.DUMMYFUNCTION("""COMPUTED_VALUE"""),"NORMAL")</f>
        <v>NORMAL</v>
      </c>
      <c r="D868" s="5" t="str">
        <f>IFERROR(__xludf.DUMMYFUNCTION("""COMPUTED_VALUE"""),"SHERZOO NASRULLAEV")</f>
        <v>SHERZOO NASRULLAEV</v>
      </c>
      <c r="E868" s="5">
        <f>IFERROR(__xludf.DUMMYFUNCTION("""COMPUTED_VALUE"""),0.0)</f>
        <v>0</v>
      </c>
      <c r="F868" s="5">
        <f>IFERROR(__xludf.DUMMYFUNCTION("""COMPUTED_VALUE"""),0.0)</f>
        <v>0</v>
      </c>
    </row>
    <row r="869">
      <c r="A869" s="5" t="str">
        <f>IFERROR(__xludf.DUMMYFUNCTION("""COMPUTED_VALUE"""),"UZB05")</f>
        <v>UZB05</v>
      </c>
      <c r="B869" s="5" t="str">
        <f>IFERROR(__xludf.DUMMYFUNCTION("""COMPUTED_VALUE"""),"UZBEKISTAN")</f>
        <v>UZBEKISTAN</v>
      </c>
      <c r="C869" s="5" t="str">
        <f>IFERROR(__xludf.DUMMYFUNCTION("""COMPUTED_VALUE"""),"NORMAL")</f>
        <v>NORMAL</v>
      </c>
      <c r="D869" s="5" t="str">
        <f>IFERROR(__xludf.DUMMYFUNCTION("""COMPUTED_VALUE"""),"UMAR ESHMURODOV")</f>
        <v>UMAR ESHMURODOV</v>
      </c>
      <c r="E869" s="5">
        <f>IFERROR(__xludf.DUMMYFUNCTION("""COMPUTED_VALUE"""),0.0)</f>
        <v>0</v>
      </c>
      <c r="F869" s="5">
        <f>IFERROR(__xludf.DUMMYFUNCTION("""COMPUTED_VALUE"""),0.0)</f>
        <v>0</v>
      </c>
    </row>
    <row r="870">
      <c r="A870" s="5" t="str">
        <f>IFERROR(__xludf.DUMMYFUNCTION("""COMPUTED_VALUE"""),"UZB06")</f>
        <v>UZB06</v>
      </c>
      <c r="B870" s="5" t="str">
        <f>IFERROR(__xludf.DUMMYFUNCTION("""COMPUTED_VALUE"""),"UZBEKISTAN")</f>
        <v>UZBEKISTAN</v>
      </c>
      <c r="C870" s="5" t="str">
        <f>IFERROR(__xludf.DUMMYFUNCTION("""COMPUTED_VALUE"""),"NORMAL")</f>
        <v>NORMAL</v>
      </c>
      <c r="D870" s="5" t="str">
        <f>IFERROR(__xludf.DUMMYFUNCTION("""COMPUTED_VALUE"""),"HUSNIDDIN ALIQULOV")</f>
        <v>HUSNIDDIN ALIQULOV</v>
      </c>
      <c r="E870" s="5">
        <f>IFERROR(__xludf.DUMMYFUNCTION("""COMPUTED_VALUE"""),0.0)</f>
        <v>0</v>
      </c>
      <c r="F870" s="5">
        <f>IFERROR(__xludf.DUMMYFUNCTION("""COMPUTED_VALUE"""),0.0)</f>
        <v>0</v>
      </c>
    </row>
    <row r="871">
      <c r="A871" s="5" t="str">
        <f>IFERROR(__xludf.DUMMYFUNCTION("""COMPUTED_VALUE"""),"UZB07")</f>
        <v>UZB07</v>
      </c>
      <c r="B871" s="5" t="str">
        <f>IFERROR(__xludf.DUMMYFUNCTION("""COMPUTED_VALUE"""),"UZBEKISTAN")</f>
        <v>UZBEKISTAN</v>
      </c>
      <c r="C871" s="5" t="str">
        <f>IFERROR(__xludf.DUMMYFUNCTION("""COMPUTED_VALUE"""),"NORMAL")</f>
        <v>NORMAL</v>
      </c>
      <c r="D871" s="5" t="str">
        <f>IFERROR(__xludf.DUMMYFUNCTION("""COMPUTED_VALUE"""),"RUSTAM ASHURMATOV")</f>
        <v>RUSTAM ASHURMATOV</v>
      </c>
      <c r="E871" s="5">
        <f>IFERROR(__xludf.DUMMYFUNCTION("""COMPUTED_VALUE"""),0.0)</f>
        <v>0</v>
      </c>
      <c r="F871" s="5">
        <f>IFERROR(__xludf.DUMMYFUNCTION("""COMPUTED_VALUE"""),0.0)</f>
        <v>0</v>
      </c>
    </row>
    <row r="872">
      <c r="A872" s="5" t="str">
        <f>IFERROR(__xludf.DUMMYFUNCTION("""COMPUTED_VALUE"""),"UZB08")</f>
        <v>UZB08</v>
      </c>
      <c r="B872" s="5" t="str">
        <f>IFERROR(__xludf.DUMMYFUNCTION("""COMPUTED_VALUE"""),"UZBEKISTAN")</f>
        <v>UZBEKISTAN</v>
      </c>
      <c r="C872" s="5" t="str">
        <f>IFERROR(__xludf.DUMMYFUNCTION("""COMPUTED_VALUE"""),"NORMAL")</f>
        <v>NORMAL</v>
      </c>
      <c r="D872" s="5" t="str">
        <f>IFERROR(__xludf.DUMMYFUNCTION("""COMPUTED_VALUE"""),"KHOJIAKBAR ALIJONOV")</f>
        <v>KHOJIAKBAR ALIJONOV</v>
      </c>
      <c r="E872" s="5">
        <f>IFERROR(__xludf.DUMMYFUNCTION("""COMPUTED_VALUE"""),0.0)</f>
        <v>0</v>
      </c>
      <c r="F872" s="5">
        <f>IFERROR(__xludf.DUMMYFUNCTION("""COMPUTED_VALUE"""),0.0)</f>
        <v>0</v>
      </c>
    </row>
    <row r="873">
      <c r="A873" s="5" t="str">
        <f>IFERROR(__xludf.DUMMYFUNCTION("""COMPUTED_VALUE"""),"UZB09")</f>
        <v>UZB09</v>
      </c>
      <c r="B873" s="5" t="str">
        <f>IFERROR(__xludf.DUMMYFUNCTION("""COMPUTED_VALUE"""),"UZBEKISTAN")</f>
        <v>UZBEKISTAN</v>
      </c>
      <c r="C873" s="5" t="str">
        <f>IFERROR(__xludf.DUMMYFUNCTION("""COMPUTED_VALUE"""),"NORMAL")</f>
        <v>NORMAL</v>
      </c>
      <c r="D873" s="5" t="str">
        <f>IFERROR(__xludf.DUMMYFUNCTION("""COMPUTED_VALUE"""),"ABDUKODIR KHUSANOV")</f>
        <v>ABDUKODIR KHUSANOV</v>
      </c>
      <c r="E873" s="5">
        <f>IFERROR(__xludf.DUMMYFUNCTION("""COMPUTED_VALUE"""),0.0)</f>
        <v>0</v>
      </c>
      <c r="F873" s="5">
        <f>IFERROR(__xludf.DUMMYFUNCTION("""COMPUTED_VALUE"""),0.0)</f>
        <v>0</v>
      </c>
    </row>
    <row r="874">
      <c r="A874" s="5" t="str">
        <f>IFERROR(__xludf.DUMMYFUNCTION("""COMPUTED_VALUE"""),"UZB10")</f>
        <v>UZB10</v>
      </c>
      <c r="B874" s="5" t="str">
        <f>IFERROR(__xludf.DUMMYFUNCTION("""COMPUTED_VALUE"""),"UZBEKISTAN")</f>
        <v>UZBEKISTAN</v>
      </c>
      <c r="C874" s="5" t="str">
        <f>IFERROR(__xludf.DUMMYFUNCTION("""COMPUTED_VALUE"""),"NORMAL")</f>
        <v>NORMAL</v>
      </c>
      <c r="D874" s="5" t="str">
        <f>IFERROR(__xludf.DUMMYFUNCTION("""COMPUTED_VALUE"""),"ODILJON HAMROBEKOV")</f>
        <v>ODILJON HAMROBEKOV</v>
      </c>
      <c r="E874" s="5">
        <f>IFERROR(__xludf.DUMMYFUNCTION("""COMPUTED_VALUE"""),0.0)</f>
        <v>0</v>
      </c>
      <c r="F874" s="5">
        <f>IFERROR(__xludf.DUMMYFUNCTION("""COMPUTED_VALUE"""),0.0)</f>
        <v>0</v>
      </c>
    </row>
    <row r="875">
      <c r="A875" s="5" t="str">
        <f>IFERROR(__xludf.DUMMYFUNCTION("""COMPUTED_VALUE"""),"UZB11")</f>
        <v>UZB11</v>
      </c>
      <c r="B875" s="5" t="str">
        <f>IFERROR(__xludf.DUMMYFUNCTION("""COMPUTED_VALUE"""),"UZBEKISTAN")</f>
        <v>UZBEKISTAN</v>
      </c>
      <c r="C875" s="5" t="str">
        <f>IFERROR(__xludf.DUMMYFUNCTION("""COMPUTED_VALUE"""),"NORMAL")</f>
        <v>NORMAL</v>
      </c>
      <c r="D875" s="5" t="str">
        <f>IFERROR(__xludf.DUMMYFUNCTION("""COMPUTED_VALUE"""),"OTABEK SHUKUROV")</f>
        <v>OTABEK SHUKUROV</v>
      </c>
      <c r="E875" s="5">
        <f>IFERROR(__xludf.DUMMYFUNCTION("""COMPUTED_VALUE"""),0.0)</f>
        <v>0</v>
      </c>
      <c r="F875" s="5">
        <f>IFERROR(__xludf.DUMMYFUNCTION("""COMPUTED_VALUE"""),0.0)</f>
        <v>0</v>
      </c>
    </row>
    <row r="876">
      <c r="A876" s="5" t="str">
        <f>IFERROR(__xludf.DUMMYFUNCTION("""COMPUTED_VALUE"""),"UZB12")</f>
        <v>UZB12</v>
      </c>
      <c r="B876" s="5" t="str">
        <f>IFERROR(__xludf.DUMMYFUNCTION("""COMPUTED_VALUE"""),"UZBEKISTAN")</f>
        <v>UZBEKISTAN</v>
      </c>
      <c r="C876" s="5" t="str">
        <f>IFERROR(__xludf.DUMMYFUNCTION("""COMPUTED_VALUE"""),"NORMAL")</f>
        <v>NORMAL</v>
      </c>
      <c r="D876" s="5" t="str">
        <f>IFERROR(__xludf.DUMMYFUNCTION("""COMPUTED_VALUE"""),"JAMSHID ISKANDEROV")</f>
        <v>JAMSHID ISKANDEROV</v>
      </c>
      <c r="E876" s="5">
        <f>IFERROR(__xludf.DUMMYFUNCTION("""COMPUTED_VALUE"""),0.0)</f>
        <v>0</v>
      </c>
      <c r="F876" s="5">
        <f>IFERROR(__xludf.DUMMYFUNCTION("""COMPUTED_VALUE"""),0.0)</f>
        <v>0</v>
      </c>
    </row>
    <row r="877">
      <c r="A877" s="5" t="str">
        <f>IFERROR(__xludf.DUMMYFUNCTION("""COMPUTED_VALUE"""),"UZB13")</f>
        <v>UZB13</v>
      </c>
      <c r="B877" s="5" t="str">
        <f>IFERROR(__xludf.DUMMYFUNCTION("""COMPUTED_VALUE"""),"UZBEKISTAN")</f>
        <v>UZBEKISTAN</v>
      </c>
      <c r="C877" s="5" t="str">
        <f>IFERROR(__xludf.DUMMYFUNCTION("""COMPUTED_VALUE"""),"TEAM")</f>
        <v>TEAM</v>
      </c>
      <c r="D877" s="5" t="str">
        <f>IFERROR(__xludf.DUMMYFUNCTION("""COMPUTED_VALUE"""),"UZBEKISTAN NATIONAL TEAM")</f>
        <v>UZBEKISTAN NATIONAL TEAM</v>
      </c>
      <c r="E877" s="5">
        <f>IFERROR(__xludf.DUMMYFUNCTION("""COMPUTED_VALUE"""),0.0)</f>
        <v>0</v>
      </c>
      <c r="F877" s="5">
        <f>IFERROR(__xludf.DUMMYFUNCTION("""COMPUTED_VALUE"""),0.0)</f>
        <v>0</v>
      </c>
    </row>
    <row r="878">
      <c r="A878" s="5" t="str">
        <f>IFERROR(__xludf.DUMMYFUNCTION("""COMPUTED_VALUE"""),"UZB14")</f>
        <v>UZB14</v>
      </c>
      <c r="B878" s="5" t="str">
        <f>IFERROR(__xludf.DUMMYFUNCTION("""COMPUTED_VALUE"""),"UZBEKISTAN")</f>
        <v>UZBEKISTAN</v>
      </c>
      <c r="C878" s="5" t="str">
        <f>IFERROR(__xludf.DUMMYFUNCTION("""COMPUTED_VALUE"""),"NORMAL")</f>
        <v>NORMAL</v>
      </c>
      <c r="D878" s="5" t="str">
        <f>IFERROR(__xludf.DUMMYFUNCTION("""COMPUTED_VALUE"""),"AZIZBEK TURGUNBOEV")</f>
        <v>AZIZBEK TURGUNBOEV</v>
      </c>
      <c r="E878" s="5">
        <f>IFERROR(__xludf.DUMMYFUNCTION("""COMPUTED_VALUE"""),0.0)</f>
        <v>0</v>
      </c>
      <c r="F878" s="5">
        <f>IFERROR(__xludf.DUMMYFUNCTION("""COMPUTED_VALUE"""),0.0)</f>
        <v>0</v>
      </c>
    </row>
    <row r="879">
      <c r="A879" s="5" t="str">
        <f>IFERROR(__xludf.DUMMYFUNCTION("""COMPUTED_VALUE"""),"UZB15")</f>
        <v>UZB15</v>
      </c>
      <c r="B879" s="5" t="str">
        <f>IFERROR(__xludf.DUMMYFUNCTION("""COMPUTED_VALUE"""),"UZBEKISTAN")</f>
        <v>UZBEKISTAN</v>
      </c>
      <c r="C879" s="5" t="str">
        <f>IFERROR(__xludf.DUMMYFUNCTION("""COMPUTED_VALUE"""),"NORMAL")</f>
        <v>NORMAL</v>
      </c>
      <c r="D879" s="5" t="str">
        <f>IFERROR(__xludf.DUMMYFUNCTION("""COMPUTED_VALUE"""),"KHOJIMAT ERKINOV")</f>
        <v>KHOJIMAT ERKINOV</v>
      </c>
      <c r="E879" s="5">
        <f>IFERROR(__xludf.DUMMYFUNCTION("""COMPUTED_VALUE"""),0.0)</f>
        <v>0</v>
      </c>
      <c r="F879" s="5">
        <f>IFERROR(__xludf.DUMMYFUNCTION("""COMPUTED_VALUE"""),0.0)</f>
        <v>0</v>
      </c>
    </row>
    <row r="880">
      <c r="A880" s="5" t="str">
        <f>IFERROR(__xludf.DUMMYFUNCTION("""COMPUTED_VALUE"""),"UZB16")</f>
        <v>UZB16</v>
      </c>
      <c r="B880" s="5" t="str">
        <f>IFERROR(__xludf.DUMMYFUNCTION("""COMPUTED_VALUE"""),"UZBEKISTAN")</f>
        <v>UZBEKISTAN</v>
      </c>
      <c r="C880" s="5" t="str">
        <f>IFERROR(__xludf.DUMMYFUNCTION("""COMPUTED_VALUE"""),"NORMAL")</f>
        <v>NORMAL</v>
      </c>
      <c r="D880" s="5" t="str">
        <f>IFERROR(__xludf.DUMMYFUNCTION("""COMPUTED_VALUE"""),"ELDOR SHOMURODOV")</f>
        <v>ELDOR SHOMURODOV</v>
      </c>
      <c r="E880" s="5">
        <f>IFERROR(__xludf.DUMMYFUNCTION("""COMPUTED_VALUE"""),0.0)</f>
        <v>0</v>
      </c>
      <c r="F880" s="5">
        <f>IFERROR(__xludf.DUMMYFUNCTION("""COMPUTED_VALUE"""),0.0)</f>
        <v>0</v>
      </c>
    </row>
    <row r="881">
      <c r="A881" s="5" t="str">
        <f>IFERROR(__xludf.DUMMYFUNCTION("""COMPUTED_VALUE"""),"UZB17")</f>
        <v>UZB17</v>
      </c>
      <c r="B881" s="5" t="str">
        <f>IFERROR(__xludf.DUMMYFUNCTION("""COMPUTED_VALUE"""),"UZBEKISTAN")</f>
        <v>UZBEKISTAN</v>
      </c>
      <c r="C881" s="5" t="str">
        <f>IFERROR(__xludf.DUMMYFUNCTION("""COMPUTED_VALUE"""),"NORMAL")</f>
        <v>NORMAL</v>
      </c>
      <c r="D881" s="5" t="str">
        <f>IFERROR(__xludf.DUMMYFUNCTION("""COMPUTED_VALUE"""),"OSTON URUNOV")</f>
        <v>OSTON URUNOV</v>
      </c>
      <c r="E881" s="5">
        <f>IFERROR(__xludf.DUMMYFUNCTION("""COMPUTED_VALUE"""),0.0)</f>
        <v>0</v>
      </c>
      <c r="F881" s="5">
        <f>IFERROR(__xludf.DUMMYFUNCTION("""COMPUTED_VALUE"""),0.0)</f>
        <v>0</v>
      </c>
    </row>
    <row r="882">
      <c r="A882" s="5" t="str">
        <f>IFERROR(__xludf.DUMMYFUNCTION("""COMPUTED_VALUE"""),"UZB18")</f>
        <v>UZB18</v>
      </c>
      <c r="B882" s="5" t="str">
        <f>IFERROR(__xludf.DUMMYFUNCTION("""COMPUTED_VALUE"""),"UZBEKISTAN")</f>
        <v>UZBEKISTAN</v>
      </c>
      <c r="C882" s="5" t="str">
        <f>IFERROR(__xludf.DUMMYFUNCTION("""COMPUTED_VALUE"""),"NORMAL")</f>
        <v>NORMAL</v>
      </c>
      <c r="D882" s="5" t="str">
        <f>IFERROR(__xludf.DUMMYFUNCTION("""COMPUTED_VALUE"""),"JALOLIDDIN MASHARIPOV")</f>
        <v>JALOLIDDIN MASHARIPOV</v>
      </c>
      <c r="E882" s="5">
        <f>IFERROR(__xludf.DUMMYFUNCTION("""COMPUTED_VALUE"""),0.0)</f>
        <v>0</v>
      </c>
      <c r="F882" s="5">
        <f>IFERROR(__xludf.DUMMYFUNCTION("""COMPUTED_VALUE"""),0.0)</f>
        <v>0</v>
      </c>
    </row>
    <row r="883">
      <c r="A883" s="5" t="str">
        <f>IFERROR(__xludf.DUMMYFUNCTION("""COMPUTED_VALUE"""),"UZB19")</f>
        <v>UZB19</v>
      </c>
      <c r="B883" s="5" t="str">
        <f>IFERROR(__xludf.DUMMYFUNCTION("""COMPUTED_VALUE"""),"UZBEKISTAN")</f>
        <v>UZBEKISTAN</v>
      </c>
      <c r="C883" s="5" t="str">
        <f>IFERROR(__xludf.DUMMYFUNCTION("""COMPUTED_VALUE"""),"NORMAL")</f>
        <v>NORMAL</v>
      </c>
      <c r="D883" s="5" t="str">
        <f>IFERROR(__xludf.DUMMYFUNCTION("""COMPUTED_VALUE"""),"IGOR SERGEEV")</f>
        <v>IGOR SERGEEV</v>
      </c>
      <c r="E883" s="5">
        <f>IFERROR(__xludf.DUMMYFUNCTION("""COMPUTED_VALUE"""),0.0)</f>
        <v>0</v>
      </c>
      <c r="F883" s="5">
        <f>IFERROR(__xludf.DUMMYFUNCTION("""COMPUTED_VALUE"""),0.0)</f>
        <v>0</v>
      </c>
    </row>
    <row r="884">
      <c r="A884" s="5" t="str">
        <f>IFERROR(__xludf.DUMMYFUNCTION("""COMPUTED_VALUE"""),"UZB20")</f>
        <v>UZB20</v>
      </c>
      <c r="B884" s="5" t="str">
        <f>IFERROR(__xludf.DUMMYFUNCTION("""COMPUTED_VALUE"""),"UZBEKISTAN")</f>
        <v>UZBEKISTAN</v>
      </c>
      <c r="C884" s="5" t="str">
        <f>IFERROR(__xludf.DUMMYFUNCTION("""COMPUTED_VALUE"""),"NORMAL")</f>
        <v>NORMAL</v>
      </c>
      <c r="D884" s="5" t="str">
        <f>IFERROR(__xludf.DUMMYFUNCTION("""COMPUTED_VALUE"""),"ABBOSBEK FAYZULLAEV")</f>
        <v>ABBOSBEK FAYZULLAEV</v>
      </c>
      <c r="E884" s="5">
        <f>IFERROR(__xludf.DUMMYFUNCTION("""COMPUTED_VALUE"""),0.0)</f>
        <v>0</v>
      </c>
      <c r="F884" s="5">
        <f>IFERROR(__xludf.DUMMYFUNCTION("""COMPUTED_VALUE"""),0.0)</f>
        <v>0</v>
      </c>
    </row>
    <row r="885">
      <c r="A885" s="5" t="str">
        <f>IFERROR(__xludf.DUMMYFUNCTION("""COMPUTED_VALUE"""),"COL01")</f>
        <v>COL01</v>
      </c>
      <c r="B885" s="5" t="str">
        <f>IFERROR(__xludf.DUMMYFUNCTION("""COMPUTED_VALUE"""),"COLOMBIA")</f>
        <v>COLOMBIA</v>
      </c>
      <c r="C885" s="5" t="str">
        <f>IFERROR(__xludf.DUMMYFUNCTION("""COMPUTED_VALUE"""),"BADGE")</f>
        <v>BADGE</v>
      </c>
      <c r="D885" s="5" t="str">
        <f>IFERROR(__xludf.DUMMYFUNCTION("""COMPUTED_VALUE"""),"COLOMBIA NATIONAL TEAM")</f>
        <v>COLOMBIA NATIONAL TEAM</v>
      </c>
      <c r="E885" s="5">
        <f>IFERROR(__xludf.DUMMYFUNCTION("""COMPUTED_VALUE"""),0.0)</f>
        <v>0</v>
      </c>
      <c r="F885" s="5">
        <f>IFERROR(__xludf.DUMMYFUNCTION("""COMPUTED_VALUE"""),0.0)</f>
        <v>0</v>
      </c>
    </row>
    <row r="886">
      <c r="A886" s="5" t="str">
        <f>IFERROR(__xludf.DUMMYFUNCTION("""COMPUTED_VALUE"""),"COL02")</f>
        <v>COL02</v>
      </c>
      <c r="B886" s="5" t="str">
        <f>IFERROR(__xludf.DUMMYFUNCTION("""COMPUTED_VALUE"""),"COLOMBIA")</f>
        <v>COLOMBIA</v>
      </c>
      <c r="C886" s="5" t="str">
        <f>IFERROR(__xludf.DUMMYFUNCTION("""COMPUTED_VALUE"""),"NORMAL")</f>
        <v>NORMAL</v>
      </c>
      <c r="D886" s="5" t="str">
        <f>IFERROR(__xludf.DUMMYFUNCTION("""COMPUTED_VALUE"""),"CAMILO VARGAS")</f>
        <v>CAMILO VARGAS</v>
      </c>
      <c r="E886" s="5">
        <f>IFERROR(__xludf.DUMMYFUNCTION("""COMPUTED_VALUE"""),0.0)</f>
        <v>0</v>
      </c>
      <c r="F886" s="5">
        <f>IFERROR(__xludf.DUMMYFUNCTION("""COMPUTED_VALUE"""),0.0)</f>
        <v>0</v>
      </c>
    </row>
    <row r="887">
      <c r="A887" s="5" t="str">
        <f>IFERROR(__xludf.DUMMYFUNCTION("""COMPUTED_VALUE"""),"COL03")</f>
        <v>COL03</v>
      </c>
      <c r="B887" s="5" t="str">
        <f>IFERROR(__xludf.DUMMYFUNCTION("""COMPUTED_VALUE"""),"COLOMBIA")</f>
        <v>COLOMBIA</v>
      </c>
      <c r="C887" s="5" t="str">
        <f>IFERROR(__xludf.DUMMYFUNCTION("""COMPUTED_VALUE"""),"NORMAL")</f>
        <v>NORMAL</v>
      </c>
      <c r="D887" s="5" t="str">
        <f>IFERROR(__xludf.DUMMYFUNCTION("""COMPUTED_VALUE"""),"DAVID OSPINA")</f>
        <v>DAVID OSPINA</v>
      </c>
      <c r="E887" s="5">
        <f>IFERROR(__xludf.DUMMYFUNCTION("""COMPUTED_VALUE"""),0.0)</f>
        <v>0</v>
      </c>
      <c r="F887" s="5">
        <f>IFERROR(__xludf.DUMMYFUNCTION("""COMPUTED_VALUE"""),0.0)</f>
        <v>0</v>
      </c>
    </row>
    <row r="888">
      <c r="A888" s="5" t="str">
        <f>IFERROR(__xludf.DUMMYFUNCTION("""COMPUTED_VALUE"""),"COL04")</f>
        <v>COL04</v>
      </c>
      <c r="B888" s="5" t="str">
        <f>IFERROR(__xludf.DUMMYFUNCTION("""COMPUTED_VALUE"""),"COLOMBIA")</f>
        <v>COLOMBIA</v>
      </c>
      <c r="C888" s="5" t="str">
        <f>IFERROR(__xludf.DUMMYFUNCTION("""COMPUTED_VALUE"""),"NORMAL")</f>
        <v>NORMAL</v>
      </c>
      <c r="D888" s="5" t="str">
        <f>IFERROR(__xludf.DUMMYFUNCTION("""COMPUTED_VALUE"""),"DAVINSON SANCHEZ")</f>
        <v>DAVINSON SANCHEZ</v>
      </c>
      <c r="E888" s="5">
        <f>IFERROR(__xludf.DUMMYFUNCTION("""COMPUTED_VALUE"""),0.0)</f>
        <v>0</v>
      </c>
      <c r="F888" s="5">
        <f>IFERROR(__xludf.DUMMYFUNCTION("""COMPUTED_VALUE"""),0.0)</f>
        <v>0</v>
      </c>
    </row>
    <row r="889">
      <c r="A889" s="5" t="str">
        <f>IFERROR(__xludf.DUMMYFUNCTION("""COMPUTED_VALUE"""),"COL05")</f>
        <v>COL05</v>
      </c>
      <c r="B889" s="5" t="str">
        <f>IFERROR(__xludf.DUMMYFUNCTION("""COMPUTED_VALUE"""),"COLOMBIA")</f>
        <v>COLOMBIA</v>
      </c>
      <c r="C889" s="5" t="str">
        <f>IFERROR(__xludf.DUMMYFUNCTION("""COMPUTED_VALUE"""),"NORMAL")</f>
        <v>NORMAL</v>
      </c>
      <c r="D889" s="5" t="str">
        <f>IFERROR(__xludf.DUMMYFUNCTION("""COMPUTED_VALUE"""),"YERRY MINA")</f>
        <v>YERRY MINA</v>
      </c>
      <c r="E889" s="5">
        <f>IFERROR(__xludf.DUMMYFUNCTION("""COMPUTED_VALUE"""),0.0)</f>
        <v>0</v>
      </c>
      <c r="F889" s="5">
        <f>IFERROR(__xludf.DUMMYFUNCTION("""COMPUTED_VALUE"""),0.0)</f>
        <v>0</v>
      </c>
    </row>
    <row r="890">
      <c r="A890" s="5" t="str">
        <f>IFERROR(__xludf.DUMMYFUNCTION("""COMPUTED_VALUE"""),"COL06")</f>
        <v>COL06</v>
      </c>
      <c r="B890" s="5" t="str">
        <f>IFERROR(__xludf.DUMMYFUNCTION("""COMPUTED_VALUE"""),"COLOMBIA")</f>
        <v>COLOMBIA</v>
      </c>
      <c r="C890" s="5" t="str">
        <f>IFERROR(__xludf.DUMMYFUNCTION("""COMPUTED_VALUE"""),"NORMAL")</f>
        <v>NORMAL</v>
      </c>
      <c r="D890" s="5" t="str">
        <f>IFERROR(__xludf.DUMMYFUNCTION("""COMPUTED_VALUE"""),"DANIEL MUÑOZ")</f>
        <v>DANIEL MUÑOZ</v>
      </c>
      <c r="E890" s="5">
        <f>IFERROR(__xludf.DUMMYFUNCTION("""COMPUTED_VALUE"""),0.0)</f>
        <v>0</v>
      </c>
      <c r="F890" s="5">
        <f>IFERROR(__xludf.DUMMYFUNCTION("""COMPUTED_VALUE"""),0.0)</f>
        <v>0</v>
      </c>
    </row>
    <row r="891">
      <c r="A891" s="5" t="str">
        <f>IFERROR(__xludf.DUMMYFUNCTION("""COMPUTED_VALUE"""),"COL07")</f>
        <v>COL07</v>
      </c>
      <c r="B891" s="5" t="str">
        <f>IFERROR(__xludf.DUMMYFUNCTION("""COMPUTED_VALUE"""),"COLOMBIA")</f>
        <v>COLOMBIA</v>
      </c>
      <c r="C891" s="5" t="str">
        <f>IFERROR(__xludf.DUMMYFUNCTION("""COMPUTED_VALUE"""),"NORMAL")</f>
        <v>NORMAL</v>
      </c>
      <c r="D891" s="5" t="str">
        <f>IFERROR(__xludf.DUMMYFUNCTION("""COMPUTED_VALUE"""),"JOHAN MOJICA")</f>
        <v>JOHAN MOJICA</v>
      </c>
      <c r="E891" s="5">
        <f>IFERROR(__xludf.DUMMYFUNCTION("""COMPUTED_VALUE"""),0.0)</f>
        <v>0</v>
      </c>
      <c r="F891" s="5">
        <f>IFERROR(__xludf.DUMMYFUNCTION("""COMPUTED_VALUE"""),0.0)</f>
        <v>0</v>
      </c>
    </row>
    <row r="892">
      <c r="A892" s="5" t="str">
        <f>IFERROR(__xludf.DUMMYFUNCTION("""COMPUTED_VALUE"""),"COL08")</f>
        <v>COL08</v>
      </c>
      <c r="B892" s="5" t="str">
        <f>IFERROR(__xludf.DUMMYFUNCTION("""COMPUTED_VALUE"""),"COLOMBIA")</f>
        <v>COLOMBIA</v>
      </c>
      <c r="C892" s="5" t="str">
        <f>IFERROR(__xludf.DUMMYFUNCTION("""COMPUTED_VALUE"""),"NORMAL")</f>
        <v>NORMAL</v>
      </c>
      <c r="D892" s="5" t="str">
        <f>IFERROR(__xludf.DUMMYFUNCTION("""COMPUTED_VALUE"""),"JHON LUCUMI")</f>
        <v>JHON LUCUMI</v>
      </c>
      <c r="E892" s="5">
        <f>IFERROR(__xludf.DUMMYFUNCTION("""COMPUTED_VALUE"""),0.0)</f>
        <v>0</v>
      </c>
      <c r="F892" s="5">
        <f>IFERROR(__xludf.DUMMYFUNCTION("""COMPUTED_VALUE"""),0.0)</f>
        <v>0</v>
      </c>
    </row>
    <row r="893">
      <c r="A893" s="5" t="str">
        <f>IFERROR(__xludf.DUMMYFUNCTION("""COMPUTED_VALUE"""),"COL09")</f>
        <v>COL09</v>
      </c>
      <c r="B893" s="5" t="str">
        <f>IFERROR(__xludf.DUMMYFUNCTION("""COMPUTED_VALUE"""),"COLOMBIA")</f>
        <v>COLOMBIA</v>
      </c>
      <c r="C893" s="5" t="str">
        <f>IFERROR(__xludf.DUMMYFUNCTION("""COMPUTED_VALUE"""),"NORMAL")</f>
        <v>NORMAL</v>
      </c>
      <c r="D893" s="5" t="str">
        <f>IFERROR(__xludf.DUMMYFUNCTION("""COMPUTED_VALUE"""),"SANTIAGO ARIAS")</f>
        <v>SANTIAGO ARIAS</v>
      </c>
      <c r="E893" s="5">
        <f>IFERROR(__xludf.DUMMYFUNCTION("""COMPUTED_VALUE"""),0.0)</f>
        <v>0</v>
      </c>
      <c r="F893" s="5">
        <f>IFERROR(__xludf.DUMMYFUNCTION("""COMPUTED_VALUE"""),0.0)</f>
        <v>0</v>
      </c>
    </row>
    <row r="894">
      <c r="A894" s="5" t="str">
        <f>IFERROR(__xludf.DUMMYFUNCTION("""COMPUTED_VALUE"""),"COL10")</f>
        <v>COL10</v>
      </c>
      <c r="B894" s="5" t="str">
        <f>IFERROR(__xludf.DUMMYFUNCTION("""COMPUTED_VALUE"""),"COLOMBIA")</f>
        <v>COLOMBIA</v>
      </c>
      <c r="C894" s="5" t="str">
        <f>IFERROR(__xludf.DUMMYFUNCTION("""COMPUTED_VALUE"""),"NORMAL")</f>
        <v>NORMAL</v>
      </c>
      <c r="D894" s="5" t="str">
        <f>IFERROR(__xludf.DUMMYFUNCTION("""COMPUTED_VALUE"""),"JEFFERSON LERMA")</f>
        <v>JEFFERSON LERMA</v>
      </c>
      <c r="E894" s="5">
        <f>IFERROR(__xludf.DUMMYFUNCTION("""COMPUTED_VALUE"""),0.0)</f>
        <v>0</v>
      </c>
      <c r="F894" s="5">
        <f>IFERROR(__xludf.DUMMYFUNCTION("""COMPUTED_VALUE"""),0.0)</f>
        <v>0</v>
      </c>
    </row>
    <row r="895">
      <c r="A895" s="5" t="str">
        <f>IFERROR(__xludf.DUMMYFUNCTION("""COMPUTED_VALUE"""),"COL11")</f>
        <v>COL11</v>
      </c>
      <c r="B895" s="5" t="str">
        <f>IFERROR(__xludf.DUMMYFUNCTION("""COMPUTED_VALUE"""),"COLOMBIA")</f>
        <v>COLOMBIA</v>
      </c>
      <c r="C895" s="5" t="str">
        <f>IFERROR(__xludf.DUMMYFUNCTION("""COMPUTED_VALUE"""),"NORMAL")</f>
        <v>NORMAL</v>
      </c>
      <c r="D895" s="5" t="str">
        <f>IFERROR(__xludf.DUMMYFUNCTION("""COMPUTED_VALUE"""),"KEVIN CASTAÑO")</f>
        <v>KEVIN CASTAÑO</v>
      </c>
      <c r="E895" s="5">
        <f>IFERROR(__xludf.DUMMYFUNCTION("""COMPUTED_VALUE"""),0.0)</f>
        <v>0</v>
      </c>
      <c r="F895" s="5">
        <f>IFERROR(__xludf.DUMMYFUNCTION("""COMPUTED_VALUE"""),0.0)</f>
        <v>0</v>
      </c>
    </row>
    <row r="896">
      <c r="A896" s="5" t="str">
        <f>IFERROR(__xludf.DUMMYFUNCTION("""COMPUTED_VALUE"""),"COL12")</f>
        <v>COL12</v>
      </c>
      <c r="B896" s="5" t="str">
        <f>IFERROR(__xludf.DUMMYFUNCTION("""COMPUTED_VALUE"""),"COLOMBIA")</f>
        <v>COLOMBIA</v>
      </c>
      <c r="C896" s="5" t="str">
        <f>IFERROR(__xludf.DUMMYFUNCTION("""COMPUTED_VALUE"""),"NORMAL")</f>
        <v>NORMAL</v>
      </c>
      <c r="D896" s="5" t="str">
        <f>IFERROR(__xludf.DUMMYFUNCTION("""COMPUTED_VALUE"""),"RICHARD RIOS")</f>
        <v>RICHARD RIOS</v>
      </c>
      <c r="E896" s="5">
        <f>IFERROR(__xludf.DUMMYFUNCTION("""COMPUTED_VALUE"""),0.0)</f>
        <v>0</v>
      </c>
      <c r="F896" s="5">
        <f>IFERROR(__xludf.DUMMYFUNCTION("""COMPUTED_VALUE"""),0.0)</f>
        <v>0</v>
      </c>
    </row>
    <row r="897">
      <c r="A897" s="5" t="str">
        <f>IFERROR(__xludf.DUMMYFUNCTION("""COMPUTED_VALUE"""),"COL13")</f>
        <v>COL13</v>
      </c>
      <c r="B897" s="5" t="str">
        <f>IFERROR(__xludf.DUMMYFUNCTION("""COMPUTED_VALUE"""),"COLOMBIA")</f>
        <v>COLOMBIA</v>
      </c>
      <c r="C897" s="5" t="str">
        <f>IFERROR(__xludf.DUMMYFUNCTION("""COMPUTED_VALUE"""),"TEAM")</f>
        <v>TEAM</v>
      </c>
      <c r="D897" s="5" t="str">
        <f>IFERROR(__xludf.DUMMYFUNCTION("""COMPUTED_VALUE"""),"COLOMBIA NATIONAL TEAM")</f>
        <v>COLOMBIA NATIONAL TEAM</v>
      </c>
      <c r="E897" s="5">
        <f>IFERROR(__xludf.DUMMYFUNCTION("""COMPUTED_VALUE"""),0.0)</f>
        <v>0</v>
      </c>
      <c r="F897" s="5">
        <f>IFERROR(__xludf.DUMMYFUNCTION("""COMPUTED_VALUE"""),0.0)</f>
        <v>0</v>
      </c>
    </row>
    <row r="898">
      <c r="A898" s="5" t="str">
        <f>IFERROR(__xludf.DUMMYFUNCTION("""COMPUTED_VALUE"""),"COL14")</f>
        <v>COL14</v>
      </c>
      <c r="B898" s="5" t="str">
        <f>IFERROR(__xludf.DUMMYFUNCTION("""COMPUTED_VALUE"""),"COLOMBIA")</f>
        <v>COLOMBIA</v>
      </c>
      <c r="C898" s="5" t="str">
        <f>IFERROR(__xludf.DUMMYFUNCTION("""COMPUTED_VALUE"""),"NORMAL")</f>
        <v>NORMAL</v>
      </c>
      <c r="D898" s="5" t="str">
        <f>IFERROR(__xludf.DUMMYFUNCTION("""COMPUTED_VALUE"""),"JAMES RODRIGUEZ")</f>
        <v>JAMES RODRIGUEZ</v>
      </c>
      <c r="E898" s="5">
        <f>IFERROR(__xludf.DUMMYFUNCTION("""COMPUTED_VALUE"""),0.0)</f>
        <v>0</v>
      </c>
      <c r="F898" s="5">
        <f>IFERROR(__xludf.DUMMYFUNCTION("""COMPUTED_VALUE"""),0.0)</f>
        <v>0</v>
      </c>
    </row>
    <row r="899">
      <c r="A899" s="5" t="str">
        <f>IFERROR(__xludf.DUMMYFUNCTION("""COMPUTED_VALUE"""),"COL15")</f>
        <v>COL15</v>
      </c>
      <c r="B899" s="5" t="str">
        <f>IFERROR(__xludf.DUMMYFUNCTION("""COMPUTED_VALUE"""),"COLOMBIA")</f>
        <v>COLOMBIA</v>
      </c>
      <c r="C899" s="5" t="str">
        <f>IFERROR(__xludf.DUMMYFUNCTION("""COMPUTED_VALUE"""),"NORMAL")</f>
        <v>NORMAL</v>
      </c>
      <c r="D899" s="5" t="str">
        <f>IFERROR(__xludf.DUMMYFUNCTION("""COMPUTED_VALUE"""),"JUAN FERNANDO QUINTERO")</f>
        <v>JUAN FERNANDO QUINTERO</v>
      </c>
      <c r="E899" s="5">
        <f>IFERROR(__xludf.DUMMYFUNCTION("""COMPUTED_VALUE"""),0.0)</f>
        <v>0</v>
      </c>
      <c r="F899" s="5">
        <f>IFERROR(__xludf.DUMMYFUNCTION("""COMPUTED_VALUE"""),0.0)</f>
        <v>0</v>
      </c>
    </row>
    <row r="900">
      <c r="A900" s="5" t="str">
        <f>IFERROR(__xludf.DUMMYFUNCTION("""COMPUTED_VALUE"""),"COL16")</f>
        <v>COL16</v>
      </c>
      <c r="B900" s="5" t="str">
        <f>IFERROR(__xludf.DUMMYFUNCTION("""COMPUTED_VALUE"""),"COLOMBIA")</f>
        <v>COLOMBIA</v>
      </c>
      <c r="C900" s="5" t="str">
        <f>IFERROR(__xludf.DUMMYFUNCTION("""COMPUTED_VALUE"""),"NORMAL")</f>
        <v>NORMAL</v>
      </c>
      <c r="D900" s="5" t="str">
        <f>IFERROR(__xludf.DUMMYFUNCTION("""COMPUTED_VALUE"""),"JORGE CARRASCAL")</f>
        <v>JORGE CARRASCAL</v>
      </c>
      <c r="E900" s="5">
        <f>IFERROR(__xludf.DUMMYFUNCTION("""COMPUTED_VALUE"""),0.0)</f>
        <v>0</v>
      </c>
      <c r="F900" s="5">
        <f>IFERROR(__xludf.DUMMYFUNCTION("""COMPUTED_VALUE"""),0.0)</f>
        <v>0</v>
      </c>
    </row>
    <row r="901">
      <c r="A901" s="5" t="str">
        <f>IFERROR(__xludf.DUMMYFUNCTION("""COMPUTED_VALUE"""),"COL17")</f>
        <v>COL17</v>
      </c>
      <c r="B901" s="5" t="str">
        <f>IFERROR(__xludf.DUMMYFUNCTION("""COMPUTED_VALUE"""),"COLOMBIA")</f>
        <v>COLOMBIA</v>
      </c>
      <c r="C901" s="5" t="str">
        <f>IFERROR(__xludf.DUMMYFUNCTION("""COMPUTED_VALUE"""),"NORMAL")</f>
        <v>NORMAL</v>
      </c>
      <c r="D901" s="5" t="str">
        <f>IFERROR(__xludf.DUMMYFUNCTION("""COMPUTED_VALUE"""),"JHON ARIAS")</f>
        <v>JHON ARIAS</v>
      </c>
      <c r="E901" s="5">
        <f>IFERROR(__xludf.DUMMYFUNCTION("""COMPUTED_VALUE"""),0.0)</f>
        <v>0</v>
      </c>
      <c r="F901" s="5">
        <f>IFERROR(__xludf.DUMMYFUNCTION("""COMPUTED_VALUE"""),0.0)</f>
        <v>0</v>
      </c>
    </row>
    <row r="902">
      <c r="A902" s="5" t="str">
        <f>IFERROR(__xludf.DUMMYFUNCTION("""COMPUTED_VALUE"""),"COL18")</f>
        <v>COL18</v>
      </c>
      <c r="B902" s="5" t="str">
        <f>IFERROR(__xludf.DUMMYFUNCTION("""COMPUTED_VALUE"""),"COLOMBIA")</f>
        <v>COLOMBIA</v>
      </c>
      <c r="C902" s="5" t="str">
        <f>IFERROR(__xludf.DUMMYFUNCTION("""COMPUTED_VALUE"""),"NORMAL")</f>
        <v>NORMAL</v>
      </c>
      <c r="D902" s="5" t="str">
        <f>IFERROR(__xludf.DUMMYFUNCTION("""COMPUTED_VALUE"""),"JHON CORDOBA")</f>
        <v>JHON CORDOBA</v>
      </c>
      <c r="E902" s="5">
        <f>IFERROR(__xludf.DUMMYFUNCTION("""COMPUTED_VALUE"""),0.0)</f>
        <v>0</v>
      </c>
      <c r="F902" s="5">
        <f>IFERROR(__xludf.DUMMYFUNCTION("""COMPUTED_VALUE"""),0.0)</f>
        <v>0</v>
      </c>
    </row>
    <row r="903">
      <c r="A903" s="5" t="str">
        <f>IFERROR(__xludf.DUMMYFUNCTION("""COMPUTED_VALUE"""),"COL19")</f>
        <v>COL19</v>
      </c>
      <c r="B903" s="5" t="str">
        <f>IFERROR(__xludf.DUMMYFUNCTION("""COMPUTED_VALUE"""),"COLOMBIA")</f>
        <v>COLOMBIA</v>
      </c>
      <c r="C903" s="5" t="str">
        <f>IFERROR(__xludf.DUMMYFUNCTION("""COMPUTED_VALUE"""),"NORMAL")</f>
        <v>NORMAL</v>
      </c>
      <c r="D903" s="5" t="str">
        <f>IFERROR(__xludf.DUMMYFUNCTION("""COMPUTED_VALUE"""),"LUIS SUAREZ")</f>
        <v>LUIS SUAREZ</v>
      </c>
      <c r="E903" s="5">
        <f>IFERROR(__xludf.DUMMYFUNCTION("""COMPUTED_VALUE"""),0.0)</f>
        <v>0</v>
      </c>
      <c r="F903" s="5">
        <f>IFERROR(__xludf.DUMMYFUNCTION("""COMPUTED_VALUE"""),0.0)</f>
        <v>0</v>
      </c>
    </row>
    <row r="904">
      <c r="A904" s="5" t="str">
        <f>IFERROR(__xludf.DUMMYFUNCTION("""COMPUTED_VALUE"""),"COL20")</f>
        <v>COL20</v>
      </c>
      <c r="B904" s="5" t="str">
        <f>IFERROR(__xludf.DUMMYFUNCTION("""COMPUTED_VALUE"""),"COLOMBIA")</f>
        <v>COLOMBIA</v>
      </c>
      <c r="C904" s="5" t="str">
        <f>IFERROR(__xludf.DUMMYFUNCTION("""COMPUTED_VALUE"""),"NORMAL")</f>
        <v>NORMAL</v>
      </c>
      <c r="D904" s="5" t="str">
        <f>IFERROR(__xludf.DUMMYFUNCTION("""COMPUTED_VALUE"""),"LUIS DIAZ")</f>
        <v>LUIS DIAZ</v>
      </c>
      <c r="E904" s="5">
        <f>IFERROR(__xludf.DUMMYFUNCTION("""COMPUTED_VALUE"""),0.0)</f>
        <v>0</v>
      </c>
      <c r="F904" s="5">
        <f>IFERROR(__xludf.DUMMYFUNCTION("""COMPUTED_VALUE"""),0.0)</f>
        <v>0</v>
      </c>
    </row>
    <row r="905">
      <c r="A905" s="5" t="str">
        <f>IFERROR(__xludf.DUMMYFUNCTION("""COMPUTED_VALUE"""),"ENG 01")</f>
        <v>ENG 01</v>
      </c>
      <c r="B905" s="5" t="str">
        <f>IFERROR(__xludf.DUMMYFUNCTION("""COMPUTED_VALUE"""),"ENGLAND")</f>
        <v>ENGLAND</v>
      </c>
      <c r="C905" s="5" t="str">
        <f>IFERROR(__xludf.DUMMYFUNCTION("""COMPUTED_VALUE"""),"BADGE")</f>
        <v>BADGE</v>
      </c>
      <c r="D905" s="5" t="str">
        <f>IFERROR(__xludf.DUMMYFUNCTION("""COMPUTED_VALUE"""),"ENGLAND NATIONAL TEAM")</f>
        <v>ENGLAND NATIONAL TEAM</v>
      </c>
      <c r="E905" s="5">
        <f>IFERROR(__xludf.DUMMYFUNCTION("""COMPUTED_VALUE"""),0.0)</f>
        <v>0</v>
      </c>
      <c r="F905" s="5">
        <f>IFERROR(__xludf.DUMMYFUNCTION("""COMPUTED_VALUE"""),0.0)</f>
        <v>0</v>
      </c>
    </row>
    <row r="906">
      <c r="A906" s="5" t="str">
        <f>IFERROR(__xludf.DUMMYFUNCTION("""COMPUTED_VALUE"""),"ENG 02")</f>
        <v>ENG 02</v>
      </c>
      <c r="B906" s="5" t="str">
        <f>IFERROR(__xludf.DUMMYFUNCTION("""COMPUTED_VALUE"""),"ENGLAND")</f>
        <v>ENGLAND</v>
      </c>
      <c r="C906" s="5" t="str">
        <f>IFERROR(__xludf.DUMMYFUNCTION("""COMPUTED_VALUE"""),"NORMAL")</f>
        <v>NORMAL</v>
      </c>
      <c r="D906" s="5" t="str">
        <f>IFERROR(__xludf.DUMMYFUNCTION("""COMPUTED_VALUE"""),"JORDAN PICKFORD")</f>
        <v>JORDAN PICKFORD</v>
      </c>
      <c r="E906" s="5">
        <f>IFERROR(__xludf.DUMMYFUNCTION("""COMPUTED_VALUE"""),0.0)</f>
        <v>0</v>
      </c>
      <c r="F906" s="5">
        <f>IFERROR(__xludf.DUMMYFUNCTION("""COMPUTED_VALUE"""),0.0)</f>
        <v>0</v>
      </c>
    </row>
    <row r="907">
      <c r="A907" s="5" t="str">
        <f>IFERROR(__xludf.DUMMYFUNCTION("""COMPUTED_VALUE"""),"ENG 03")</f>
        <v>ENG 03</v>
      </c>
      <c r="B907" s="5" t="str">
        <f>IFERROR(__xludf.DUMMYFUNCTION("""COMPUTED_VALUE"""),"ENGLAND")</f>
        <v>ENGLAND</v>
      </c>
      <c r="C907" s="5" t="str">
        <f>IFERROR(__xludf.DUMMYFUNCTION("""COMPUTED_VALUE"""),"NORMAL")</f>
        <v>NORMAL</v>
      </c>
      <c r="D907" s="5" t="str">
        <f>IFERROR(__xludf.DUMMYFUNCTION("""COMPUTED_VALUE"""),"JOHN STONES")</f>
        <v>JOHN STONES</v>
      </c>
      <c r="E907" s="5">
        <f>IFERROR(__xludf.DUMMYFUNCTION("""COMPUTED_VALUE"""),0.0)</f>
        <v>0</v>
      </c>
      <c r="F907" s="5">
        <f>IFERROR(__xludf.DUMMYFUNCTION("""COMPUTED_VALUE"""),0.0)</f>
        <v>0</v>
      </c>
    </row>
    <row r="908">
      <c r="A908" s="5" t="str">
        <f>IFERROR(__xludf.DUMMYFUNCTION("""COMPUTED_VALUE"""),"ENG 04")</f>
        <v>ENG 04</v>
      </c>
      <c r="B908" s="5" t="str">
        <f>IFERROR(__xludf.DUMMYFUNCTION("""COMPUTED_VALUE"""),"ENGLAND")</f>
        <v>ENGLAND</v>
      </c>
      <c r="C908" s="5" t="str">
        <f>IFERROR(__xludf.DUMMYFUNCTION("""COMPUTED_VALUE"""),"NORMAL")</f>
        <v>NORMAL</v>
      </c>
      <c r="D908" s="5" t="str">
        <f>IFERROR(__xludf.DUMMYFUNCTION("""COMPUTED_VALUE"""),"MARC GUEHI")</f>
        <v>MARC GUEHI</v>
      </c>
      <c r="E908" s="5">
        <f>IFERROR(__xludf.DUMMYFUNCTION("""COMPUTED_VALUE"""),0.0)</f>
        <v>0</v>
      </c>
      <c r="F908" s="5">
        <f>IFERROR(__xludf.DUMMYFUNCTION("""COMPUTED_VALUE"""),0.0)</f>
        <v>0</v>
      </c>
    </row>
    <row r="909">
      <c r="A909" s="5" t="str">
        <f>IFERROR(__xludf.DUMMYFUNCTION("""COMPUTED_VALUE"""),"ENG 05")</f>
        <v>ENG 05</v>
      </c>
      <c r="B909" s="5" t="str">
        <f>IFERROR(__xludf.DUMMYFUNCTION("""COMPUTED_VALUE"""),"ENGLAND")</f>
        <v>ENGLAND</v>
      </c>
      <c r="C909" s="5" t="str">
        <f>IFERROR(__xludf.DUMMYFUNCTION("""COMPUTED_VALUE"""),"NORMAL")</f>
        <v>NORMAL</v>
      </c>
      <c r="D909" s="5" t="str">
        <f>IFERROR(__xludf.DUMMYFUNCTION("""COMPUTED_VALUE"""),"EZRI KONSA")</f>
        <v>EZRI KONSA</v>
      </c>
      <c r="E909" s="5">
        <f>IFERROR(__xludf.DUMMYFUNCTION("""COMPUTED_VALUE"""),0.0)</f>
        <v>0</v>
      </c>
      <c r="F909" s="5">
        <f>IFERROR(__xludf.DUMMYFUNCTION("""COMPUTED_VALUE"""),0.0)</f>
        <v>0</v>
      </c>
    </row>
    <row r="910">
      <c r="A910" s="5" t="str">
        <f>IFERROR(__xludf.DUMMYFUNCTION("""COMPUTED_VALUE"""),"ENG 06")</f>
        <v>ENG 06</v>
      </c>
      <c r="B910" s="5" t="str">
        <f>IFERROR(__xludf.DUMMYFUNCTION("""COMPUTED_VALUE"""),"ENGLAND")</f>
        <v>ENGLAND</v>
      </c>
      <c r="C910" s="5" t="str">
        <f>IFERROR(__xludf.DUMMYFUNCTION("""COMPUTED_VALUE"""),"NORMAL")</f>
        <v>NORMAL</v>
      </c>
      <c r="D910" s="5" t="str">
        <f>IFERROR(__xludf.DUMMYFUNCTION("""COMPUTED_VALUE"""),"TRENT ALEXANDER-ARNOLD")</f>
        <v>TRENT ALEXANDER-ARNOLD</v>
      </c>
      <c r="E910" s="5">
        <f>IFERROR(__xludf.DUMMYFUNCTION("""COMPUTED_VALUE"""),0.0)</f>
        <v>0</v>
      </c>
      <c r="F910" s="5">
        <f>IFERROR(__xludf.DUMMYFUNCTION("""COMPUTED_VALUE"""),0.0)</f>
        <v>0</v>
      </c>
    </row>
    <row r="911">
      <c r="A911" s="5" t="str">
        <f>IFERROR(__xludf.DUMMYFUNCTION("""COMPUTED_VALUE"""),"ENG 07")</f>
        <v>ENG 07</v>
      </c>
      <c r="B911" s="5" t="str">
        <f>IFERROR(__xludf.DUMMYFUNCTION("""COMPUTED_VALUE"""),"ENGLAND")</f>
        <v>ENGLAND</v>
      </c>
      <c r="C911" s="5" t="str">
        <f>IFERROR(__xludf.DUMMYFUNCTION("""COMPUTED_VALUE"""),"NORMAL")</f>
        <v>NORMAL</v>
      </c>
      <c r="D911" s="5" t="str">
        <f>IFERROR(__xludf.DUMMYFUNCTION("""COMPUTED_VALUE"""),"REECE JAMES")</f>
        <v>REECE JAMES</v>
      </c>
      <c r="E911" s="5">
        <f>IFERROR(__xludf.DUMMYFUNCTION("""COMPUTED_VALUE"""),0.0)</f>
        <v>0</v>
      </c>
      <c r="F911" s="5">
        <f>IFERROR(__xludf.DUMMYFUNCTION("""COMPUTED_VALUE"""),0.0)</f>
        <v>0</v>
      </c>
    </row>
    <row r="912">
      <c r="A912" s="5" t="str">
        <f>IFERROR(__xludf.DUMMYFUNCTION("""COMPUTED_VALUE"""),"ENG 08")</f>
        <v>ENG 08</v>
      </c>
      <c r="B912" s="5" t="str">
        <f>IFERROR(__xludf.DUMMYFUNCTION("""COMPUTED_VALUE"""),"ENGLAND")</f>
        <v>ENGLAND</v>
      </c>
      <c r="C912" s="5" t="str">
        <f>IFERROR(__xludf.DUMMYFUNCTION("""COMPUTED_VALUE"""),"NORMAL")</f>
        <v>NORMAL</v>
      </c>
      <c r="D912" s="5" t="str">
        <f>IFERROR(__xludf.DUMMYFUNCTION("""COMPUTED_VALUE"""),"DAN BURN")</f>
        <v>DAN BURN</v>
      </c>
      <c r="E912" s="5">
        <f>IFERROR(__xludf.DUMMYFUNCTION("""COMPUTED_VALUE"""),0.0)</f>
        <v>0</v>
      </c>
      <c r="F912" s="5">
        <f>IFERROR(__xludf.DUMMYFUNCTION("""COMPUTED_VALUE"""),0.0)</f>
        <v>0</v>
      </c>
    </row>
    <row r="913">
      <c r="A913" s="5" t="str">
        <f>IFERROR(__xludf.DUMMYFUNCTION("""COMPUTED_VALUE"""),"ENG 09")</f>
        <v>ENG 09</v>
      </c>
      <c r="B913" s="5" t="str">
        <f>IFERROR(__xludf.DUMMYFUNCTION("""COMPUTED_VALUE"""),"ENGLAND")</f>
        <v>ENGLAND</v>
      </c>
      <c r="C913" s="5" t="str">
        <f>IFERROR(__xludf.DUMMYFUNCTION("""COMPUTED_VALUE"""),"NORMAL")</f>
        <v>NORMAL</v>
      </c>
      <c r="D913" s="5" t="str">
        <f>IFERROR(__xludf.DUMMYFUNCTION("""COMPUTED_VALUE"""),"JORDAN HENDERSON")</f>
        <v>JORDAN HENDERSON</v>
      </c>
      <c r="E913" s="5">
        <f>IFERROR(__xludf.DUMMYFUNCTION("""COMPUTED_VALUE"""),0.0)</f>
        <v>0</v>
      </c>
      <c r="F913" s="5">
        <f>IFERROR(__xludf.DUMMYFUNCTION("""COMPUTED_VALUE"""),0.0)</f>
        <v>0</v>
      </c>
    </row>
    <row r="914">
      <c r="A914" s="5" t="str">
        <f>IFERROR(__xludf.DUMMYFUNCTION("""COMPUTED_VALUE"""),"ENG 10")</f>
        <v>ENG 10</v>
      </c>
      <c r="B914" s="5" t="str">
        <f>IFERROR(__xludf.DUMMYFUNCTION("""COMPUTED_VALUE"""),"ENGLAND")</f>
        <v>ENGLAND</v>
      </c>
      <c r="C914" s="5" t="str">
        <f>IFERROR(__xludf.DUMMYFUNCTION("""COMPUTED_VALUE"""),"NORMAL")</f>
        <v>NORMAL</v>
      </c>
      <c r="D914" s="5" t="str">
        <f>IFERROR(__xludf.DUMMYFUNCTION("""COMPUTED_VALUE"""),"DECLAN RICE")</f>
        <v>DECLAN RICE</v>
      </c>
      <c r="E914" s="5">
        <f>IFERROR(__xludf.DUMMYFUNCTION("""COMPUTED_VALUE"""),0.0)</f>
        <v>0</v>
      </c>
      <c r="F914" s="5">
        <f>IFERROR(__xludf.DUMMYFUNCTION("""COMPUTED_VALUE"""),0.0)</f>
        <v>0</v>
      </c>
    </row>
    <row r="915">
      <c r="A915" s="5" t="str">
        <f>IFERROR(__xludf.DUMMYFUNCTION("""COMPUTED_VALUE"""),"ENG 11")</f>
        <v>ENG 11</v>
      </c>
      <c r="B915" s="5" t="str">
        <f>IFERROR(__xludf.DUMMYFUNCTION("""COMPUTED_VALUE"""),"ENGLAND")</f>
        <v>ENGLAND</v>
      </c>
      <c r="C915" s="5" t="str">
        <f>IFERROR(__xludf.DUMMYFUNCTION("""COMPUTED_VALUE"""),"NORMAL")</f>
        <v>NORMAL</v>
      </c>
      <c r="D915" s="5" t="str">
        <f>IFERROR(__xludf.DUMMYFUNCTION("""COMPUTED_VALUE"""),"JUDE BELLINGHAM")</f>
        <v>JUDE BELLINGHAM</v>
      </c>
      <c r="E915" s="5">
        <f>IFERROR(__xludf.DUMMYFUNCTION("""COMPUTED_VALUE"""),0.0)</f>
        <v>0</v>
      </c>
      <c r="F915" s="5">
        <f>IFERROR(__xludf.DUMMYFUNCTION("""COMPUTED_VALUE"""),0.0)</f>
        <v>0</v>
      </c>
    </row>
    <row r="916">
      <c r="A916" s="5" t="str">
        <f>IFERROR(__xludf.DUMMYFUNCTION("""COMPUTED_VALUE"""),"ENG 12")</f>
        <v>ENG 12</v>
      </c>
      <c r="B916" s="5" t="str">
        <f>IFERROR(__xludf.DUMMYFUNCTION("""COMPUTED_VALUE"""),"ENGLAND")</f>
        <v>ENGLAND</v>
      </c>
      <c r="C916" s="5" t="str">
        <f>IFERROR(__xludf.DUMMYFUNCTION("""COMPUTED_VALUE"""),"NORMAL")</f>
        <v>NORMAL</v>
      </c>
      <c r="D916" s="5" t="str">
        <f>IFERROR(__xludf.DUMMYFUNCTION("""COMPUTED_VALUE"""),"COLE PALMER")</f>
        <v>COLE PALMER</v>
      </c>
      <c r="E916" s="5">
        <f>IFERROR(__xludf.DUMMYFUNCTION("""COMPUTED_VALUE"""),0.0)</f>
        <v>0</v>
      </c>
      <c r="F916" s="5">
        <f>IFERROR(__xludf.DUMMYFUNCTION("""COMPUTED_VALUE"""),0.0)</f>
        <v>0</v>
      </c>
    </row>
    <row r="917">
      <c r="A917" s="5" t="str">
        <f>IFERROR(__xludf.DUMMYFUNCTION("""COMPUTED_VALUE"""),"ENG 13")</f>
        <v>ENG 13</v>
      </c>
      <c r="B917" s="5" t="str">
        <f>IFERROR(__xludf.DUMMYFUNCTION("""COMPUTED_VALUE"""),"ENGLAND")</f>
        <v>ENGLAND</v>
      </c>
      <c r="C917" s="5" t="str">
        <f>IFERROR(__xludf.DUMMYFUNCTION("""COMPUTED_VALUE"""),"TEAM")</f>
        <v>TEAM</v>
      </c>
      <c r="D917" s="5" t="str">
        <f>IFERROR(__xludf.DUMMYFUNCTION("""COMPUTED_VALUE"""),"ENGLAND NATIONAL TEAM")</f>
        <v>ENGLAND NATIONAL TEAM</v>
      </c>
      <c r="E917" s="5">
        <f>IFERROR(__xludf.DUMMYFUNCTION("""COMPUTED_VALUE"""),0.0)</f>
        <v>0</v>
      </c>
      <c r="F917" s="5">
        <f>IFERROR(__xludf.DUMMYFUNCTION("""COMPUTED_VALUE"""),0.0)</f>
        <v>0</v>
      </c>
    </row>
    <row r="918">
      <c r="A918" s="5" t="str">
        <f>IFERROR(__xludf.DUMMYFUNCTION("""COMPUTED_VALUE"""),"ENG 14")</f>
        <v>ENG 14</v>
      </c>
      <c r="B918" s="5" t="str">
        <f>IFERROR(__xludf.DUMMYFUNCTION("""COMPUTED_VALUE"""),"ENGLAND")</f>
        <v>ENGLAND</v>
      </c>
      <c r="C918" s="5" t="str">
        <f>IFERROR(__xludf.DUMMYFUNCTION("""COMPUTED_VALUE"""),"NORMAL")</f>
        <v>NORMAL</v>
      </c>
      <c r="D918" s="5" t="str">
        <f>IFERROR(__xludf.DUMMYFUNCTION("""COMPUTED_VALUE"""),"MORGAN ROGERS")</f>
        <v>MORGAN ROGERS</v>
      </c>
      <c r="E918" s="5">
        <f>IFERROR(__xludf.DUMMYFUNCTION("""COMPUTED_VALUE"""),0.0)</f>
        <v>0</v>
      </c>
      <c r="F918" s="5">
        <f>IFERROR(__xludf.DUMMYFUNCTION("""COMPUTED_VALUE"""),0.0)</f>
        <v>0</v>
      </c>
    </row>
    <row r="919">
      <c r="A919" s="5" t="str">
        <f>IFERROR(__xludf.DUMMYFUNCTION("""COMPUTED_VALUE"""),"ENG 15")</f>
        <v>ENG 15</v>
      </c>
      <c r="B919" s="5" t="str">
        <f>IFERROR(__xludf.DUMMYFUNCTION("""COMPUTED_VALUE"""),"ENGLAND")</f>
        <v>ENGLAND</v>
      </c>
      <c r="C919" s="5" t="str">
        <f>IFERROR(__xludf.DUMMYFUNCTION("""COMPUTED_VALUE"""),"NORMAL")</f>
        <v>NORMAL</v>
      </c>
      <c r="D919" s="5" t="str">
        <f>IFERROR(__xludf.DUMMYFUNCTION("""COMPUTED_VALUE"""),"ANTHONY GORDON")</f>
        <v>ANTHONY GORDON</v>
      </c>
      <c r="E919" s="5">
        <f>IFERROR(__xludf.DUMMYFUNCTION("""COMPUTED_VALUE"""),0.0)</f>
        <v>0</v>
      </c>
      <c r="F919" s="5">
        <f>IFERROR(__xludf.DUMMYFUNCTION("""COMPUTED_VALUE"""),0.0)</f>
        <v>0</v>
      </c>
    </row>
    <row r="920">
      <c r="A920" s="5" t="str">
        <f>IFERROR(__xludf.DUMMYFUNCTION("""COMPUTED_VALUE"""),"ENG 16")</f>
        <v>ENG 16</v>
      </c>
      <c r="B920" s="5" t="str">
        <f>IFERROR(__xludf.DUMMYFUNCTION("""COMPUTED_VALUE"""),"ENGLAND")</f>
        <v>ENGLAND</v>
      </c>
      <c r="C920" s="5" t="str">
        <f>IFERROR(__xludf.DUMMYFUNCTION("""COMPUTED_VALUE"""),"NORMAL")</f>
        <v>NORMAL</v>
      </c>
      <c r="D920" s="5" t="str">
        <f>IFERROR(__xludf.DUMMYFUNCTION("""COMPUTED_VALUE"""),"PHIL FODEN")</f>
        <v>PHIL FODEN</v>
      </c>
      <c r="E920" s="5">
        <f>IFERROR(__xludf.DUMMYFUNCTION("""COMPUTED_VALUE"""),0.0)</f>
        <v>0</v>
      </c>
      <c r="F920" s="5">
        <f>IFERROR(__xludf.DUMMYFUNCTION("""COMPUTED_VALUE"""),0.0)</f>
        <v>0</v>
      </c>
    </row>
    <row r="921">
      <c r="A921" s="5" t="str">
        <f>IFERROR(__xludf.DUMMYFUNCTION("""COMPUTED_VALUE"""),"ENG 17")</f>
        <v>ENG 17</v>
      </c>
      <c r="B921" s="5" t="str">
        <f>IFERROR(__xludf.DUMMYFUNCTION("""COMPUTED_VALUE"""),"ENGLAND")</f>
        <v>ENGLAND</v>
      </c>
      <c r="C921" s="5" t="str">
        <f>IFERROR(__xludf.DUMMYFUNCTION("""COMPUTED_VALUE"""),"NORMAL")</f>
        <v>NORMAL</v>
      </c>
      <c r="D921" s="5" t="str">
        <f>IFERROR(__xludf.DUMMYFUNCTION("""COMPUTED_VALUE"""),"BUKAYO SAKA")</f>
        <v>BUKAYO SAKA</v>
      </c>
      <c r="E921" s="5">
        <f>IFERROR(__xludf.DUMMYFUNCTION("""COMPUTED_VALUE"""),0.0)</f>
        <v>0</v>
      </c>
      <c r="F921" s="5">
        <f>IFERROR(__xludf.DUMMYFUNCTION("""COMPUTED_VALUE"""),0.0)</f>
        <v>0</v>
      </c>
    </row>
    <row r="922">
      <c r="A922" s="5" t="str">
        <f>IFERROR(__xludf.DUMMYFUNCTION("""COMPUTED_VALUE"""),"ENG 18")</f>
        <v>ENG 18</v>
      </c>
      <c r="B922" s="5" t="str">
        <f>IFERROR(__xludf.DUMMYFUNCTION("""COMPUTED_VALUE"""),"ENGLAND")</f>
        <v>ENGLAND</v>
      </c>
      <c r="C922" s="5" t="str">
        <f>IFERROR(__xludf.DUMMYFUNCTION("""COMPUTED_VALUE"""),"NORMAL")</f>
        <v>NORMAL</v>
      </c>
      <c r="D922" s="5" t="str">
        <f>IFERROR(__xludf.DUMMYFUNCTION("""COMPUTED_VALUE"""),"HARRY KANE")</f>
        <v>HARRY KANE</v>
      </c>
      <c r="E922" s="5">
        <f>IFERROR(__xludf.DUMMYFUNCTION("""COMPUTED_VALUE"""),0.0)</f>
        <v>0</v>
      </c>
      <c r="F922" s="5">
        <f>IFERROR(__xludf.DUMMYFUNCTION("""COMPUTED_VALUE"""),0.0)</f>
        <v>0</v>
      </c>
    </row>
    <row r="923">
      <c r="A923" s="5" t="str">
        <f>IFERROR(__xludf.DUMMYFUNCTION("""COMPUTED_VALUE"""),"ENG 19")</f>
        <v>ENG 19</v>
      </c>
      <c r="B923" s="5" t="str">
        <f>IFERROR(__xludf.DUMMYFUNCTION("""COMPUTED_VALUE"""),"ENGLAND")</f>
        <v>ENGLAND</v>
      </c>
      <c r="C923" s="5" t="str">
        <f>IFERROR(__xludf.DUMMYFUNCTION("""COMPUTED_VALUE"""),"NORMAL")</f>
        <v>NORMAL</v>
      </c>
      <c r="D923" s="5" t="str">
        <f>IFERROR(__xludf.DUMMYFUNCTION("""COMPUTED_VALUE"""),"MARCUS RASHFORD")</f>
        <v>MARCUS RASHFORD</v>
      </c>
      <c r="E923" s="5">
        <f>IFERROR(__xludf.DUMMYFUNCTION("""COMPUTED_VALUE"""),0.0)</f>
        <v>0</v>
      </c>
      <c r="F923" s="5">
        <f>IFERROR(__xludf.DUMMYFUNCTION("""COMPUTED_VALUE"""),0.0)</f>
        <v>0</v>
      </c>
    </row>
    <row r="924">
      <c r="A924" s="5" t="str">
        <f>IFERROR(__xludf.DUMMYFUNCTION("""COMPUTED_VALUE"""),"ENG 20")</f>
        <v>ENG 20</v>
      </c>
      <c r="B924" s="5" t="str">
        <f>IFERROR(__xludf.DUMMYFUNCTION("""COMPUTED_VALUE"""),"ENGLAND")</f>
        <v>ENGLAND</v>
      </c>
      <c r="C924" s="5" t="str">
        <f>IFERROR(__xludf.DUMMYFUNCTION("""COMPUTED_VALUE"""),"NORMAL")</f>
        <v>NORMAL</v>
      </c>
      <c r="D924" s="5" t="str">
        <f>IFERROR(__xludf.DUMMYFUNCTION("""COMPUTED_VALUE"""),"OLLIE WATKINS")</f>
        <v>OLLIE WATKINS</v>
      </c>
      <c r="E924" s="5">
        <f>IFERROR(__xludf.DUMMYFUNCTION("""COMPUTED_VALUE"""),0.0)</f>
        <v>0</v>
      </c>
      <c r="F924" s="5">
        <f>IFERROR(__xludf.DUMMYFUNCTION("""COMPUTED_VALUE"""),0.0)</f>
        <v>0</v>
      </c>
    </row>
    <row r="925">
      <c r="A925" s="7" t="str">
        <f>IFERROR(__xludf.DUMMYFUNCTION("""COMPUTED_VALUE"""),"CRO01")</f>
        <v>CRO01</v>
      </c>
      <c r="B925" s="5" t="str">
        <f>IFERROR(__xludf.DUMMYFUNCTION("""COMPUTED_VALUE"""),"CROATIA")</f>
        <v>CROATIA</v>
      </c>
      <c r="C925" s="5" t="str">
        <f>IFERROR(__xludf.DUMMYFUNCTION("""COMPUTED_VALUE"""),"BADGE")</f>
        <v>BADGE</v>
      </c>
      <c r="D925" s="5" t="str">
        <f>IFERROR(__xludf.DUMMYFUNCTION("""COMPUTED_VALUE"""),"CROATIA NATIONAL TEAM")</f>
        <v>CROATIA NATIONAL TEAM</v>
      </c>
      <c r="E925" s="5">
        <f>IFERROR(__xludf.DUMMYFUNCTION("""COMPUTED_VALUE"""),0.0)</f>
        <v>0</v>
      </c>
      <c r="F925" s="5">
        <f>IFERROR(__xludf.DUMMYFUNCTION("""COMPUTED_VALUE"""),0.0)</f>
        <v>0</v>
      </c>
    </row>
    <row r="926">
      <c r="A926" s="7" t="str">
        <f>IFERROR(__xludf.DUMMYFUNCTION("""COMPUTED_VALUE"""),"CRO02")</f>
        <v>CRO02</v>
      </c>
      <c r="B926" s="5" t="str">
        <f>IFERROR(__xludf.DUMMYFUNCTION("""COMPUTED_VALUE"""),"CROATIA")</f>
        <v>CROATIA</v>
      </c>
      <c r="C926" s="5" t="str">
        <f>IFERROR(__xludf.DUMMYFUNCTION("""COMPUTED_VALUE"""),"NORMAL")</f>
        <v>NORMAL</v>
      </c>
      <c r="D926" s="5" t="str">
        <f>IFERROR(__xludf.DUMMYFUNCTION("""COMPUTED_VALUE"""),"DOMINIC LIVAKOVIC")</f>
        <v>DOMINIC LIVAKOVIC</v>
      </c>
      <c r="E926" s="5">
        <f>IFERROR(__xludf.DUMMYFUNCTION("""COMPUTED_VALUE"""),0.0)</f>
        <v>0</v>
      </c>
      <c r="F926" s="5">
        <f>IFERROR(__xludf.DUMMYFUNCTION("""COMPUTED_VALUE"""),0.0)</f>
        <v>0</v>
      </c>
    </row>
    <row r="927">
      <c r="A927" s="7" t="str">
        <f>IFERROR(__xludf.DUMMYFUNCTION("""COMPUTED_VALUE"""),"CRO03")</f>
        <v>CRO03</v>
      </c>
      <c r="B927" s="5" t="str">
        <f>IFERROR(__xludf.DUMMYFUNCTION("""COMPUTED_VALUE"""),"CROATIA")</f>
        <v>CROATIA</v>
      </c>
      <c r="C927" s="5" t="str">
        <f>IFERROR(__xludf.DUMMYFUNCTION("""COMPUTED_VALUE"""),"NORMAL")</f>
        <v>NORMAL</v>
      </c>
      <c r="D927" s="5" t="str">
        <f>IFERROR(__xludf.DUMMYFUNCTION("""COMPUTED_VALUE"""),"DUJE CALETA-CAR")</f>
        <v>DUJE CALETA-CAR</v>
      </c>
      <c r="E927" s="5">
        <f>IFERROR(__xludf.DUMMYFUNCTION("""COMPUTED_VALUE"""),0.0)</f>
        <v>0</v>
      </c>
      <c r="F927" s="5">
        <f>IFERROR(__xludf.DUMMYFUNCTION("""COMPUTED_VALUE"""),0.0)</f>
        <v>0</v>
      </c>
    </row>
    <row r="928">
      <c r="A928" s="7" t="str">
        <f>IFERROR(__xludf.DUMMYFUNCTION("""COMPUTED_VALUE"""),"CRO04")</f>
        <v>CRO04</v>
      </c>
      <c r="B928" s="5" t="str">
        <f>IFERROR(__xludf.DUMMYFUNCTION("""COMPUTED_VALUE"""),"CROATIA")</f>
        <v>CROATIA</v>
      </c>
      <c r="C928" s="5" t="str">
        <f>IFERROR(__xludf.DUMMYFUNCTION("""COMPUTED_VALUE"""),"NORMAL")</f>
        <v>NORMAL</v>
      </c>
      <c r="D928" s="5" t="str">
        <f>IFERROR(__xludf.DUMMYFUNCTION("""COMPUTED_VALUE"""),"JOSKO GVARDIOL")</f>
        <v>JOSKO GVARDIOL</v>
      </c>
      <c r="E928" s="5">
        <f>IFERROR(__xludf.DUMMYFUNCTION("""COMPUTED_VALUE"""),0.0)</f>
        <v>0</v>
      </c>
      <c r="F928" s="5">
        <f>IFERROR(__xludf.DUMMYFUNCTION("""COMPUTED_VALUE"""),0.0)</f>
        <v>0</v>
      </c>
    </row>
    <row r="929">
      <c r="A929" s="7" t="str">
        <f>IFERROR(__xludf.DUMMYFUNCTION("""COMPUTED_VALUE"""),"CRO05")</f>
        <v>CRO05</v>
      </c>
      <c r="B929" s="5" t="str">
        <f>IFERROR(__xludf.DUMMYFUNCTION("""COMPUTED_VALUE"""),"CROATIA")</f>
        <v>CROATIA</v>
      </c>
      <c r="C929" s="5" t="str">
        <f>IFERROR(__xludf.DUMMYFUNCTION("""COMPUTED_VALUE"""),"NORMAL")</f>
        <v>NORMAL</v>
      </c>
      <c r="D929" s="5" t="str">
        <f>IFERROR(__xludf.DUMMYFUNCTION("""COMPUTED_VALUE"""),"JOSIP STANISIC")</f>
        <v>JOSIP STANISIC</v>
      </c>
      <c r="E929" s="5">
        <f>IFERROR(__xludf.DUMMYFUNCTION("""COMPUTED_VALUE"""),0.0)</f>
        <v>0</v>
      </c>
      <c r="F929" s="5">
        <f>IFERROR(__xludf.DUMMYFUNCTION("""COMPUTED_VALUE"""),0.0)</f>
        <v>0</v>
      </c>
    </row>
    <row r="930">
      <c r="A930" s="7" t="str">
        <f>IFERROR(__xludf.DUMMYFUNCTION("""COMPUTED_VALUE"""),"CRO06")</f>
        <v>CRO06</v>
      </c>
      <c r="B930" s="5" t="str">
        <f>IFERROR(__xludf.DUMMYFUNCTION("""COMPUTED_VALUE"""),"CROATIA")</f>
        <v>CROATIA</v>
      </c>
      <c r="C930" s="5" t="str">
        <f>IFERROR(__xludf.DUMMYFUNCTION("""COMPUTED_VALUE"""),"NORMAL")</f>
        <v>NORMAL</v>
      </c>
      <c r="D930" s="5" t="str">
        <f>IFERROR(__xludf.DUMMYFUNCTION("""COMPUTED_VALUE"""),"LUKA VUSKOVIC")</f>
        <v>LUKA VUSKOVIC</v>
      </c>
      <c r="E930" s="5">
        <f>IFERROR(__xludf.DUMMYFUNCTION("""COMPUTED_VALUE"""),0.0)</f>
        <v>0</v>
      </c>
      <c r="F930" s="5">
        <f>IFERROR(__xludf.DUMMYFUNCTION("""COMPUTED_VALUE"""),0.0)</f>
        <v>0</v>
      </c>
    </row>
    <row r="931">
      <c r="A931" s="7" t="str">
        <f>IFERROR(__xludf.DUMMYFUNCTION("""COMPUTED_VALUE"""),"CRO07")</f>
        <v>CRO07</v>
      </c>
      <c r="B931" s="5" t="str">
        <f>IFERROR(__xludf.DUMMYFUNCTION("""COMPUTED_VALUE"""),"CROATIA")</f>
        <v>CROATIA</v>
      </c>
      <c r="C931" s="5" t="str">
        <f>IFERROR(__xludf.DUMMYFUNCTION("""COMPUTED_VALUE"""),"NORMAL")</f>
        <v>NORMAL</v>
      </c>
      <c r="D931" s="5" t="str">
        <f>IFERROR(__xludf.DUMMYFUNCTION("""COMPUTED_VALUE"""),"JOSIP SUTALO")</f>
        <v>JOSIP SUTALO</v>
      </c>
      <c r="E931" s="5">
        <f>IFERROR(__xludf.DUMMYFUNCTION("""COMPUTED_VALUE"""),0.0)</f>
        <v>0</v>
      </c>
      <c r="F931" s="5">
        <f>IFERROR(__xludf.DUMMYFUNCTION("""COMPUTED_VALUE"""),0.0)</f>
        <v>0</v>
      </c>
    </row>
    <row r="932">
      <c r="A932" s="7" t="str">
        <f>IFERROR(__xludf.DUMMYFUNCTION("""COMPUTED_VALUE"""),"CRO08")</f>
        <v>CRO08</v>
      </c>
      <c r="B932" s="5" t="str">
        <f>IFERROR(__xludf.DUMMYFUNCTION("""COMPUTED_VALUE"""),"CROATIA")</f>
        <v>CROATIA</v>
      </c>
      <c r="C932" s="5" t="str">
        <f>IFERROR(__xludf.DUMMYFUNCTION("""COMPUTED_VALUE"""),"NORMAL")</f>
        <v>NORMAL</v>
      </c>
      <c r="D932" s="5" t="str">
        <f>IFERROR(__xludf.DUMMYFUNCTION("""COMPUTED_VALUE"""),"KRISTIAN JAKIC")</f>
        <v>KRISTIAN JAKIC</v>
      </c>
      <c r="E932" s="5">
        <f>IFERROR(__xludf.DUMMYFUNCTION("""COMPUTED_VALUE"""),0.0)</f>
        <v>0</v>
      </c>
      <c r="F932" s="5">
        <f>IFERROR(__xludf.DUMMYFUNCTION("""COMPUTED_VALUE"""),0.0)</f>
        <v>0</v>
      </c>
    </row>
    <row r="933">
      <c r="A933" s="7" t="str">
        <f>IFERROR(__xludf.DUMMYFUNCTION("""COMPUTED_VALUE"""),"CRO09")</f>
        <v>CRO09</v>
      </c>
      <c r="B933" s="5" t="str">
        <f>IFERROR(__xludf.DUMMYFUNCTION("""COMPUTED_VALUE"""),"CROATIA")</f>
        <v>CROATIA</v>
      </c>
      <c r="C933" s="5" t="str">
        <f>IFERROR(__xludf.DUMMYFUNCTION("""COMPUTED_VALUE"""),"NORMAL")</f>
        <v>NORMAL</v>
      </c>
      <c r="D933" s="5" t="str">
        <f>IFERROR(__xludf.DUMMYFUNCTION("""COMPUTED_VALUE"""),"LUKA MODRIC")</f>
        <v>LUKA MODRIC</v>
      </c>
      <c r="E933" s="5">
        <f>IFERROR(__xludf.DUMMYFUNCTION("""COMPUTED_VALUE"""),0.0)</f>
        <v>0</v>
      </c>
      <c r="F933" s="5">
        <f>IFERROR(__xludf.DUMMYFUNCTION("""COMPUTED_VALUE"""),0.0)</f>
        <v>0</v>
      </c>
    </row>
    <row r="934">
      <c r="A934" s="7" t="str">
        <f>IFERROR(__xludf.DUMMYFUNCTION("""COMPUTED_VALUE"""),"CRO10")</f>
        <v>CRO10</v>
      </c>
      <c r="B934" s="5" t="str">
        <f>IFERROR(__xludf.DUMMYFUNCTION("""COMPUTED_VALUE"""),"CROATIA")</f>
        <v>CROATIA</v>
      </c>
      <c r="C934" s="5" t="str">
        <f>IFERROR(__xludf.DUMMYFUNCTION("""COMPUTED_VALUE"""),"NORMAL")</f>
        <v>NORMAL</v>
      </c>
      <c r="D934" s="5" t="str">
        <f>IFERROR(__xludf.DUMMYFUNCTION("""COMPUTED_VALUE"""),"MATO KOVACIC")</f>
        <v>MATO KOVACIC</v>
      </c>
      <c r="E934" s="5">
        <f>IFERROR(__xludf.DUMMYFUNCTION("""COMPUTED_VALUE"""),0.0)</f>
        <v>0</v>
      </c>
      <c r="F934" s="5">
        <f>IFERROR(__xludf.DUMMYFUNCTION("""COMPUTED_VALUE"""),0.0)</f>
        <v>0</v>
      </c>
    </row>
    <row r="935">
      <c r="A935" s="7" t="str">
        <f>IFERROR(__xludf.DUMMYFUNCTION("""COMPUTED_VALUE"""),"CRO11")</f>
        <v>CRO11</v>
      </c>
      <c r="B935" s="5" t="str">
        <f>IFERROR(__xludf.DUMMYFUNCTION("""COMPUTED_VALUE"""),"CROATIA")</f>
        <v>CROATIA</v>
      </c>
      <c r="C935" s="5" t="str">
        <f>IFERROR(__xludf.DUMMYFUNCTION("""COMPUTED_VALUE"""),"NORMAL")</f>
        <v>NORMAL</v>
      </c>
      <c r="D935" s="5" t="str">
        <f>IFERROR(__xludf.DUMMYFUNCTION("""COMPUTED_VALUE"""),"MARTIN BATURINA")</f>
        <v>MARTIN BATURINA</v>
      </c>
      <c r="E935" s="5">
        <f>IFERROR(__xludf.DUMMYFUNCTION("""COMPUTED_VALUE"""),0.0)</f>
        <v>0</v>
      </c>
      <c r="F935" s="5">
        <f>IFERROR(__xludf.DUMMYFUNCTION("""COMPUTED_VALUE"""),0.0)</f>
        <v>0</v>
      </c>
    </row>
    <row r="936">
      <c r="A936" s="7" t="str">
        <f>IFERROR(__xludf.DUMMYFUNCTION("""COMPUTED_VALUE"""),"CRO12")</f>
        <v>CRO12</v>
      </c>
      <c r="B936" s="5" t="str">
        <f>IFERROR(__xludf.DUMMYFUNCTION("""COMPUTED_VALUE"""),"CROATIA")</f>
        <v>CROATIA</v>
      </c>
      <c r="C936" s="5" t="str">
        <f>IFERROR(__xludf.DUMMYFUNCTION("""COMPUTED_VALUE"""),"NORMAL")</f>
        <v>NORMAL</v>
      </c>
      <c r="D936" s="5" t="str">
        <f>IFERROR(__xludf.DUMMYFUNCTION("""COMPUTED_VALUE"""),"LOVRO MAJER")</f>
        <v>LOVRO MAJER</v>
      </c>
      <c r="E936" s="5">
        <f>IFERROR(__xludf.DUMMYFUNCTION("""COMPUTED_VALUE"""),0.0)</f>
        <v>0</v>
      </c>
      <c r="F936" s="5">
        <f>IFERROR(__xludf.DUMMYFUNCTION("""COMPUTED_VALUE"""),0.0)</f>
        <v>0</v>
      </c>
    </row>
    <row r="937">
      <c r="A937" s="7" t="str">
        <f>IFERROR(__xludf.DUMMYFUNCTION("""COMPUTED_VALUE"""),"CRO13")</f>
        <v>CRO13</v>
      </c>
      <c r="B937" s="5" t="str">
        <f>IFERROR(__xludf.DUMMYFUNCTION("""COMPUTED_VALUE"""),"CROATIA")</f>
        <v>CROATIA</v>
      </c>
      <c r="C937" s="5" t="str">
        <f>IFERROR(__xludf.DUMMYFUNCTION("""COMPUTED_VALUE"""),"TEAM")</f>
        <v>TEAM</v>
      </c>
      <c r="D937" s="5" t="str">
        <f>IFERROR(__xludf.DUMMYFUNCTION("""COMPUTED_VALUE"""),"CROATIA NATIONAL TEAM")</f>
        <v>CROATIA NATIONAL TEAM</v>
      </c>
      <c r="E937" s="5">
        <f>IFERROR(__xludf.DUMMYFUNCTION("""COMPUTED_VALUE"""),0.0)</f>
        <v>0</v>
      </c>
      <c r="F937" s="5">
        <f>IFERROR(__xludf.DUMMYFUNCTION("""COMPUTED_VALUE"""),0.0)</f>
        <v>0</v>
      </c>
    </row>
    <row r="938">
      <c r="A938" s="7" t="str">
        <f>IFERROR(__xludf.DUMMYFUNCTION("""COMPUTED_VALUE"""),"CRO14")</f>
        <v>CRO14</v>
      </c>
      <c r="B938" s="5" t="str">
        <f>IFERROR(__xludf.DUMMYFUNCTION("""COMPUTED_VALUE"""),"CROATIA")</f>
        <v>CROATIA</v>
      </c>
      <c r="C938" s="5" t="str">
        <f>IFERROR(__xludf.DUMMYFUNCTION("""COMPUTED_VALUE"""),"NORMAL")</f>
        <v>NORMAL</v>
      </c>
      <c r="D938" s="5" t="str">
        <f>IFERROR(__xludf.DUMMYFUNCTION("""COMPUTED_VALUE"""),"MARIO PASALIC")</f>
        <v>MARIO PASALIC</v>
      </c>
      <c r="E938" s="5">
        <f>IFERROR(__xludf.DUMMYFUNCTION("""COMPUTED_VALUE"""),0.0)</f>
        <v>0</v>
      </c>
      <c r="F938" s="5">
        <f>IFERROR(__xludf.DUMMYFUNCTION("""COMPUTED_VALUE"""),0.0)</f>
        <v>0</v>
      </c>
    </row>
    <row r="939">
      <c r="A939" s="7" t="str">
        <f>IFERROR(__xludf.DUMMYFUNCTION("""COMPUTED_VALUE"""),"CRO15")</f>
        <v>CRO15</v>
      </c>
      <c r="B939" s="5" t="str">
        <f>IFERROR(__xludf.DUMMYFUNCTION("""COMPUTED_VALUE"""),"CROATIA")</f>
        <v>CROATIA</v>
      </c>
      <c r="C939" s="5" t="str">
        <f>IFERROR(__xludf.DUMMYFUNCTION("""COMPUTED_VALUE"""),"NORMAL")</f>
        <v>NORMAL</v>
      </c>
      <c r="D939" s="5" t="str">
        <f>IFERROR(__xludf.DUMMYFUNCTION("""COMPUTED_VALUE"""),"PETAR SUCIC")</f>
        <v>PETAR SUCIC</v>
      </c>
      <c r="E939" s="5">
        <f>IFERROR(__xludf.DUMMYFUNCTION("""COMPUTED_VALUE"""),0.0)</f>
        <v>0</v>
      </c>
      <c r="F939" s="5">
        <f>IFERROR(__xludf.DUMMYFUNCTION("""COMPUTED_VALUE"""),0.0)</f>
        <v>0</v>
      </c>
    </row>
    <row r="940">
      <c r="A940" s="7" t="str">
        <f>IFERROR(__xludf.DUMMYFUNCTION("""COMPUTED_VALUE"""),"CRO16")</f>
        <v>CRO16</v>
      </c>
      <c r="B940" s="5" t="str">
        <f>IFERROR(__xludf.DUMMYFUNCTION("""COMPUTED_VALUE"""),"CROATIA")</f>
        <v>CROATIA</v>
      </c>
      <c r="C940" s="5" t="str">
        <f>IFERROR(__xludf.DUMMYFUNCTION("""COMPUTED_VALUE"""),"NORMAL")</f>
        <v>NORMAL</v>
      </c>
      <c r="D940" s="5" t="str">
        <f>IFERROR(__xludf.DUMMYFUNCTION("""COMPUTED_VALUE"""),"IVAN PERISIC")</f>
        <v>IVAN PERISIC</v>
      </c>
      <c r="E940" s="5">
        <f>IFERROR(__xludf.DUMMYFUNCTION("""COMPUTED_VALUE"""),0.0)</f>
        <v>0</v>
      </c>
      <c r="F940" s="5">
        <f>IFERROR(__xludf.DUMMYFUNCTION("""COMPUTED_VALUE"""),0.0)</f>
        <v>0</v>
      </c>
    </row>
    <row r="941">
      <c r="A941" s="7" t="str">
        <f>IFERROR(__xludf.DUMMYFUNCTION("""COMPUTED_VALUE"""),"CRO17")</f>
        <v>CRO17</v>
      </c>
      <c r="B941" s="5" t="str">
        <f>IFERROR(__xludf.DUMMYFUNCTION("""COMPUTED_VALUE"""),"CROATIA")</f>
        <v>CROATIA</v>
      </c>
      <c r="C941" s="5" t="str">
        <f>IFERROR(__xludf.DUMMYFUNCTION("""COMPUTED_VALUE"""),"NORMAL")</f>
        <v>NORMAL</v>
      </c>
      <c r="D941" s="5" t="str">
        <f>IFERROR(__xludf.DUMMYFUNCTION("""COMPUTED_VALUE"""),"MARCO PASALIC")</f>
        <v>MARCO PASALIC</v>
      </c>
      <c r="E941" s="5">
        <f>IFERROR(__xludf.DUMMYFUNCTION("""COMPUTED_VALUE"""),0.0)</f>
        <v>0</v>
      </c>
      <c r="F941" s="5">
        <f>IFERROR(__xludf.DUMMYFUNCTION("""COMPUTED_VALUE"""),0.0)</f>
        <v>0</v>
      </c>
    </row>
    <row r="942">
      <c r="A942" s="7" t="str">
        <f>IFERROR(__xludf.DUMMYFUNCTION("""COMPUTED_VALUE"""),"CRO18")</f>
        <v>CRO18</v>
      </c>
      <c r="B942" s="5" t="str">
        <f>IFERROR(__xludf.DUMMYFUNCTION("""COMPUTED_VALUE"""),"CROATIA")</f>
        <v>CROATIA</v>
      </c>
      <c r="C942" s="5" t="str">
        <f>IFERROR(__xludf.DUMMYFUNCTION("""COMPUTED_VALUE"""),"NORMAL")</f>
        <v>NORMAL</v>
      </c>
      <c r="D942" s="5" t="str">
        <f>IFERROR(__xludf.DUMMYFUNCTION("""COMPUTED_VALUE"""),"ANTE BUDIMIR")</f>
        <v>ANTE BUDIMIR</v>
      </c>
      <c r="E942" s="5">
        <f>IFERROR(__xludf.DUMMYFUNCTION("""COMPUTED_VALUE"""),0.0)</f>
        <v>0</v>
      </c>
      <c r="F942" s="5">
        <f>IFERROR(__xludf.DUMMYFUNCTION("""COMPUTED_VALUE"""),0.0)</f>
        <v>0</v>
      </c>
    </row>
    <row r="943">
      <c r="A943" s="7" t="str">
        <f>IFERROR(__xludf.DUMMYFUNCTION("""COMPUTED_VALUE"""),"CRO19")</f>
        <v>CRO19</v>
      </c>
      <c r="B943" s="5" t="str">
        <f>IFERROR(__xludf.DUMMYFUNCTION("""COMPUTED_VALUE"""),"CROATIA")</f>
        <v>CROATIA</v>
      </c>
      <c r="C943" s="5" t="str">
        <f>IFERROR(__xludf.DUMMYFUNCTION("""COMPUTED_VALUE"""),"NORMAL")</f>
        <v>NORMAL</v>
      </c>
      <c r="D943" s="5" t="str">
        <f>IFERROR(__xludf.DUMMYFUNCTION("""COMPUTED_VALUE"""),"ANDREJ KRAMARIC")</f>
        <v>ANDREJ KRAMARIC</v>
      </c>
      <c r="E943" s="5">
        <f>IFERROR(__xludf.DUMMYFUNCTION("""COMPUTED_VALUE"""),0.0)</f>
        <v>0</v>
      </c>
      <c r="F943" s="5">
        <f>IFERROR(__xludf.DUMMYFUNCTION("""COMPUTED_VALUE"""),0.0)</f>
        <v>0</v>
      </c>
    </row>
    <row r="944">
      <c r="A944" s="7" t="str">
        <f>IFERROR(__xludf.DUMMYFUNCTION("""COMPUTED_VALUE"""),"CRO20")</f>
        <v>CRO20</v>
      </c>
      <c r="B944" s="5" t="str">
        <f>IFERROR(__xludf.DUMMYFUNCTION("""COMPUTED_VALUE"""),"CROATIA")</f>
        <v>CROATIA</v>
      </c>
      <c r="C944" s="5" t="str">
        <f>IFERROR(__xludf.DUMMYFUNCTION("""COMPUTED_VALUE"""),"NORMAL")</f>
        <v>NORMAL</v>
      </c>
      <c r="D944" s="5" t="str">
        <f>IFERROR(__xludf.DUMMYFUNCTION("""COMPUTED_VALUE"""),"FRANJO IVANOVIC")</f>
        <v>FRANJO IVANOVIC</v>
      </c>
      <c r="E944" s="5">
        <f>IFERROR(__xludf.DUMMYFUNCTION("""COMPUTED_VALUE"""),0.0)</f>
        <v>0</v>
      </c>
      <c r="F944" s="5">
        <f>IFERROR(__xludf.DUMMYFUNCTION("""COMPUTED_VALUE"""),0.0)</f>
        <v>0</v>
      </c>
    </row>
    <row r="945">
      <c r="A945" s="5" t="str">
        <f>IFERROR(__xludf.DUMMYFUNCTION("""COMPUTED_VALUE"""),"GHA01")</f>
        <v>GHA01</v>
      </c>
      <c r="B945" s="5" t="str">
        <f>IFERROR(__xludf.DUMMYFUNCTION("""COMPUTED_VALUE"""),"GHANA")</f>
        <v>GHANA</v>
      </c>
      <c r="C945" s="5" t="str">
        <f>IFERROR(__xludf.DUMMYFUNCTION("""COMPUTED_VALUE"""),"BADGE")</f>
        <v>BADGE</v>
      </c>
      <c r="D945" s="5" t="str">
        <f>IFERROR(__xludf.DUMMYFUNCTION("""COMPUTED_VALUE"""),"GHANA NATIONAL TEAM")</f>
        <v>GHANA NATIONAL TEAM</v>
      </c>
      <c r="E945" s="5">
        <f>IFERROR(__xludf.DUMMYFUNCTION("""COMPUTED_VALUE"""),0.0)</f>
        <v>0</v>
      </c>
      <c r="F945" s="5">
        <f>IFERROR(__xludf.DUMMYFUNCTION("""COMPUTED_VALUE"""),0.0)</f>
        <v>0</v>
      </c>
    </row>
    <row r="946">
      <c r="A946" s="5" t="str">
        <f>IFERROR(__xludf.DUMMYFUNCTION("""COMPUTED_VALUE"""),"GHA02")</f>
        <v>GHA02</v>
      </c>
      <c r="B946" s="5" t="str">
        <f>IFERROR(__xludf.DUMMYFUNCTION("""COMPUTED_VALUE"""),"GHANA")</f>
        <v>GHANA</v>
      </c>
      <c r="C946" s="5" t="str">
        <f>IFERROR(__xludf.DUMMYFUNCTION("""COMPUTED_VALUE"""),"NORMAL")</f>
        <v>NORMAL</v>
      </c>
      <c r="D946" s="5" t="str">
        <f>IFERROR(__xludf.DUMMYFUNCTION("""COMPUTED_VALUE"""),"LAWRENCE ATI ZIGI")</f>
        <v>LAWRENCE ATI ZIGI</v>
      </c>
      <c r="E946" s="5">
        <f>IFERROR(__xludf.DUMMYFUNCTION("""COMPUTED_VALUE"""),0.0)</f>
        <v>0</v>
      </c>
      <c r="F946" s="5">
        <f>IFERROR(__xludf.DUMMYFUNCTION("""COMPUTED_VALUE"""),0.0)</f>
        <v>0</v>
      </c>
    </row>
    <row r="947">
      <c r="A947" s="5" t="str">
        <f>IFERROR(__xludf.DUMMYFUNCTION("""COMPUTED_VALUE"""),"GHA03")</f>
        <v>GHA03</v>
      </c>
      <c r="B947" s="5" t="str">
        <f>IFERROR(__xludf.DUMMYFUNCTION("""COMPUTED_VALUE"""),"GHANA")</f>
        <v>GHANA</v>
      </c>
      <c r="C947" s="5" t="str">
        <f>IFERROR(__xludf.DUMMYFUNCTION("""COMPUTED_VALUE"""),"NORMAL")</f>
        <v>NORMAL</v>
      </c>
      <c r="D947" s="5" t="str">
        <f>IFERROR(__xludf.DUMMYFUNCTION("""COMPUTED_VALUE"""),"TARIQ LAMPTEY")</f>
        <v>TARIQ LAMPTEY</v>
      </c>
      <c r="E947" s="5">
        <f>IFERROR(__xludf.DUMMYFUNCTION("""COMPUTED_VALUE"""),0.0)</f>
        <v>0</v>
      </c>
      <c r="F947" s="5">
        <f>IFERROR(__xludf.DUMMYFUNCTION("""COMPUTED_VALUE"""),0.0)</f>
        <v>0</v>
      </c>
    </row>
    <row r="948">
      <c r="A948" s="5" t="str">
        <f>IFERROR(__xludf.DUMMYFUNCTION("""COMPUTED_VALUE"""),"GHA04")</f>
        <v>GHA04</v>
      </c>
      <c r="B948" s="5" t="str">
        <f>IFERROR(__xludf.DUMMYFUNCTION("""COMPUTED_VALUE"""),"GHANA")</f>
        <v>GHANA</v>
      </c>
      <c r="C948" s="5" t="str">
        <f>IFERROR(__xludf.DUMMYFUNCTION("""COMPUTED_VALUE"""),"NORMAL")</f>
        <v>NORMAL</v>
      </c>
      <c r="D948" s="5" t="str">
        <f>IFERROR(__xludf.DUMMYFUNCTION("""COMPUTED_VALUE"""),"MOHAMMED SALISU")</f>
        <v>MOHAMMED SALISU</v>
      </c>
      <c r="E948" s="5">
        <f>IFERROR(__xludf.DUMMYFUNCTION("""COMPUTED_VALUE"""),0.0)</f>
        <v>0</v>
      </c>
      <c r="F948" s="5">
        <f>IFERROR(__xludf.DUMMYFUNCTION("""COMPUTED_VALUE"""),0.0)</f>
        <v>0</v>
      </c>
    </row>
    <row r="949">
      <c r="A949" s="5" t="str">
        <f>IFERROR(__xludf.DUMMYFUNCTION("""COMPUTED_VALUE"""),"GHA05")</f>
        <v>GHA05</v>
      </c>
      <c r="B949" s="5" t="str">
        <f>IFERROR(__xludf.DUMMYFUNCTION("""COMPUTED_VALUE"""),"GHANA")</f>
        <v>GHANA</v>
      </c>
      <c r="C949" s="5" t="str">
        <f>IFERROR(__xludf.DUMMYFUNCTION("""COMPUTED_VALUE"""),"NORMAL")</f>
        <v>NORMAL</v>
      </c>
      <c r="D949" s="5" t="str">
        <f>IFERROR(__xludf.DUMMYFUNCTION("""COMPUTED_VALUE"""),"ALIDU SEIDU")</f>
        <v>ALIDU SEIDU</v>
      </c>
      <c r="E949" s="5">
        <f>IFERROR(__xludf.DUMMYFUNCTION("""COMPUTED_VALUE"""),0.0)</f>
        <v>0</v>
      </c>
      <c r="F949" s="5">
        <f>IFERROR(__xludf.DUMMYFUNCTION("""COMPUTED_VALUE"""),0.0)</f>
        <v>0</v>
      </c>
    </row>
    <row r="950">
      <c r="A950" s="5" t="str">
        <f>IFERROR(__xludf.DUMMYFUNCTION("""COMPUTED_VALUE"""),"GHA06")</f>
        <v>GHA06</v>
      </c>
      <c r="B950" s="5" t="str">
        <f>IFERROR(__xludf.DUMMYFUNCTION("""COMPUTED_VALUE"""),"GHANA")</f>
        <v>GHANA</v>
      </c>
      <c r="C950" s="5" t="str">
        <f>IFERROR(__xludf.DUMMYFUNCTION("""COMPUTED_VALUE"""),"NORMAL")</f>
        <v>NORMAL</v>
      </c>
      <c r="D950" s="5" t="str">
        <f>IFERROR(__xludf.DUMMYFUNCTION("""COMPUTED_VALUE"""),"ALEXANDER DJIKU")</f>
        <v>ALEXANDER DJIKU</v>
      </c>
      <c r="E950" s="5">
        <f>IFERROR(__xludf.DUMMYFUNCTION("""COMPUTED_VALUE"""),0.0)</f>
        <v>0</v>
      </c>
      <c r="F950" s="5">
        <f>IFERROR(__xludf.DUMMYFUNCTION("""COMPUTED_VALUE"""),0.0)</f>
        <v>0</v>
      </c>
    </row>
    <row r="951">
      <c r="A951" s="5" t="str">
        <f>IFERROR(__xludf.DUMMYFUNCTION("""COMPUTED_VALUE"""),"GHA07")</f>
        <v>GHA07</v>
      </c>
      <c r="B951" s="5" t="str">
        <f>IFERROR(__xludf.DUMMYFUNCTION("""COMPUTED_VALUE"""),"GHANA")</f>
        <v>GHANA</v>
      </c>
      <c r="C951" s="5" t="str">
        <f>IFERROR(__xludf.DUMMYFUNCTION("""COMPUTED_VALUE"""),"NORMAL")</f>
        <v>NORMAL</v>
      </c>
      <c r="D951" s="5" t="str">
        <f>IFERROR(__xludf.DUMMYFUNCTION("""COMPUTED_VALUE"""),"GIDEON MENSAH")</f>
        <v>GIDEON MENSAH</v>
      </c>
      <c r="E951" s="5">
        <f>IFERROR(__xludf.DUMMYFUNCTION("""COMPUTED_VALUE"""),0.0)</f>
        <v>0</v>
      </c>
      <c r="F951" s="5">
        <f>IFERROR(__xludf.DUMMYFUNCTION("""COMPUTED_VALUE"""),0.0)</f>
        <v>0</v>
      </c>
    </row>
    <row r="952">
      <c r="A952" s="5" t="str">
        <f>IFERROR(__xludf.DUMMYFUNCTION("""COMPUTED_VALUE"""),"GHA08")</f>
        <v>GHA08</v>
      </c>
      <c r="B952" s="5" t="str">
        <f>IFERROR(__xludf.DUMMYFUNCTION("""COMPUTED_VALUE"""),"GHANA")</f>
        <v>GHANA</v>
      </c>
      <c r="C952" s="5" t="str">
        <f>IFERROR(__xludf.DUMMYFUNCTION("""COMPUTED_VALUE"""),"NORMAL")</f>
        <v>NORMAL</v>
      </c>
      <c r="D952" s="5" t="str">
        <f>IFERROR(__xludf.DUMMYFUNCTION("""COMPUTED_VALUE"""),"CALEB YIRENKYI")</f>
        <v>CALEB YIRENKYI</v>
      </c>
      <c r="E952" s="5">
        <f>IFERROR(__xludf.DUMMYFUNCTION("""COMPUTED_VALUE"""),0.0)</f>
        <v>0</v>
      </c>
      <c r="F952" s="5">
        <f>IFERROR(__xludf.DUMMYFUNCTION("""COMPUTED_VALUE"""),0.0)</f>
        <v>0</v>
      </c>
    </row>
    <row r="953">
      <c r="A953" s="5" t="str">
        <f>IFERROR(__xludf.DUMMYFUNCTION("""COMPUTED_VALUE"""),"GHA09")</f>
        <v>GHA09</v>
      </c>
      <c r="B953" s="5" t="str">
        <f>IFERROR(__xludf.DUMMYFUNCTION("""COMPUTED_VALUE"""),"GHANA")</f>
        <v>GHANA</v>
      </c>
      <c r="C953" s="5" t="str">
        <f>IFERROR(__xludf.DUMMYFUNCTION("""COMPUTED_VALUE"""),"NORMAL")</f>
        <v>NORMAL</v>
      </c>
      <c r="D953" s="5" t="str">
        <f>IFERROR(__xludf.DUMMYFUNCTION("""COMPUTED_VALUE"""),"ABDUL ISSAHAKU FATAWU")</f>
        <v>ABDUL ISSAHAKU FATAWU</v>
      </c>
      <c r="E953" s="5">
        <f>IFERROR(__xludf.DUMMYFUNCTION("""COMPUTED_VALUE"""),0.0)</f>
        <v>0</v>
      </c>
      <c r="F953" s="5">
        <f>IFERROR(__xludf.DUMMYFUNCTION("""COMPUTED_VALUE"""),0.0)</f>
        <v>0</v>
      </c>
    </row>
    <row r="954">
      <c r="A954" s="5" t="str">
        <f>IFERROR(__xludf.DUMMYFUNCTION("""COMPUTED_VALUE"""),"GHA10")</f>
        <v>GHA10</v>
      </c>
      <c r="B954" s="5" t="str">
        <f>IFERROR(__xludf.DUMMYFUNCTION("""COMPUTED_VALUE"""),"GHANA")</f>
        <v>GHANA</v>
      </c>
      <c r="C954" s="5" t="str">
        <f>IFERROR(__xludf.DUMMYFUNCTION("""COMPUTED_VALUE"""),"NORMAL")</f>
        <v>NORMAL</v>
      </c>
      <c r="D954" s="5" t="str">
        <f>IFERROR(__xludf.DUMMYFUNCTION("""COMPUTED_VALUE"""),"THOMAS PARTEY")</f>
        <v>THOMAS PARTEY</v>
      </c>
      <c r="E954" s="5">
        <f>IFERROR(__xludf.DUMMYFUNCTION("""COMPUTED_VALUE"""),0.0)</f>
        <v>0</v>
      </c>
      <c r="F954" s="5">
        <f>IFERROR(__xludf.DUMMYFUNCTION("""COMPUTED_VALUE"""),0.0)</f>
        <v>0</v>
      </c>
    </row>
    <row r="955">
      <c r="A955" s="5" t="str">
        <f>IFERROR(__xludf.DUMMYFUNCTION("""COMPUTED_VALUE"""),"GHA11")</f>
        <v>GHA11</v>
      </c>
      <c r="B955" s="5" t="str">
        <f>IFERROR(__xludf.DUMMYFUNCTION("""COMPUTED_VALUE"""),"GHANA")</f>
        <v>GHANA</v>
      </c>
      <c r="C955" s="5" t="str">
        <f>IFERROR(__xludf.DUMMYFUNCTION("""COMPUTED_VALUE"""),"NORMAL")</f>
        <v>NORMAL</v>
      </c>
      <c r="D955" s="5" t="str">
        <f>IFERROR(__xludf.DUMMYFUNCTION("""COMPUTED_VALUE"""),"SALIS ABDUL SAMED")</f>
        <v>SALIS ABDUL SAMED</v>
      </c>
      <c r="E955" s="5">
        <f>IFERROR(__xludf.DUMMYFUNCTION("""COMPUTED_VALUE"""),0.0)</f>
        <v>0</v>
      </c>
      <c r="F955" s="5">
        <f>IFERROR(__xludf.DUMMYFUNCTION("""COMPUTED_VALUE"""),0.0)</f>
        <v>0</v>
      </c>
    </row>
    <row r="956">
      <c r="A956" s="5" t="str">
        <f>IFERROR(__xludf.DUMMYFUNCTION("""COMPUTED_VALUE"""),"GHA12")</f>
        <v>GHA12</v>
      </c>
      <c r="B956" s="5" t="str">
        <f>IFERROR(__xludf.DUMMYFUNCTION("""COMPUTED_VALUE"""),"GHANA")</f>
        <v>GHANA</v>
      </c>
      <c r="C956" s="5" t="str">
        <f>IFERROR(__xludf.DUMMYFUNCTION("""COMPUTED_VALUE"""),"NORMAL")</f>
        <v>NORMAL</v>
      </c>
      <c r="D956" s="5" t="str">
        <f>IFERROR(__xludf.DUMMYFUNCTION("""COMPUTED_VALUE"""),"KAMALDEEN SULEMANA")</f>
        <v>KAMALDEEN SULEMANA</v>
      </c>
      <c r="E956" s="5">
        <f>IFERROR(__xludf.DUMMYFUNCTION("""COMPUTED_VALUE"""),0.0)</f>
        <v>0</v>
      </c>
      <c r="F956" s="5">
        <f>IFERROR(__xludf.DUMMYFUNCTION("""COMPUTED_VALUE"""),0.0)</f>
        <v>0</v>
      </c>
    </row>
    <row r="957">
      <c r="A957" s="5" t="str">
        <f>IFERROR(__xludf.DUMMYFUNCTION("""COMPUTED_VALUE"""),"GHA13")</f>
        <v>GHA13</v>
      </c>
      <c r="B957" s="5" t="str">
        <f>IFERROR(__xludf.DUMMYFUNCTION("""COMPUTED_VALUE"""),"GHANA")</f>
        <v>GHANA</v>
      </c>
      <c r="C957" s="5" t="str">
        <f>IFERROR(__xludf.DUMMYFUNCTION("""COMPUTED_VALUE"""),"TEAM")</f>
        <v>TEAM</v>
      </c>
      <c r="D957" s="5" t="str">
        <f>IFERROR(__xludf.DUMMYFUNCTION("""COMPUTED_VALUE"""),"GHANA NATIONAL TEAM")</f>
        <v>GHANA NATIONAL TEAM</v>
      </c>
      <c r="E957" s="5">
        <f>IFERROR(__xludf.DUMMYFUNCTION("""COMPUTED_VALUE"""),0.0)</f>
        <v>0</v>
      </c>
      <c r="F957" s="5">
        <f>IFERROR(__xludf.DUMMYFUNCTION("""COMPUTED_VALUE"""),0.0)</f>
        <v>0</v>
      </c>
    </row>
    <row r="958">
      <c r="A958" s="5" t="str">
        <f>IFERROR(__xludf.DUMMYFUNCTION("""COMPUTED_VALUE"""),"GHA14")</f>
        <v>GHA14</v>
      </c>
      <c r="B958" s="5" t="str">
        <f>IFERROR(__xludf.DUMMYFUNCTION("""COMPUTED_VALUE"""),"GHANA")</f>
        <v>GHANA</v>
      </c>
      <c r="C958" s="5" t="str">
        <f>IFERROR(__xludf.DUMMYFUNCTION("""COMPUTED_VALUE"""),"NORMAL")</f>
        <v>NORMAL</v>
      </c>
      <c r="D958" s="5" t="str">
        <f>IFERROR(__xludf.DUMMYFUNCTION("""COMPUTED_VALUE"""),"MOHAMMED KUDUS")</f>
        <v>MOHAMMED KUDUS</v>
      </c>
      <c r="E958" s="5">
        <f>IFERROR(__xludf.DUMMYFUNCTION("""COMPUTED_VALUE"""),0.0)</f>
        <v>0</v>
      </c>
      <c r="F958" s="5">
        <f>IFERROR(__xludf.DUMMYFUNCTION("""COMPUTED_VALUE"""),0.0)</f>
        <v>0</v>
      </c>
    </row>
    <row r="959">
      <c r="A959" s="5" t="str">
        <f>IFERROR(__xludf.DUMMYFUNCTION("""COMPUTED_VALUE"""),"GHA15")</f>
        <v>GHA15</v>
      </c>
      <c r="B959" s="5" t="str">
        <f>IFERROR(__xludf.DUMMYFUNCTION("""COMPUTED_VALUE"""),"GHANA")</f>
        <v>GHANA</v>
      </c>
      <c r="C959" s="5" t="str">
        <f>IFERROR(__xludf.DUMMYFUNCTION("""COMPUTED_VALUE"""),"NORMAL")</f>
        <v>NORMAL</v>
      </c>
      <c r="D959" s="5" t="str">
        <f>IFERROR(__xludf.DUMMYFUNCTION("""COMPUTED_VALUE"""),"IÑAKI WILLIAMS")</f>
        <v>IÑAKI WILLIAMS</v>
      </c>
      <c r="E959" s="5">
        <f>IFERROR(__xludf.DUMMYFUNCTION("""COMPUTED_VALUE"""),0.0)</f>
        <v>0</v>
      </c>
      <c r="F959" s="5">
        <f>IFERROR(__xludf.DUMMYFUNCTION("""COMPUTED_VALUE"""),0.0)</f>
        <v>0</v>
      </c>
    </row>
    <row r="960">
      <c r="A960" s="5" t="str">
        <f>IFERROR(__xludf.DUMMYFUNCTION("""COMPUTED_VALUE"""),"GHA16")</f>
        <v>GHA16</v>
      </c>
      <c r="B960" s="5" t="str">
        <f>IFERROR(__xludf.DUMMYFUNCTION("""COMPUTED_VALUE"""),"GHANA")</f>
        <v>GHANA</v>
      </c>
      <c r="C960" s="5" t="str">
        <f>IFERROR(__xludf.DUMMYFUNCTION("""COMPUTED_VALUE"""),"NORMAL")</f>
        <v>NORMAL</v>
      </c>
      <c r="D960" s="5" t="str">
        <f>IFERROR(__xludf.DUMMYFUNCTION("""COMPUTED_VALUE"""),"JORDAN AYEW")</f>
        <v>JORDAN AYEW</v>
      </c>
      <c r="E960" s="5">
        <f>IFERROR(__xludf.DUMMYFUNCTION("""COMPUTED_VALUE"""),0.0)</f>
        <v>0</v>
      </c>
      <c r="F960" s="5">
        <f>IFERROR(__xludf.DUMMYFUNCTION("""COMPUTED_VALUE"""),0.0)</f>
        <v>0</v>
      </c>
    </row>
    <row r="961">
      <c r="A961" s="5" t="str">
        <f>IFERROR(__xludf.DUMMYFUNCTION("""COMPUTED_VALUE"""),"GHA17")</f>
        <v>GHA17</v>
      </c>
      <c r="B961" s="5" t="str">
        <f>IFERROR(__xludf.DUMMYFUNCTION("""COMPUTED_VALUE"""),"GHANA")</f>
        <v>GHANA</v>
      </c>
      <c r="C961" s="5" t="str">
        <f>IFERROR(__xludf.DUMMYFUNCTION("""COMPUTED_VALUE"""),"NORMAL")</f>
        <v>NORMAL</v>
      </c>
      <c r="D961" s="5" t="str">
        <f>IFERROR(__xludf.DUMMYFUNCTION("""COMPUTED_VALUE"""),"ANDRE AYEW")</f>
        <v>ANDRE AYEW</v>
      </c>
      <c r="E961" s="5">
        <f>IFERROR(__xludf.DUMMYFUNCTION("""COMPUTED_VALUE"""),0.0)</f>
        <v>0</v>
      </c>
      <c r="F961" s="5">
        <f>IFERROR(__xludf.DUMMYFUNCTION("""COMPUTED_VALUE"""),0.0)</f>
        <v>0</v>
      </c>
    </row>
    <row r="962">
      <c r="A962" s="5" t="str">
        <f>IFERROR(__xludf.DUMMYFUNCTION("""COMPUTED_VALUE"""),"GHA18")</f>
        <v>GHA18</v>
      </c>
      <c r="B962" s="5" t="str">
        <f>IFERROR(__xludf.DUMMYFUNCTION("""COMPUTED_VALUE"""),"GHANA")</f>
        <v>GHANA</v>
      </c>
      <c r="C962" s="5" t="str">
        <f>IFERROR(__xludf.DUMMYFUNCTION("""COMPUTED_VALUE"""),"NORMAL")</f>
        <v>NORMAL</v>
      </c>
      <c r="D962" s="5" t="str">
        <f>IFERROR(__xludf.DUMMYFUNCTION("""COMPUTED_VALUE"""),"JOSEPH PAINTSIL")</f>
        <v>JOSEPH PAINTSIL</v>
      </c>
      <c r="E962" s="5">
        <f>IFERROR(__xludf.DUMMYFUNCTION("""COMPUTED_VALUE"""),0.0)</f>
        <v>0</v>
      </c>
      <c r="F962" s="5">
        <f>IFERROR(__xludf.DUMMYFUNCTION("""COMPUTED_VALUE"""),0.0)</f>
        <v>0</v>
      </c>
    </row>
    <row r="963">
      <c r="A963" s="5" t="str">
        <f>IFERROR(__xludf.DUMMYFUNCTION("""COMPUTED_VALUE"""),"GHA19")</f>
        <v>GHA19</v>
      </c>
      <c r="B963" s="5" t="str">
        <f>IFERROR(__xludf.DUMMYFUNCTION("""COMPUTED_VALUE"""),"GHANA")</f>
        <v>GHANA</v>
      </c>
      <c r="C963" s="5" t="str">
        <f>IFERROR(__xludf.DUMMYFUNCTION("""COMPUTED_VALUE"""),"NORMAL")</f>
        <v>NORMAL</v>
      </c>
      <c r="D963" s="5" t="str">
        <f>IFERROR(__xludf.DUMMYFUNCTION("""COMPUTED_VALUE"""),"OSMAN BUKARI")</f>
        <v>OSMAN BUKARI</v>
      </c>
      <c r="E963" s="5">
        <f>IFERROR(__xludf.DUMMYFUNCTION("""COMPUTED_VALUE"""),0.0)</f>
        <v>0</v>
      </c>
      <c r="F963" s="5">
        <f>IFERROR(__xludf.DUMMYFUNCTION("""COMPUTED_VALUE"""),0.0)</f>
        <v>0</v>
      </c>
    </row>
    <row r="964">
      <c r="A964" s="5" t="str">
        <f>IFERROR(__xludf.DUMMYFUNCTION("""COMPUTED_VALUE"""),"GHA20")</f>
        <v>GHA20</v>
      </c>
      <c r="B964" s="5" t="str">
        <f>IFERROR(__xludf.DUMMYFUNCTION("""COMPUTED_VALUE"""),"GHANA")</f>
        <v>GHANA</v>
      </c>
      <c r="C964" s="5" t="str">
        <f>IFERROR(__xludf.DUMMYFUNCTION("""COMPUTED_VALUE"""),"NORMAL")</f>
        <v>NORMAL</v>
      </c>
      <c r="D964" s="5" t="str">
        <f>IFERROR(__xludf.DUMMYFUNCTION("""COMPUTED_VALUE"""),"ANTOINE SEMENYO")</f>
        <v>ANTOINE SEMENYO</v>
      </c>
      <c r="E964" s="5">
        <f>IFERROR(__xludf.DUMMYFUNCTION("""COMPUTED_VALUE"""),0.0)</f>
        <v>0</v>
      </c>
      <c r="F964" s="5">
        <f>IFERROR(__xludf.DUMMYFUNCTION("""COMPUTED_VALUE"""),0.0)</f>
        <v>0</v>
      </c>
    </row>
    <row r="965">
      <c r="A965" s="5" t="str">
        <f>IFERROR(__xludf.DUMMYFUNCTION("""COMPUTED_VALUE"""),"PAN01")</f>
        <v>PAN01</v>
      </c>
      <c r="B965" s="5" t="str">
        <f>IFERROR(__xludf.DUMMYFUNCTION("""COMPUTED_VALUE"""),"PANAMA")</f>
        <v>PANAMA</v>
      </c>
      <c r="C965" s="5" t="str">
        <f>IFERROR(__xludf.DUMMYFUNCTION("""COMPUTED_VALUE"""),"BADGE")</f>
        <v>BADGE</v>
      </c>
      <c r="D965" s="5" t="str">
        <f>IFERROR(__xludf.DUMMYFUNCTION("""COMPUTED_VALUE"""),"TEAM NACIONAL DE PANAMA")</f>
        <v>TEAM NACIONAL DE PANAMA</v>
      </c>
      <c r="E965" s="5">
        <f>IFERROR(__xludf.DUMMYFUNCTION("""COMPUTED_VALUE"""),0.0)</f>
        <v>0</v>
      </c>
      <c r="F965" s="5">
        <f>IFERROR(__xludf.DUMMYFUNCTION("""COMPUTED_VALUE"""),0.0)</f>
        <v>0</v>
      </c>
    </row>
    <row r="966">
      <c r="A966" s="5" t="str">
        <f>IFERROR(__xludf.DUMMYFUNCTION("""COMPUTED_VALUE"""),"PAN02")</f>
        <v>PAN02</v>
      </c>
      <c r="B966" s="5" t="str">
        <f>IFERROR(__xludf.DUMMYFUNCTION("""COMPUTED_VALUE"""),"PANAMA")</f>
        <v>PANAMA</v>
      </c>
      <c r="C966" s="5" t="str">
        <f>IFERROR(__xludf.DUMMYFUNCTION("""COMPUTED_VALUE"""),"NORMAL")</f>
        <v>NORMAL</v>
      </c>
      <c r="D966" s="5" t="str">
        <f>IFERROR(__xludf.DUMMYFUNCTION("""COMPUTED_VALUE"""),"ORLANDO MOSQUERA")</f>
        <v>ORLANDO MOSQUERA</v>
      </c>
      <c r="E966" s="5">
        <f>IFERROR(__xludf.DUMMYFUNCTION("""COMPUTED_VALUE"""),0.0)</f>
        <v>0</v>
      </c>
      <c r="F966" s="5">
        <f>IFERROR(__xludf.DUMMYFUNCTION("""COMPUTED_VALUE"""),0.0)</f>
        <v>0</v>
      </c>
    </row>
    <row r="967">
      <c r="A967" s="5" t="str">
        <f>IFERROR(__xludf.DUMMYFUNCTION("""COMPUTED_VALUE"""),"PAN03")</f>
        <v>PAN03</v>
      </c>
      <c r="B967" s="5" t="str">
        <f>IFERROR(__xludf.DUMMYFUNCTION("""COMPUTED_VALUE"""),"PANAMA")</f>
        <v>PANAMA</v>
      </c>
      <c r="C967" s="5" t="str">
        <f>IFERROR(__xludf.DUMMYFUNCTION("""COMPUTED_VALUE"""),"NORMAL")</f>
        <v>NORMAL</v>
      </c>
      <c r="D967" s="5" t="str">
        <f>IFERROR(__xludf.DUMMYFUNCTION("""COMPUTED_VALUE"""),"LUIS MEJIA")</f>
        <v>LUIS MEJIA</v>
      </c>
      <c r="E967" s="5">
        <f>IFERROR(__xludf.DUMMYFUNCTION("""COMPUTED_VALUE"""),0.0)</f>
        <v>0</v>
      </c>
      <c r="F967" s="5">
        <f>IFERROR(__xludf.DUMMYFUNCTION("""COMPUTED_VALUE"""),0.0)</f>
        <v>0</v>
      </c>
    </row>
    <row r="968">
      <c r="A968" s="5" t="str">
        <f>IFERROR(__xludf.DUMMYFUNCTION("""COMPUTED_VALUE"""),"PAN04")</f>
        <v>PAN04</v>
      </c>
      <c r="B968" s="5" t="str">
        <f>IFERROR(__xludf.DUMMYFUNCTION("""COMPUTED_VALUE"""),"PANAMA")</f>
        <v>PANAMA</v>
      </c>
      <c r="C968" s="5" t="str">
        <f>IFERROR(__xludf.DUMMYFUNCTION("""COMPUTED_VALUE"""),"NORMAL")</f>
        <v>NORMAL</v>
      </c>
      <c r="D968" s="5" t="str">
        <f>IFERROR(__xludf.DUMMYFUNCTION("""COMPUTED_VALUE"""),"FIDEL ESCOBAR")</f>
        <v>FIDEL ESCOBAR</v>
      </c>
      <c r="E968" s="5">
        <f>IFERROR(__xludf.DUMMYFUNCTION("""COMPUTED_VALUE"""),0.0)</f>
        <v>0</v>
      </c>
      <c r="F968" s="5">
        <f>IFERROR(__xludf.DUMMYFUNCTION("""COMPUTED_VALUE"""),0.0)</f>
        <v>0</v>
      </c>
    </row>
    <row r="969">
      <c r="A969" s="5" t="str">
        <f>IFERROR(__xludf.DUMMYFUNCTION("""COMPUTED_VALUE"""),"PAN05")</f>
        <v>PAN05</v>
      </c>
      <c r="B969" s="5" t="str">
        <f>IFERROR(__xludf.DUMMYFUNCTION("""COMPUTED_VALUE"""),"PANAMA")</f>
        <v>PANAMA</v>
      </c>
      <c r="C969" s="5" t="str">
        <f>IFERROR(__xludf.DUMMYFUNCTION("""COMPUTED_VALUE"""),"NORMAL")</f>
        <v>NORMAL</v>
      </c>
      <c r="D969" s="5" t="str">
        <f>IFERROR(__xludf.DUMMYFUNCTION("""COMPUTED_VALUE"""),"ANDRES ANDRADE")</f>
        <v>ANDRES ANDRADE</v>
      </c>
      <c r="E969" s="5">
        <f>IFERROR(__xludf.DUMMYFUNCTION("""COMPUTED_VALUE"""),0.0)</f>
        <v>0</v>
      </c>
      <c r="F969" s="5">
        <f>IFERROR(__xludf.DUMMYFUNCTION("""COMPUTED_VALUE"""),0.0)</f>
        <v>0</v>
      </c>
    </row>
    <row r="970">
      <c r="A970" s="5" t="str">
        <f>IFERROR(__xludf.DUMMYFUNCTION("""COMPUTED_VALUE"""),"PAN06")</f>
        <v>PAN06</v>
      </c>
      <c r="B970" s="5" t="str">
        <f>IFERROR(__xludf.DUMMYFUNCTION("""COMPUTED_VALUE"""),"PANAMA")</f>
        <v>PANAMA</v>
      </c>
      <c r="C970" s="5" t="str">
        <f>IFERROR(__xludf.DUMMYFUNCTION("""COMPUTED_VALUE"""),"NORMAL")</f>
        <v>NORMAL</v>
      </c>
      <c r="D970" s="5" t="str">
        <f>IFERROR(__xludf.DUMMYFUNCTION("""COMPUTED_VALUE"""),"MICHAEL AMIR MURILLO")</f>
        <v>MICHAEL AMIR MURILLO</v>
      </c>
      <c r="E970" s="5">
        <f>IFERROR(__xludf.DUMMYFUNCTION("""COMPUTED_VALUE"""),0.0)</f>
        <v>0</v>
      </c>
      <c r="F970" s="5">
        <f>IFERROR(__xludf.DUMMYFUNCTION("""COMPUTED_VALUE"""),0.0)</f>
        <v>0</v>
      </c>
    </row>
    <row r="971">
      <c r="A971" s="5" t="str">
        <f>IFERROR(__xludf.DUMMYFUNCTION("""COMPUTED_VALUE"""),"PAN07")</f>
        <v>PAN07</v>
      </c>
      <c r="B971" s="5" t="str">
        <f>IFERROR(__xludf.DUMMYFUNCTION("""COMPUTED_VALUE"""),"PANAMA")</f>
        <v>PANAMA</v>
      </c>
      <c r="C971" s="5" t="str">
        <f>IFERROR(__xludf.DUMMYFUNCTION("""COMPUTED_VALUE"""),"NORMAL")</f>
        <v>NORMAL</v>
      </c>
      <c r="D971" s="5" t="str">
        <f>IFERROR(__xludf.DUMMYFUNCTION("""COMPUTED_VALUE"""),"ERIC DAVIS")</f>
        <v>ERIC DAVIS</v>
      </c>
      <c r="E971" s="5">
        <f>IFERROR(__xludf.DUMMYFUNCTION("""COMPUTED_VALUE"""),0.0)</f>
        <v>0</v>
      </c>
      <c r="F971" s="5">
        <f>IFERROR(__xludf.DUMMYFUNCTION("""COMPUTED_VALUE"""),0.0)</f>
        <v>0</v>
      </c>
    </row>
    <row r="972">
      <c r="A972" s="5" t="str">
        <f>IFERROR(__xludf.DUMMYFUNCTION("""COMPUTED_VALUE"""),"PAN08")</f>
        <v>PAN08</v>
      </c>
      <c r="B972" s="5" t="str">
        <f>IFERROR(__xludf.DUMMYFUNCTION("""COMPUTED_VALUE"""),"PANAMA")</f>
        <v>PANAMA</v>
      </c>
      <c r="C972" s="5" t="str">
        <f>IFERROR(__xludf.DUMMYFUNCTION("""COMPUTED_VALUE"""),"NORMAL")</f>
        <v>NORMAL</v>
      </c>
      <c r="D972" s="5" t="str">
        <f>IFERROR(__xludf.DUMMYFUNCTION("""COMPUTED_VALUE"""),"JOSE CORDOBA")</f>
        <v>JOSE CORDOBA</v>
      </c>
      <c r="E972" s="5">
        <f>IFERROR(__xludf.DUMMYFUNCTION("""COMPUTED_VALUE"""),0.0)</f>
        <v>0</v>
      </c>
      <c r="F972" s="5">
        <f>IFERROR(__xludf.DUMMYFUNCTION("""COMPUTED_VALUE"""),0.0)</f>
        <v>0</v>
      </c>
    </row>
    <row r="973">
      <c r="A973" s="5" t="str">
        <f>IFERROR(__xludf.DUMMYFUNCTION("""COMPUTED_VALUE"""),"PAN09")</f>
        <v>PAN09</v>
      </c>
      <c r="B973" s="5" t="str">
        <f>IFERROR(__xludf.DUMMYFUNCTION("""COMPUTED_VALUE"""),"PANAMA")</f>
        <v>PANAMA</v>
      </c>
      <c r="C973" s="5" t="str">
        <f>IFERROR(__xludf.DUMMYFUNCTION("""COMPUTED_VALUE"""),"NORMAL")</f>
        <v>NORMAL</v>
      </c>
      <c r="D973" s="5" t="str">
        <f>IFERROR(__xludf.DUMMYFUNCTION("""COMPUTED_VALUE"""),"CESAR BLACKMAN")</f>
        <v>CESAR BLACKMAN</v>
      </c>
      <c r="E973" s="5">
        <f>IFERROR(__xludf.DUMMYFUNCTION("""COMPUTED_VALUE"""),0.0)</f>
        <v>0</v>
      </c>
      <c r="F973" s="5">
        <f>IFERROR(__xludf.DUMMYFUNCTION("""COMPUTED_VALUE"""),0.0)</f>
        <v>0</v>
      </c>
    </row>
    <row r="974">
      <c r="A974" s="5" t="str">
        <f>IFERROR(__xludf.DUMMYFUNCTION("""COMPUTED_VALUE"""),"PAN10")</f>
        <v>PAN10</v>
      </c>
      <c r="B974" s="5" t="str">
        <f>IFERROR(__xludf.DUMMYFUNCTION("""COMPUTED_VALUE"""),"PANAMA")</f>
        <v>PANAMA</v>
      </c>
      <c r="C974" s="5" t="str">
        <f>IFERROR(__xludf.DUMMYFUNCTION("""COMPUTED_VALUE"""),"NORMAL")</f>
        <v>NORMAL</v>
      </c>
      <c r="D974" s="5" t="str">
        <f>IFERROR(__xludf.DUMMYFUNCTION("""COMPUTED_VALUE"""),"CRISTIAN MARTINEZ")</f>
        <v>CRISTIAN MARTINEZ</v>
      </c>
      <c r="E974" s="5">
        <f>IFERROR(__xludf.DUMMYFUNCTION("""COMPUTED_VALUE"""),0.0)</f>
        <v>0</v>
      </c>
      <c r="F974" s="5">
        <f>IFERROR(__xludf.DUMMYFUNCTION("""COMPUTED_VALUE"""),0.0)</f>
        <v>0</v>
      </c>
    </row>
    <row r="975">
      <c r="A975" s="5" t="str">
        <f>IFERROR(__xludf.DUMMYFUNCTION("""COMPUTED_VALUE"""),"PAN11")</f>
        <v>PAN11</v>
      </c>
      <c r="B975" s="5" t="str">
        <f>IFERROR(__xludf.DUMMYFUNCTION("""COMPUTED_VALUE"""),"PANAMA")</f>
        <v>PANAMA</v>
      </c>
      <c r="C975" s="5" t="str">
        <f>IFERROR(__xludf.DUMMYFUNCTION("""COMPUTED_VALUE"""),"NORMAL")</f>
        <v>NORMAL</v>
      </c>
      <c r="D975" s="5" t="str">
        <f>IFERROR(__xludf.DUMMYFUNCTION("""COMPUTED_VALUE"""),"ANIBAL GODOY")</f>
        <v>ANIBAL GODOY</v>
      </c>
      <c r="E975" s="5">
        <f>IFERROR(__xludf.DUMMYFUNCTION("""COMPUTED_VALUE"""),0.0)</f>
        <v>0</v>
      </c>
      <c r="F975" s="5">
        <f>IFERROR(__xludf.DUMMYFUNCTION("""COMPUTED_VALUE"""),0.0)</f>
        <v>0</v>
      </c>
    </row>
    <row r="976">
      <c r="A976" s="5" t="str">
        <f>IFERROR(__xludf.DUMMYFUNCTION("""COMPUTED_VALUE"""),"PAN12")</f>
        <v>PAN12</v>
      </c>
      <c r="B976" s="5" t="str">
        <f>IFERROR(__xludf.DUMMYFUNCTION("""COMPUTED_VALUE"""),"PANAMA")</f>
        <v>PANAMA</v>
      </c>
      <c r="C976" s="5" t="str">
        <f>IFERROR(__xludf.DUMMYFUNCTION("""COMPUTED_VALUE"""),"NORMAL")</f>
        <v>NORMAL</v>
      </c>
      <c r="D976" s="5" t="str">
        <f>IFERROR(__xludf.DUMMYFUNCTION("""COMPUTED_VALUE"""),"ADALBERTO CARRASQUILLA")</f>
        <v>ADALBERTO CARRASQUILLA</v>
      </c>
      <c r="E976" s="5">
        <f>IFERROR(__xludf.DUMMYFUNCTION("""COMPUTED_VALUE"""),0.0)</f>
        <v>0</v>
      </c>
      <c r="F976" s="5">
        <f>IFERROR(__xludf.DUMMYFUNCTION("""COMPUTED_VALUE"""),0.0)</f>
        <v>0</v>
      </c>
    </row>
    <row r="977">
      <c r="A977" s="5" t="str">
        <f>IFERROR(__xludf.DUMMYFUNCTION("""COMPUTED_VALUE"""),"PAN13")</f>
        <v>PAN13</v>
      </c>
      <c r="B977" s="5" t="str">
        <f>IFERROR(__xludf.DUMMYFUNCTION("""COMPUTED_VALUE"""),"PANAMA")</f>
        <v>PANAMA</v>
      </c>
      <c r="C977" s="5" t="str">
        <f>IFERROR(__xludf.DUMMYFUNCTION("""COMPUTED_VALUE"""),"TEAM")</f>
        <v>TEAM</v>
      </c>
      <c r="D977" s="5" t="str">
        <f>IFERROR(__xludf.DUMMYFUNCTION("""COMPUTED_VALUE"""),"TEAM NACIONAL DE PANAMA")</f>
        <v>TEAM NACIONAL DE PANAMA</v>
      </c>
      <c r="E977" s="5">
        <f>IFERROR(__xludf.DUMMYFUNCTION("""COMPUTED_VALUE"""),0.0)</f>
        <v>0</v>
      </c>
      <c r="F977" s="5">
        <f>IFERROR(__xludf.DUMMYFUNCTION("""COMPUTED_VALUE"""),0.0)</f>
        <v>0</v>
      </c>
    </row>
    <row r="978">
      <c r="A978" s="5" t="str">
        <f>IFERROR(__xludf.DUMMYFUNCTION("""COMPUTED_VALUE"""),"PAN14")</f>
        <v>PAN14</v>
      </c>
      <c r="B978" s="5" t="str">
        <f>IFERROR(__xludf.DUMMYFUNCTION("""COMPUTED_VALUE"""),"PANAMA")</f>
        <v>PANAMA</v>
      </c>
      <c r="C978" s="5" t="str">
        <f>IFERROR(__xludf.DUMMYFUNCTION("""COMPUTED_VALUE"""),"NORMAL")</f>
        <v>NORMAL</v>
      </c>
      <c r="D978" s="5" t="str">
        <f>IFERROR(__xludf.DUMMYFUNCTION("""COMPUTED_VALUE"""),"EDGAR BARCENAS")</f>
        <v>EDGAR BARCENAS</v>
      </c>
      <c r="E978" s="5">
        <f>IFERROR(__xludf.DUMMYFUNCTION("""COMPUTED_VALUE"""),0.0)</f>
        <v>0</v>
      </c>
      <c r="F978" s="5">
        <f>IFERROR(__xludf.DUMMYFUNCTION("""COMPUTED_VALUE"""),0.0)</f>
        <v>0</v>
      </c>
    </row>
    <row r="979">
      <c r="A979" s="5" t="str">
        <f>IFERROR(__xludf.DUMMYFUNCTION("""COMPUTED_VALUE"""),"PAN15")</f>
        <v>PAN15</v>
      </c>
      <c r="B979" s="5" t="str">
        <f>IFERROR(__xludf.DUMMYFUNCTION("""COMPUTED_VALUE"""),"PANAMA")</f>
        <v>PANAMA</v>
      </c>
      <c r="C979" s="5" t="str">
        <f>IFERROR(__xludf.DUMMYFUNCTION("""COMPUTED_VALUE"""),"NORMAL")</f>
        <v>NORMAL</v>
      </c>
      <c r="D979" s="5" t="str">
        <f>IFERROR(__xludf.DUMMYFUNCTION("""COMPUTED_VALUE"""),"CARLOS HARVEY")</f>
        <v>CARLOS HARVEY</v>
      </c>
      <c r="E979" s="5">
        <f>IFERROR(__xludf.DUMMYFUNCTION("""COMPUTED_VALUE"""),0.0)</f>
        <v>0</v>
      </c>
      <c r="F979" s="5">
        <f>IFERROR(__xludf.DUMMYFUNCTION("""COMPUTED_VALUE"""),0.0)</f>
        <v>0</v>
      </c>
    </row>
    <row r="980">
      <c r="A980" s="5" t="str">
        <f>IFERROR(__xludf.DUMMYFUNCTION("""COMPUTED_VALUE"""),"PAN16")</f>
        <v>PAN16</v>
      </c>
      <c r="B980" s="5" t="str">
        <f>IFERROR(__xludf.DUMMYFUNCTION("""COMPUTED_VALUE"""),"PANAMA")</f>
        <v>PANAMA</v>
      </c>
      <c r="C980" s="5" t="str">
        <f>IFERROR(__xludf.DUMMYFUNCTION("""COMPUTED_VALUE"""),"NORMAL")</f>
        <v>NORMAL</v>
      </c>
      <c r="D980" s="5" t="str">
        <f>IFERROR(__xludf.DUMMYFUNCTION("""COMPUTED_VALUE"""),"ISMAEL DIAZ")</f>
        <v>ISMAEL DIAZ</v>
      </c>
      <c r="E980" s="5">
        <f>IFERROR(__xludf.DUMMYFUNCTION("""COMPUTED_VALUE"""),0.0)</f>
        <v>0</v>
      </c>
      <c r="F980" s="5">
        <f>IFERROR(__xludf.DUMMYFUNCTION("""COMPUTED_VALUE"""),0.0)</f>
        <v>0</v>
      </c>
    </row>
    <row r="981">
      <c r="A981" s="5" t="str">
        <f>IFERROR(__xludf.DUMMYFUNCTION("""COMPUTED_VALUE"""),"PAN17")</f>
        <v>PAN17</v>
      </c>
      <c r="B981" s="5" t="str">
        <f>IFERROR(__xludf.DUMMYFUNCTION("""COMPUTED_VALUE"""),"PANAMA")</f>
        <v>PANAMA</v>
      </c>
      <c r="C981" s="5" t="str">
        <f>IFERROR(__xludf.DUMMYFUNCTION("""COMPUTED_VALUE"""),"NORMAL")</f>
        <v>NORMAL</v>
      </c>
      <c r="D981" s="5" t="str">
        <f>IFERROR(__xludf.DUMMYFUNCTION("""COMPUTED_VALUE"""),"JOSE FAJARDO")</f>
        <v>JOSE FAJARDO</v>
      </c>
      <c r="E981" s="5">
        <f>IFERROR(__xludf.DUMMYFUNCTION("""COMPUTED_VALUE"""),0.0)</f>
        <v>0</v>
      </c>
      <c r="F981" s="5">
        <f>IFERROR(__xludf.DUMMYFUNCTION("""COMPUTED_VALUE"""),0.0)</f>
        <v>0</v>
      </c>
    </row>
    <row r="982">
      <c r="A982" s="5" t="str">
        <f>IFERROR(__xludf.DUMMYFUNCTION("""COMPUTED_VALUE"""),"PAN18")</f>
        <v>PAN18</v>
      </c>
      <c r="B982" s="5" t="str">
        <f>IFERROR(__xludf.DUMMYFUNCTION("""COMPUTED_VALUE"""),"PANAMA")</f>
        <v>PANAMA</v>
      </c>
      <c r="C982" s="5" t="str">
        <f>IFERROR(__xludf.DUMMYFUNCTION("""COMPUTED_VALUE"""),"NORMAL")</f>
        <v>NORMAL</v>
      </c>
      <c r="D982" s="5" t="str">
        <f>IFERROR(__xludf.DUMMYFUNCTION("""COMPUTED_VALUE"""),"CECILIO WATERMAN")</f>
        <v>CECILIO WATERMAN</v>
      </c>
      <c r="E982" s="5">
        <f>IFERROR(__xludf.DUMMYFUNCTION("""COMPUTED_VALUE"""),0.0)</f>
        <v>0</v>
      </c>
      <c r="F982" s="5">
        <f>IFERROR(__xludf.DUMMYFUNCTION("""COMPUTED_VALUE"""),0.0)</f>
        <v>0</v>
      </c>
    </row>
    <row r="983">
      <c r="A983" s="5" t="str">
        <f>IFERROR(__xludf.DUMMYFUNCTION("""COMPUTED_VALUE"""),"PAN19")</f>
        <v>PAN19</v>
      </c>
      <c r="B983" s="5" t="str">
        <f>IFERROR(__xludf.DUMMYFUNCTION("""COMPUTED_VALUE"""),"PANAMA")</f>
        <v>PANAMA</v>
      </c>
      <c r="C983" s="5" t="str">
        <f>IFERROR(__xludf.DUMMYFUNCTION("""COMPUTED_VALUE"""),"NORMAL")</f>
        <v>NORMAL</v>
      </c>
      <c r="D983" s="5" t="str">
        <f>IFERROR(__xludf.DUMMYFUNCTION("""COMPUTED_VALUE"""),"JOSE LUIS RODRIGUEZ")</f>
        <v>JOSE LUIS RODRIGUEZ</v>
      </c>
      <c r="E983" s="5">
        <f>IFERROR(__xludf.DUMMYFUNCTION("""COMPUTED_VALUE"""),0.0)</f>
        <v>0</v>
      </c>
      <c r="F983" s="5">
        <f>IFERROR(__xludf.DUMMYFUNCTION("""COMPUTED_VALUE"""),0.0)</f>
        <v>0</v>
      </c>
    </row>
    <row r="984">
      <c r="A984" s="5" t="str">
        <f>IFERROR(__xludf.DUMMYFUNCTION("""COMPUTED_VALUE"""),"PAN20")</f>
        <v>PAN20</v>
      </c>
      <c r="B984" s="5" t="str">
        <f>IFERROR(__xludf.DUMMYFUNCTION("""COMPUTED_VALUE"""),"PANAMA")</f>
        <v>PANAMA</v>
      </c>
      <c r="C984" s="5" t="str">
        <f>IFERROR(__xludf.DUMMYFUNCTION("""COMPUTED_VALUE"""),"NORMAL")</f>
        <v>NORMAL</v>
      </c>
      <c r="D984" s="5" t="str">
        <f>IFERROR(__xludf.DUMMYFUNCTION("""COMPUTED_VALUE"""),"ALBERTO QUINTERO")</f>
        <v>ALBERTO QUINTERO</v>
      </c>
      <c r="E984" s="5">
        <f>IFERROR(__xludf.DUMMYFUNCTION("""COMPUTED_VALUE"""),0.0)</f>
        <v>0</v>
      </c>
      <c r="F984" s="5">
        <f>IFERROR(__xludf.DUMMYFUNCTION("""COMPUTED_VALUE"""),0.0)</f>
        <v>0</v>
      </c>
    </row>
    <row r="985">
      <c r="A985" s="5" t="str">
        <f>IFERROR(__xludf.DUMMYFUNCTION("""COMPUTED_VALUE"""),"ITALIA 1934 FWC9")</f>
        <v>ITALIA 1934 FWC9</v>
      </c>
      <c r="B985" s="5" t="str">
        <f>IFERROR(__xludf.DUMMYFUNCTION("""COMPUTED_VALUE"""),"SECTION 4")</f>
        <v>SECTION 4</v>
      </c>
      <c r="C985" s="5" t="str">
        <f>IFERROR(__xludf.DUMMYFUNCTION("""COMPUTED_VALUE"""),"SPECIAL")</f>
        <v>SPECIAL</v>
      </c>
      <c r="D985" s="5" t="str">
        <f>IFERROR(__xludf.DUMMYFUNCTION("""COMPUTED_VALUE"""),"FWC9")</f>
        <v>FWC9</v>
      </c>
      <c r="E985" s="8">
        <f>IFERROR(__xludf.DUMMYFUNCTION("""COMPUTED_VALUE"""),0.0)</f>
        <v>0</v>
      </c>
      <c r="F985" s="5">
        <f>IFERROR(__xludf.DUMMYFUNCTION("""COMPUTED_VALUE"""),0.0)</f>
        <v>0</v>
      </c>
    </row>
    <row r="986">
      <c r="A986" s="5" t="str">
        <f>IFERROR(__xludf.DUMMYFUNCTION("""COMPUTED_VALUE"""),"BRAZIL 1950 FWC10")</f>
        <v>BRAZIL 1950 FWC10</v>
      </c>
      <c r="B986" s="5" t="str">
        <f>IFERROR(__xludf.DUMMYFUNCTION("""COMPUTED_VALUE"""),"SECTION 4")</f>
        <v>SECTION 4</v>
      </c>
      <c r="C986" s="5" t="str">
        <f>IFERROR(__xludf.DUMMYFUNCTION("""COMPUTED_VALUE"""),"SPECIAL")</f>
        <v>SPECIAL</v>
      </c>
      <c r="D986" s="5" t="str">
        <f>IFERROR(__xludf.DUMMYFUNCTION("""COMPUTED_VALUE"""),"FWC10")</f>
        <v>FWC10</v>
      </c>
      <c r="E986" s="8">
        <f>IFERROR(__xludf.DUMMYFUNCTION("""COMPUTED_VALUE"""),0.0)</f>
        <v>0</v>
      </c>
      <c r="F986" s="5">
        <f>IFERROR(__xludf.DUMMYFUNCTION("""COMPUTED_VALUE"""),0.0)</f>
        <v>0</v>
      </c>
    </row>
    <row r="987">
      <c r="A987" s="5" t="str">
        <f>IFERROR(__xludf.DUMMYFUNCTION("""COMPUTED_VALUE"""),"SWITZERLAND 1954 FWC11")</f>
        <v>SWITZERLAND 1954 FWC11</v>
      </c>
      <c r="B987" s="5" t="str">
        <f>IFERROR(__xludf.DUMMYFUNCTION("""COMPUTED_VALUE"""),"SECTION 4")</f>
        <v>SECTION 4</v>
      </c>
      <c r="C987" s="5" t="str">
        <f>IFERROR(__xludf.DUMMYFUNCTION("""COMPUTED_VALUE"""),"SPECIAL")</f>
        <v>SPECIAL</v>
      </c>
      <c r="D987" s="5" t="str">
        <f>IFERROR(__xludf.DUMMYFUNCTION("""COMPUTED_VALUE"""),"FWC11")</f>
        <v>FWC11</v>
      </c>
      <c r="E987" s="8">
        <f>IFERROR(__xludf.DUMMYFUNCTION("""COMPUTED_VALUE"""),0.0)</f>
        <v>0</v>
      </c>
      <c r="F987" s="5">
        <f>IFERROR(__xludf.DUMMYFUNCTION("""COMPUTED_VALUE"""),0.0)</f>
        <v>0</v>
      </c>
    </row>
    <row r="988">
      <c r="A988" s="5" t="str">
        <f>IFERROR(__xludf.DUMMYFUNCTION("""COMPUTED_VALUE"""),"CHILE 1962 FWC12")</f>
        <v>CHILE 1962 FWC12</v>
      </c>
      <c r="B988" s="5" t="str">
        <f>IFERROR(__xludf.DUMMYFUNCTION("""COMPUTED_VALUE"""),"SECTION 4")</f>
        <v>SECTION 4</v>
      </c>
      <c r="C988" s="5" t="str">
        <f>IFERROR(__xludf.DUMMYFUNCTION("""COMPUTED_VALUE"""),"SPECIAL")</f>
        <v>SPECIAL</v>
      </c>
      <c r="D988" s="5" t="str">
        <f>IFERROR(__xludf.DUMMYFUNCTION("""COMPUTED_VALUE"""),"FWC12")</f>
        <v>FWC12</v>
      </c>
      <c r="E988" s="8">
        <f>IFERROR(__xludf.DUMMYFUNCTION("""COMPUTED_VALUE"""),0.0)</f>
        <v>0</v>
      </c>
      <c r="F988" s="5">
        <f>IFERROR(__xludf.DUMMYFUNCTION("""COMPUTED_VALUE"""),0.0)</f>
        <v>0</v>
      </c>
    </row>
    <row r="989">
      <c r="A989" s="5" t="str">
        <f>IFERROR(__xludf.DUMMYFUNCTION("""COMPUTED_VALUE"""),"GERMANY 1974 FWC13")</f>
        <v>GERMANY 1974 FWC13</v>
      </c>
      <c r="B989" s="5" t="str">
        <f>IFERROR(__xludf.DUMMYFUNCTION("""COMPUTED_VALUE"""),"SECTION 4")</f>
        <v>SECTION 4</v>
      </c>
      <c r="C989" s="5" t="str">
        <f>IFERROR(__xludf.DUMMYFUNCTION("""COMPUTED_VALUE"""),"SPECIAL")</f>
        <v>SPECIAL</v>
      </c>
      <c r="D989" s="5" t="str">
        <f>IFERROR(__xludf.DUMMYFUNCTION("""COMPUTED_VALUE"""),"FWC13")</f>
        <v>FWC13</v>
      </c>
      <c r="E989" s="8">
        <f>IFERROR(__xludf.DUMMYFUNCTION("""COMPUTED_VALUE"""),0.0)</f>
        <v>0</v>
      </c>
      <c r="F989" s="5">
        <f>IFERROR(__xludf.DUMMYFUNCTION("""COMPUTED_VALUE"""),0.0)</f>
        <v>0</v>
      </c>
    </row>
    <row r="990">
      <c r="A990" s="7" t="str">
        <f>IFERROR(__xludf.DUMMYFUNCTION("""COMPUTED_VALUE"""),"MEXICO 1986 FWC14")</f>
        <v>MEXICO 1986 FWC14</v>
      </c>
      <c r="B990" s="5" t="str">
        <f>IFERROR(__xludf.DUMMYFUNCTION("""COMPUTED_VALUE"""),"SECTION 4")</f>
        <v>SECTION 4</v>
      </c>
      <c r="C990" s="5" t="str">
        <f>IFERROR(__xludf.DUMMYFUNCTION("""COMPUTED_VALUE"""),"SPECIAL")</f>
        <v>SPECIAL</v>
      </c>
      <c r="D990" s="5" t="str">
        <f>IFERROR(__xludf.DUMMYFUNCTION("""COMPUTED_VALUE"""),"FWC14")</f>
        <v>FWC14</v>
      </c>
      <c r="E990" s="8">
        <f>IFERROR(__xludf.DUMMYFUNCTION("""COMPUTED_VALUE"""),0.0)</f>
        <v>0</v>
      </c>
      <c r="F990" s="5">
        <f>IFERROR(__xludf.DUMMYFUNCTION("""COMPUTED_VALUE"""),0.0)</f>
        <v>0</v>
      </c>
    </row>
    <row r="991">
      <c r="A991" s="7" t="str">
        <f>IFERROR(__xludf.DUMMYFUNCTION("""COMPUTED_VALUE"""),"UNITED STATES 1994 FWC15")</f>
        <v>UNITED STATES 1994 FWC15</v>
      </c>
      <c r="B991" s="5" t="str">
        <f>IFERROR(__xludf.DUMMYFUNCTION("""COMPUTED_VALUE"""),"SECTION 4")</f>
        <v>SECTION 4</v>
      </c>
      <c r="C991" s="5" t="str">
        <f>IFERROR(__xludf.DUMMYFUNCTION("""COMPUTED_VALUE"""),"SPECIAL")</f>
        <v>SPECIAL</v>
      </c>
      <c r="D991" s="5" t="str">
        <f>IFERROR(__xludf.DUMMYFUNCTION("""COMPUTED_VALUE"""),"FWC15")</f>
        <v>FWC15</v>
      </c>
      <c r="E991" s="8">
        <f>IFERROR(__xludf.DUMMYFUNCTION("""COMPUTED_VALUE"""),0.0)</f>
        <v>0</v>
      </c>
      <c r="F991" s="5">
        <f>IFERROR(__xludf.DUMMYFUNCTION("""COMPUTED_VALUE"""),0.0)</f>
        <v>0</v>
      </c>
    </row>
    <row r="992">
      <c r="A992" s="7" t="str">
        <f>IFERROR(__xludf.DUMMYFUNCTION("""COMPUTED_VALUE"""),"SOUTH KOREA/JAPAN 2002 FWC16")</f>
        <v>SOUTH KOREA/JAPAN 2002 FWC16</v>
      </c>
      <c r="B992" s="5" t="str">
        <f>IFERROR(__xludf.DUMMYFUNCTION("""COMPUTED_VALUE"""),"SECTION 4")</f>
        <v>SECTION 4</v>
      </c>
      <c r="C992" s="5" t="str">
        <f>IFERROR(__xludf.DUMMYFUNCTION("""COMPUTED_VALUE"""),"SPECIAL")</f>
        <v>SPECIAL</v>
      </c>
      <c r="D992" s="5" t="str">
        <f>IFERROR(__xludf.DUMMYFUNCTION("""COMPUTED_VALUE"""),"FWC16")</f>
        <v>FWC16</v>
      </c>
      <c r="E992" s="8">
        <f>IFERROR(__xludf.DUMMYFUNCTION("""COMPUTED_VALUE"""),0.0)</f>
        <v>0</v>
      </c>
      <c r="F992" s="5">
        <f>IFERROR(__xludf.DUMMYFUNCTION("""COMPUTED_VALUE"""),0.0)</f>
        <v>0</v>
      </c>
    </row>
    <row r="993">
      <c r="A993" s="7" t="str">
        <f>IFERROR(__xludf.DUMMYFUNCTION("""COMPUTED_VALUE"""),"GERMANY 2006 FWC17")</f>
        <v>GERMANY 2006 FWC17</v>
      </c>
      <c r="B993" s="5" t="str">
        <f>IFERROR(__xludf.DUMMYFUNCTION("""COMPUTED_VALUE"""),"SECTION 4")</f>
        <v>SECTION 4</v>
      </c>
      <c r="C993" s="5" t="str">
        <f>IFERROR(__xludf.DUMMYFUNCTION("""COMPUTED_VALUE"""),"SPECIAL")</f>
        <v>SPECIAL</v>
      </c>
      <c r="D993" s="5" t="str">
        <f>IFERROR(__xludf.DUMMYFUNCTION("""COMPUTED_VALUE"""),"FWC17")</f>
        <v>FWC17</v>
      </c>
      <c r="E993" s="8">
        <f>IFERROR(__xludf.DUMMYFUNCTION("""COMPUTED_VALUE"""),0.0)</f>
        <v>0</v>
      </c>
      <c r="F993" s="5">
        <f>IFERROR(__xludf.DUMMYFUNCTION("""COMPUTED_VALUE"""),0.0)</f>
        <v>0</v>
      </c>
    </row>
    <row r="994">
      <c r="A994" s="7" t="str">
        <f>IFERROR(__xludf.DUMMYFUNCTION("""COMPUTED_VALUE"""),"BRAZIL 2014 FWC18")</f>
        <v>BRAZIL 2014 FWC18</v>
      </c>
      <c r="B994" s="5" t="str">
        <f>IFERROR(__xludf.DUMMYFUNCTION("""COMPUTED_VALUE"""),"SECTION 4")</f>
        <v>SECTION 4</v>
      </c>
      <c r="C994" s="5" t="str">
        <f>IFERROR(__xludf.DUMMYFUNCTION("""COMPUTED_VALUE"""),"SPECIAL")</f>
        <v>SPECIAL</v>
      </c>
      <c r="D994" s="5" t="str">
        <f>IFERROR(__xludf.DUMMYFUNCTION("""COMPUTED_VALUE"""),"FWC18")</f>
        <v>FWC18</v>
      </c>
      <c r="E994" s="8">
        <f>IFERROR(__xludf.DUMMYFUNCTION("""COMPUTED_VALUE"""),0.0)</f>
        <v>0</v>
      </c>
      <c r="F994" s="5">
        <f>IFERROR(__xludf.DUMMYFUNCTION("""COMPUTED_VALUE"""),0.0)</f>
        <v>0</v>
      </c>
    </row>
    <row r="995">
      <c r="A995" s="7" t="str">
        <f>IFERROR(__xludf.DUMMYFUNCTION("""COMPUTED_VALUE"""),"QATAR 2022 FWC19")</f>
        <v>QATAR 2022 FWC19</v>
      </c>
      <c r="B995" s="5" t="str">
        <f>IFERROR(__xludf.DUMMYFUNCTION("""COMPUTED_VALUE"""),"SECTION 4")</f>
        <v>SECTION 4</v>
      </c>
      <c r="C995" s="5" t="str">
        <f>IFERROR(__xludf.DUMMYFUNCTION("""COMPUTED_VALUE"""),"SPECIAL")</f>
        <v>SPECIAL</v>
      </c>
      <c r="D995" s="5" t="str">
        <f>IFERROR(__xludf.DUMMYFUNCTION("""COMPUTED_VALUE"""),"FWC19")</f>
        <v>FWC19</v>
      </c>
      <c r="E995" s="8">
        <f>IFERROR(__xludf.DUMMYFUNCTION("""COMPUTED_VALUE"""),0.0)</f>
        <v>0</v>
      </c>
      <c r="F995" s="5">
        <f>IFERROR(__xludf.DUMMYFUNCTION("""COMPUTED_VALUE"""),0.0)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5"/>
    <col customWidth="1" min="5" max="6" width="16.75"/>
  </cols>
  <sheetData>
    <row r="1" ht="22.5" customHeight="1">
      <c r="A1" s="9" t="s">
        <v>7</v>
      </c>
      <c r="B1" s="10" t="s">
        <v>13</v>
      </c>
      <c r="C1" s="9" t="s">
        <v>9</v>
      </c>
      <c r="D1" s="9" t="s">
        <v>10</v>
      </c>
      <c r="E1" s="10" t="s">
        <v>11</v>
      </c>
      <c r="F1" s="9" t="s">
        <v>12</v>
      </c>
    </row>
    <row r="2" ht="22.5" customHeight="1">
      <c r="A2" s="11" t="s">
        <v>14</v>
      </c>
      <c r="B2" s="12" t="s">
        <v>15</v>
      </c>
      <c r="C2" s="12" t="s">
        <v>16</v>
      </c>
      <c r="D2" s="12" t="s">
        <v>17</v>
      </c>
      <c r="E2" s="13">
        <v>0.0</v>
      </c>
      <c r="F2" s="13">
        <v>0.0</v>
      </c>
    </row>
    <row r="3" ht="22.5" customHeight="1">
      <c r="A3" s="12" t="s">
        <v>18</v>
      </c>
      <c r="B3" s="12" t="s">
        <v>15</v>
      </c>
      <c r="C3" s="12" t="s">
        <v>16</v>
      </c>
      <c r="D3" s="12" t="s">
        <v>19</v>
      </c>
      <c r="E3" s="13">
        <v>0.0</v>
      </c>
      <c r="F3" s="13">
        <v>0.0</v>
      </c>
    </row>
    <row r="4" ht="22.5" customHeight="1">
      <c r="A4" s="12" t="s">
        <v>20</v>
      </c>
      <c r="B4" s="12" t="s">
        <v>15</v>
      </c>
      <c r="C4" s="12" t="s">
        <v>16</v>
      </c>
      <c r="D4" s="12" t="s">
        <v>21</v>
      </c>
      <c r="E4" s="13">
        <v>0.0</v>
      </c>
      <c r="F4" s="13">
        <v>0.0</v>
      </c>
    </row>
    <row r="5" ht="22.5" customHeight="1">
      <c r="A5" s="12" t="s">
        <v>22</v>
      </c>
      <c r="B5" s="12" t="s">
        <v>15</v>
      </c>
      <c r="C5" s="12" t="s">
        <v>16</v>
      </c>
      <c r="D5" s="12" t="s">
        <v>23</v>
      </c>
      <c r="E5" s="13">
        <v>0.0</v>
      </c>
      <c r="F5" s="13">
        <v>0.0</v>
      </c>
    </row>
    <row r="6" ht="22.5" customHeight="1">
      <c r="A6" s="12" t="s">
        <v>24</v>
      </c>
      <c r="B6" s="12" t="s">
        <v>15</v>
      </c>
      <c r="C6" s="12" t="s">
        <v>16</v>
      </c>
      <c r="D6" s="12" t="s">
        <v>25</v>
      </c>
      <c r="E6" s="13">
        <v>0.0</v>
      </c>
      <c r="F6" s="13">
        <v>0.0</v>
      </c>
    </row>
    <row r="7" ht="22.5" customHeight="1">
      <c r="A7" s="12" t="s">
        <v>26</v>
      </c>
      <c r="B7" s="12" t="s">
        <v>15</v>
      </c>
      <c r="C7" s="12" t="s">
        <v>16</v>
      </c>
      <c r="D7" s="12" t="s">
        <v>27</v>
      </c>
      <c r="E7" s="13">
        <v>0.0</v>
      </c>
      <c r="F7" s="13">
        <v>0.0</v>
      </c>
    </row>
    <row r="8" ht="22.5" customHeight="1">
      <c r="A8" s="12" t="s">
        <v>28</v>
      </c>
      <c r="B8" s="12" t="s">
        <v>15</v>
      </c>
      <c r="C8" s="12" t="s">
        <v>16</v>
      </c>
      <c r="D8" s="12" t="s">
        <v>29</v>
      </c>
      <c r="E8" s="13">
        <v>0.0</v>
      </c>
      <c r="F8" s="13">
        <v>0.0</v>
      </c>
    </row>
    <row r="9" ht="22.5" customHeight="1">
      <c r="A9" s="12" t="s">
        <v>30</v>
      </c>
      <c r="B9" s="12" t="s">
        <v>15</v>
      </c>
      <c r="C9" s="12" t="s">
        <v>16</v>
      </c>
      <c r="D9" s="12" t="s">
        <v>31</v>
      </c>
      <c r="E9" s="13">
        <v>0.0</v>
      </c>
      <c r="F9" s="13">
        <v>0.0</v>
      </c>
    </row>
    <row r="10" ht="22.5" customHeight="1">
      <c r="A10" s="12" t="s">
        <v>32</v>
      </c>
      <c r="B10" s="12" t="s">
        <v>15</v>
      </c>
      <c r="C10" s="12" t="s">
        <v>16</v>
      </c>
      <c r="D10" s="12" t="s">
        <v>33</v>
      </c>
      <c r="E10" s="13">
        <v>0.0</v>
      </c>
      <c r="F10" s="13">
        <v>0.0</v>
      </c>
    </row>
  </sheetData>
  <conditionalFormatting sqref="E2:F10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10">
      <formula1>0.0</formula1>
    </dataValidation>
    <dataValidation allowBlank="1" showDropDown="1" sqref="A2:A10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3" width="18.75"/>
    <col customWidth="1" min="4" max="4" width="35.5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8" t="s">
        <v>36</v>
      </c>
      <c r="B2" s="12" t="s">
        <v>37</v>
      </c>
      <c r="C2" s="19" t="s">
        <v>38</v>
      </c>
      <c r="D2" s="18" t="s">
        <v>39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8" t="s">
        <v>40</v>
      </c>
      <c r="B3" s="12" t="s">
        <v>37</v>
      </c>
      <c r="C3" s="19" t="s">
        <v>41</v>
      </c>
      <c r="D3" s="18" t="s">
        <v>42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8" t="s">
        <v>43</v>
      </c>
      <c r="B4" s="12" t="s">
        <v>37</v>
      </c>
      <c r="C4" s="19" t="s">
        <v>41</v>
      </c>
      <c r="D4" s="18" t="s">
        <v>44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8" t="s">
        <v>45</v>
      </c>
      <c r="B5" s="12" t="s">
        <v>37</v>
      </c>
      <c r="C5" s="19" t="s">
        <v>41</v>
      </c>
      <c r="D5" s="18" t="s">
        <v>46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8" t="s">
        <v>47</v>
      </c>
      <c r="B6" s="12" t="s">
        <v>37</v>
      </c>
      <c r="C6" s="19" t="s">
        <v>41</v>
      </c>
      <c r="D6" s="18" t="s">
        <v>48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8" t="s">
        <v>49</v>
      </c>
      <c r="B7" s="12" t="s">
        <v>37</v>
      </c>
      <c r="C7" s="19" t="s">
        <v>41</v>
      </c>
      <c r="D7" s="18" t="s">
        <v>50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8" t="s">
        <v>51</v>
      </c>
      <c r="B8" s="12" t="s">
        <v>37</v>
      </c>
      <c r="C8" s="19" t="s">
        <v>41</v>
      </c>
      <c r="D8" s="18" t="s">
        <v>52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8" t="s">
        <v>53</v>
      </c>
      <c r="B9" s="12" t="s">
        <v>37</v>
      </c>
      <c r="C9" s="19" t="s">
        <v>41</v>
      </c>
      <c r="D9" s="18" t="s">
        <v>54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8" t="s">
        <v>55</v>
      </c>
      <c r="B10" s="12" t="s">
        <v>37</v>
      </c>
      <c r="C10" s="19" t="s">
        <v>41</v>
      </c>
      <c r="D10" s="18" t="s">
        <v>56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8" t="s">
        <v>57</v>
      </c>
      <c r="B11" s="12" t="s">
        <v>37</v>
      </c>
      <c r="C11" s="19" t="s">
        <v>41</v>
      </c>
      <c r="D11" s="18" t="s">
        <v>58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8" t="s">
        <v>59</v>
      </c>
      <c r="B12" s="12" t="s">
        <v>37</v>
      </c>
      <c r="C12" s="19" t="s">
        <v>41</v>
      </c>
      <c r="D12" s="18" t="s">
        <v>60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8" t="s">
        <v>61</v>
      </c>
      <c r="B13" s="12" t="s">
        <v>37</v>
      </c>
      <c r="C13" s="19" t="s">
        <v>41</v>
      </c>
      <c r="D13" s="18" t="s">
        <v>62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8" t="s">
        <v>63</v>
      </c>
      <c r="B14" s="12" t="s">
        <v>37</v>
      </c>
      <c r="C14" s="19" t="s">
        <v>34</v>
      </c>
      <c r="D14" s="18" t="s">
        <v>39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8" t="s">
        <v>64</v>
      </c>
      <c r="B15" s="12" t="s">
        <v>37</v>
      </c>
      <c r="C15" s="19" t="s">
        <v>41</v>
      </c>
      <c r="D15" s="18" t="s">
        <v>65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8" t="s">
        <v>66</v>
      </c>
      <c r="B16" s="12" t="s">
        <v>37</v>
      </c>
      <c r="C16" s="19" t="s">
        <v>41</v>
      </c>
      <c r="D16" s="18" t="s">
        <v>67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8" t="s">
        <v>68</v>
      </c>
      <c r="B17" s="12" t="s">
        <v>37</v>
      </c>
      <c r="C17" s="19" t="s">
        <v>41</v>
      </c>
      <c r="D17" s="18" t="s">
        <v>69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8" t="s">
        <v>70</v>
      </c>
      <c r="B18" s="12" t="s">
        <v>37</v>
      </c>
      <c r="C18" s="19" t="s">
        <v>41</v>
      </c>
      <c r="D18" s="18" t="s">
        <v>71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8" t="s">
        <v>72</v>
      </c>
      <c r="B19" s="12" t="s">
        <v>37</v>
      </c>
      <c r="C19" s="19" t="s">
        <v>41</v>
      </c>
      <c r="D19" s="18" t="s">
        <v>73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8" t="s">
        <v>74</v>
      </c>
      <c r="B20" s="12" t="s">
        <v>37</v>
      </c>
      <c r="C20" s="19" t="s">
        <v>41</v>
      </c>
      <c r="D20" s="18" t="s">
        <v>75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8" t="s">
        <v>76</v>
      </c>
      <c r="B21" s="12" t="s">
        <v>37</v>
      </c>
      <c r="C21" s="19" t="s">
        <v>41</v>
      </c>
      <c r="D21" s="18" t="s">
        <v>77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1" t="s">
        <v>78</v>
      </c>
      <c r="B22" s="12" t="s">
        <v>79</v>
      </c>
      <c r="C22" s="19" t="s">
        <v>38</v>
      </c>
      <c r="D22" s="21" t="s">
        <v>80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1" t="s">
        <v>81</v>
      </c>
      <c r="B23" s="12" t="s">
        <v>79</v>
      </c>
      <c r="C23" s="19" t="s">
        <v>41</v>
      </c>
      <c r="D23" s="21" t="s">
        <v>82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1" t="s">
        <v>83</v>
      </c>
      <c r="B24" s="12" t="s">
        <v>79</v>
      </c>
      <c r="C24" s="19" t="s">
        <v>41</v>
      </c>
      <c r="D24" s="21" t="s">
        <v>84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1" t="s">
        <v>85</v>
      </c>
      <c r="B25" s="12" t="s">
        <v>79</v>
      </c>
      <c r="C25" s="19" t="s">
        <v>41</v>
      </c>
      <c r="D25" s="21" t="s">
        <v>86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1" t="s">
        <v>87</v>
      </c>
      <c r="B26" s="12" t="s">
        <v>79</v>
      </c>
      <c r="C26" s="19" t="s">
        <v>41</v>
      </c>
      <c r="D26" s="21" t="s">
        <v>88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1" t="s">
        <v>89</v>
      </c>
      <c r="B27" s="12" t="s">
        <v>79</v>
      </c>
      <c r="C27" s="19" t="s">
        <v>41</v>
      </c>
      <c r="D27" s="21" t="s">
        <v>90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1" t="s">
        <v>91</v>
      </c>
      <c r="B28" s="12" t="s">
        <v>79</v>
      </c>
      <c r="C28" s="19" t="s">
        <v>41</v>
      </c>
      <c r="D28" s="21" t="s">
        <v>92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1" t="s">
        <v>93</v>
      </c>
      <c r="B29" s="12" t="s">
        <v>79</v>
      </c>
      <c r="C29" s="19" t="s">
        <v>41</v>
      </c>
      <c r="D29" s="21" t="s">
        <v>94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1" t="s">
        <v>95</v>
      </c>
      <c r="B30" s="12" t="s">
        <v>79</v>
      </c>
      <c r="C30" s="19" t="s">
        <v>41</v>
      </c>
      <c r="D30" s="21" t="s">
        <v>96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1" t="s">
        <v>97</v>
      </c>
      <c r="B31" s="12" t="s">
        <v>79</v>
      </c>
      <c r="C31" s="19" t="s">
        <v>41</v>
      </c>
      <c r="D31" s="21" t="s">
        <v>98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1" t="s">
        <v>99</v>
      </c>
      <c r="B32" s="12" t="s">
        <v>79</v>
      </c>
      <c r="C32" s="19" t="s">
        <v>41</v>
      </c>
      <c r="D32" s="21" t="s">
        <v>100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1" t="s">
        <v>101</v>
      </c>
      <c r="B33" s="12" t="s">
        <v>79</v>
      </c>
      <c r="C33" s="19" t="s">
        <v>41</v>
      </c>
      <c r="D33" s="21" t="s">
        <v>102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1" t="s">
        <v>103</v>
      </c>
      <c r="B34" s="12" t="s">
        <v>79</v>
      </c>
      <c r="C34" s="19" t="s">
        <v>34</v>
      </c>
      <c r="D34" s="21" t="s">
        <v>80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1" t="s">
        <v>104</v>
      </c>
      <c r="B35" s="12" t="s">
        <v>79</v>
      </c>
      <c r="C35" s="19" t="s">
        <v>41</v>
      </c>
      <c r="D35" s="21" t="s">
        <v>105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1" t="s">
        <v>106</v>
      </c>
      <c r="B36" s="12" t="s">
        <v>79</v>
      </c>
      <c r="C36" s="19" t="s">
        <v>41</v>
      </c>
      <c r="D36" s="21" t="s">
        <v>107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1" t="s">
        <v>108</v>
      </c>
      <c r="B37" s="12" t="s">
        <v>79</v>
      </c>
      <c r="C37" s="19" t="s">
        <v>41</v>
      </c>
      <c r="D37" s="21" t="s">
        <v>109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1" t="s">
        <v>110</v>
      </c>
      <c r="B38" s="12" t="s">
        <v>79</v>
      </c>
      <c r="C38" s="19" t="s">
        <v>41</v>
      </c>
      <c r="D38" s="21" t="s">
        <v>111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1" t="s">
        <v>112</v>
      </c>
      <c r="B39" s="12" t="s">
        <v>79</v>
      </c>
      <c r="C39" s="19" t="s">
        <v>41</v>
      </c>
      <c r="D39" s="21" t="s">
        <v>113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1" t="s">
        <v>114</v>
      </c>
      <c r="B40" s="12" t="s">
        <v>79</v>
      </c>
      <c r="C40" s="19" t="s">
        <v>41</v>
      </c>
      <c r="D40" s="21" t="s">
        <v>115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1" t="s">
        <v>116</v>
      </c>
      <c r="B41" s="12" t="s">
        <v>79</v>
      </c>
      <c r="C41" s="19" t="s">
        <v>41</v>
      </c>
      <c r="D41" s="21" t="s">
        <v>117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1" t="s">
        <v>118</v>
      </c>
      <c r="B42" s="12" t="s">
        <v>119</v>
      </c>
      <c r="C42" s="19" t="s">
        <v>38</v>
      </c>
      <c r="D42" s="21" t="s">
        <v>120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1" t="s">
        <v>121</v>
      </c>
      <c r="B43" s="12" t="s">
        <v>119</v>
      </c>
      <c r="C43" s="19" t="s">
        <v>41</v>
      </c>
      <c r="D43" s="21" t="s">
        <v>122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1" t="s">
        <v>123</v>
      </c>
      <c r="B44" s="12" t="s">
        <v>119</v>
      </c>
      <c r="C44" s="19" t="s">
        <v>41</v>
      </c>
      <c r="D44" s="21" t="s">
        <v>124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1" t="s">
        <v>125</v>
      </c>
      <c r="B45" s="12" t="s">
        <v>119</v>
      </c>
      <c r="C45" s="19" t="s">
        <v>41</v>
      </c>
      <c r="D45" s="21" t="s">
        <v>126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1" t="s">
        <v>127</v>
      </c>
      <c r="B46" s="12" t="s">
        <v>119</v>
      </c>
      <c r="C46" s="19" t="s">
        <v>41</v>
      </c>
      <c r="D46" s="21" t="s">
        <v>128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1" t="s">
        <v>129</v>
      </c>
      <c r="B47" s="12" t="s">
        <v>119</v>
      </c>
      <c r="C47" s="19" t="s">
        <v>41</v>
      </c>
      <c r="D47" s="21" t="s">
        <v>130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1" t="s">
        <v>131</v>
      </c>
      <c r="B48" s="12" t="s">
        <v>119</v>
      </c>
      <c r="C48" s="19" t="s">
        <v>41</v>
      </c>
      <c r="D48" s="21" t="s">
        <v>132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1" t="s">
        <v>133</v>
      </c>
      <c r="B49" s="12" t="s">
        <v>119</v>
      </c>
      <c r="C49" s="19" t="s">
        <v>41</v>
      </c>
      <c r="D49" s="21" t="s">
        <v>134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1" t="s">
        <v>135</v>
      </c>
      <c r="B50" s="12" t="s">
        <v>119</v>
      </c>
      <c r="C50" s="19" t="s">
        <v>41</v>
      </c>
      <c r="D50" s="21" t="s">
        <v>136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1" t="s">
        <v>137</v>
      </c>
      <c r="B51" s="12" t="s">
        <v>119</v>
      </c>
      <c r="C51" s="19" t="s">
        <v>41</v>
      </c>
      <c r="D51" s="21" t="s">
        <v>138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1" t="s">
        <v>139</v>
      </c>
      <c r="B52" s="12" t="s">
        <v>119</v>
      </c>
      <c r="C52" s="19" t="s">
        <v>41</v>
      </c>
      <c r="D52" s="21" t="s">
        <v>140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1" t="s">
        <v>141</v>
      </c>
      <c r="B53" s="12" t="s">
        <v>119</v>
      </c>
      <c r="C53" s="19" t="s">
        <v>41</v>
      </c>
      <c r="D53" s="21" t="s">
        <v>142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1" t="s">
        <v>143</v>
      </c>
      <c r="B54" s="12" t="s">
        <v>119</v>
      </c>
      <c r="C54" s="19" t="s">
        <v>34</v>
      </c>
      <c r="D54" s="21" t="s">
        <v>120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1" t="s">
        <v>144</v>
      </c>
      <c r="B55" s="12" t="s">
        <v>119</v>
      </c>
      <c r="C55" s="19" t="s">
        <v>41</v>
      </c>
      <c r="D55" s="21" t="s">
        <v>145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1" t="s">
        <v>146</v>
      </c>
      <c r="B56" s="12" t="s">
        <v>119</v>
      </c>
      <c r="C56" s="19" t="s">
        <v>41</v>
      </c>
      <c r="D56" s="21" t="s">
        <v>147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1" t="s">
        <v>148</v>
      </c>
      <c r="B57" s="12" t="s">
        <v>119</v>
      </c>
      <c r="C57" s="19" t="s">
        <v>41</v>
      </c>
      <c r="D57" s="21" t="s">
        <v>149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1" t="s">
        <v>150</v>
      </c>
      <c r="B58" s="12" t="s">
        <v>119</v>
      </c>
      <c r="C58" s="19" t="s">
        <v>41</v>
      </c>
      <c r="D58" s="21" t="s">
        <v>151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1" t="s">
        <v>152</v>
      </c>
      <c r="B59" s="12" t="s">
        <v>119</v>
      </c>
      <c r="C59" s="19" t="s">
        <v>41</v>
      </c>
      <c r="D59" s="21" t="s">
        <v>153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1" t="s">
        <v>154</v>
      </c>
      <c r="B60" s="12" t="s">
        <v>119</v>
      </c>
      <c r="C60" s="19" t="s">
        <v>41</v>
      </c>
      <c r="D60" s="21" t="s">
        <v>155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1" t="s">
        <v>156</v>
      </c>
      <c r="B61" s="12" t="s">
        <v>119</v>
      </c>
      <c r="C61" s="19" t="s">
        <v>41</v>
      </c>
      <c r="D61" s="21" t="s">
        <v>157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1" t="s">
        <v>158</v>
      </c>
      <c r="B62" s="12" t="s">
        <v>159</v>
      </c>
      <c r="C62" s="19" t="s">
        <v>38</v>
      </c>
      <c r="D62" s="21" t="s">
        <v>160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1" t="s">
        <v>161</v>
      </c>
      <c r="B63" s="12" t="s">
        <v>159</v>
      </c>
      <c r="C63" s="19" t="s">
        <v>41</v>
      </c>
      <c r="D63" s="21" t="s">
        <v>162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1" t="s">
        <v>163</v>
      </c>
      <c r="B64" s="12" t="s">
        <v>159</v>
      </c>
      <c r="C64" s="19" t="s">
        <v>41</v>
      </c>
      <c r="D64" s="21" t="s">
        <v>164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1" t="s">
        <v>165</v>
      </c>
      <c r="B65" s="12" t="s">
        <v>159</v>
      </c>
      <c r="C65" s="19" t="s">
        <v>41</v>
      </c>
      <c r="D65" s="21" t="s">
        <v>166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1" t="s">
        <v>167</v>
      </c>
      <c r="B66" s="12" t="s">
        <v>159</v>
      </c>
      <c r="C66" s="19" t="s">
        <v>41</v>
      </c>
      <c r="D66" s="21" t="s">
        <v>168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1" t="s">
        <v>169</v>
      </c>
      <c r="B67" s="12" t="s">
        <v>159</v>
      </c>
      <c r="C67" s="19" t="s">
        <v>41</v>
      </c>
      <c r="D67" s="21" t="s">
        <v>170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1" t="s">
        <v>171</v>
      </c>
      <c r="B68" s="12" t="s">
        <v>159</v>
      </c>
      <c r="C68" s="19" t="s">
        <v>41</v>
      </c>
      <c r="D68" s="21" t="s">
        <v>172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1" t="s">
        <v>173</v>
      </c>
      <c r="B69" s="12" t="s">
        <v>159</v>
      </c>
      <c r="C69" s="19" t="s">
        <v>41</v>
      </c>
      <c r="D69" s="21" t="s">
        <v>174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1" t="s">
        <v>175</v>
      </c>
      <c r="B70" s="12" t="s">
        <v>159</v>
      </c>
      <c r="C70" s="19" t="s">
        <v>41</v>
      </c>
      <c r="D70" s="21" t="s">
        <v>176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1" t="s">
        <v>177</v>
      </c>
      <c r="B71" s="12" t="s">
        <v>159</v>
      </c>
      <c r="C71" s="19" t="s">
        <v>41</v>
      </c>
      <c r="D71" s="21" t="s">
        <v>178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1" t="s">
        <v>179</v>
      </c>
      <c r="B72" s="12" t="s">
        <v>159</v>
      </c>
      <c r="C72" s="19" t="s">
        <v>41</v>
      </c>
      <c r="D72" s="21" t="s">
        <v>180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1" t="s">
        <v>181</v>
      </c>
      <c r="B73" s="12" t="s">
        <v>159</v>
      </c>
      <c r="C73" s="19" t="s">
        <v>41</v>
      </c>
      <c r="D73" s="21" t="s">
        <v>182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1" t="s">
        <v>183</v>
      </c>
      <c r="B74" s="12" t="s">
        <v>159</v>
      </c>
      <c r="C74" s="19" t="s">
        <v>34</v>
      </c>
      <c r="D74" s="21" t="s">
        <v>160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1" t="s">
        <v>184</v>
      </c>
      <c r="B75" s="12" t="s">
        <v>159</v>
      </c>
      <c r="C75" s="19" t="s">
        <v>41</v>
      </c>
      <c r="D75" s="21" t="s">
        <v>185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1" t="s">
        <v>186</v>
      </c>
      <c r="B76" s="12" t="s">
        <v>159</v>
      </c>
      <c r="C76" s="19" t="s">
        <v>41</v>
      </c>
      <c r="D76" s="21" t="s">
        <v>187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1" t="s">
        <v>188</v>
      </c>
      <c r="B77" s="12" t="s">
        <v>159</v>
      </c>
      <c r="C77" s="19" t="s">
        <v>41</v>
      </c>
      <c r="D77" s="21" t="s">
        <v>189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1" t="s">
        <v>190</v>
      </c>
      <c r="B78" s="12" t="s">
        <v>159</v>
      </c>
      <c r="C78" s="19" t="s">
        <v>41</v>
      </c>
      <c r="D78" s="21" t="s">
        <v>191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1" t="s">
        <v>192</v>
      </c>
      <c r="B79" s="12" t="s">
        <v>159</v>
      </c>
      <c r="C79" s="19" t="s">
        <v>41</v>
      </c>
      <c r="D79" s="21" t="s">
        <v>193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1" t="s">
        <v>194</v>
      </c>
      <c r="B80" s="12" t="s">
        <v>159</v>
      </c>
      <c r="C80" s="19" t="s">
        <v>41</v>
      </c>
      <c r="D80" s="21" t="s">
        <v>195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1" t="s">
        <v>196</v>
      </c>
      <c r="B81" s="12" t="s">
        <v>159</v>
      </c>
      <c r="C81" s="19" t="s">
        <v>41</v>
      </c>
      <c r="D81" s="21" t="s">
        <v>197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1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1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1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1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1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1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1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1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1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1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1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1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1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1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1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1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1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1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1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1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1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1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1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1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1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1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1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1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1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1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1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1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1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1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1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1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1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1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1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1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1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1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1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1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1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1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1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1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1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1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1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1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1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1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1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1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1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1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1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1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1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1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1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1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1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1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1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1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1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1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1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1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1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1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1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1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1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1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1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1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1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1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1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1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1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1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1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1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1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1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1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1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1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1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1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1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1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1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1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1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1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1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1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1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1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1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1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1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1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1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1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1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1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1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1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1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1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1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1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1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1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1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1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1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1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1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1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1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1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1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1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1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1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1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1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1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1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1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1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1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1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1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1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1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1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1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1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1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1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1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1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1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1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1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1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1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1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1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1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1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1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1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1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1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1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1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1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1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1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1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1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1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1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1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1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1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1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1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1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1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1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1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1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1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1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1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1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1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1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1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1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1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1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1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1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1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1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1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1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1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1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1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1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1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1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1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1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1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1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1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1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1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1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1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1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1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1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1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1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1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1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1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1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1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1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1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1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1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1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1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1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1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1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1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1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1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1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1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1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1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1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1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1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1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1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1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1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1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1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1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1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1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1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1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1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1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1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1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1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1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1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1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1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1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1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1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1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1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1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1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1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1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1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1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1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1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1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1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1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1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1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1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1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1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1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1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1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1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1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1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1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1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1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1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1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1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1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1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1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1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1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1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1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1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1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1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1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1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1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1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1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1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1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1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1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1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1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1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1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1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1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1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1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1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1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1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1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1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1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1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1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1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1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1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1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1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1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1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1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1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1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1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1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1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1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1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1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1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1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1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1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1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1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1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1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1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1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1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1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1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1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1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1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1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1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1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1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1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1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1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1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1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1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1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1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1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1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1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1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1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1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1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1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1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1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1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1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1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1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1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1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1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1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1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1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1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1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1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1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1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1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1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1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1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1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1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1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1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1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1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1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1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1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1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1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1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1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1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1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1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1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1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1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1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1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1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1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1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1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1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1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1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1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1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1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1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1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1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1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1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1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1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1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1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1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1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1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1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1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1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1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1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1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1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1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1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1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1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1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1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1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1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1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1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1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1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1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1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1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1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1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1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1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1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1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1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1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1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1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1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1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1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1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1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1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1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1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1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1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1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1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1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1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1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1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1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1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1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1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1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1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1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1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1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1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1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1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1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1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1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1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1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1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1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1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1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1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1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1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1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1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1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1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1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1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1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1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1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1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1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1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1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1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1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1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1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1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1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1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1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1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1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1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1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1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1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1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1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1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1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1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1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1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1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1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1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1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1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1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1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1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1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1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1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1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1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1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1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1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1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1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1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1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1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1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1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1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1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1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1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1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1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1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1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1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1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1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1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1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1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1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1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1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1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1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1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1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1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1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1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1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1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1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1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1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1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1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1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1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1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1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1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1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1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1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1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1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1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1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1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1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1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1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1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1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1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1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1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1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1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1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1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1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1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1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1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1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1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1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1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1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1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1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1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1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1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1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1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1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1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1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1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1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1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1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1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1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1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1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1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1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1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1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1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1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1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1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1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1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1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1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1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1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1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1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1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1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1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1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1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1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1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1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1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1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1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1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1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1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1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1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1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1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1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1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1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1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1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1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1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1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1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1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1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1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1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1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1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1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1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1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1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1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1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1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1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1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1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1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1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1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1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1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1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1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1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1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1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1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1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1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1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1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1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1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1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1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1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1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1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1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1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1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1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1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1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1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1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1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1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1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1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1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1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1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1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1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1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1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1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1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1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1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1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1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1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1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1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1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1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1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1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1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1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1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1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1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1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1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1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1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1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1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1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1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1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1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1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1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1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1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1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1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1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1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1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1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1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1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1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1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1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1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1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1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1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1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1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1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1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1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1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1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1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1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1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1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1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1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1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1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1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1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1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1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1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1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1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1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1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1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1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1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1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1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1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1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1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1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1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1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1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1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1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1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1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1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1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1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1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1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1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1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1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1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1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1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1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1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1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1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1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1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1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1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1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1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1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1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1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1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1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1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1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1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1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1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1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1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1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1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1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1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1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1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1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1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1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1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1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1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1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1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1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1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1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1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1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1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1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1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1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1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1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1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1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1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1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1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1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1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1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1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1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1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1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1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1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1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22.5" customHeight="1">
      <c r="A2" s="18" t="s">
        <v>198</v>
      </c>
      <c r="B2" s="12" t="s">
        <v>199</v>
      </c>
      <c r="C2" s="19" t="s">
        <v>38</v>
      </c>
      <c r="D2" s="18" t="s">
        <v>200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22.5" customHeight="1">
      <c r="A3" s="18" t="s">
        <v>201</v>
      </c>
      <c r="B3" s="12" t="s">
        <v>199</v>
      </c>
      <c r="C3" s="19" t="s">
        <v>41</v>
      </c>
      <c r="D3" s="18" t="s">
        <v>202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22.5" customHeight="1">
      <c r="A4" s="18" t="s">
        <v>203</v>
      </c>
      <c r="B4" s="12" t="s">
        <v>199</v>
      </c>
      <c r="C4" s="19" t="s">
        <v>41</v>
      </c>
      <c r="D4" s="18" t="s">
        <v>204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22.5" customHeight="1">
      <c r="A5" s="18" t="s">
        <v>205</v>
      </c>
      <c r="B5" s="12" t="s">
        <v>199</v>
      </c>
      <c r="C5" s="19" t="s">
        <v>41</v>
      </c>
      <c r="D5" s="18" t="s">
        <v>206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22.5" customHeight="1">
      <c r="A6" s="18" t="s">
        <v>207</v>
      </c>
      <c r="B6" s="12" t="s">
        <v>199</v>
      </c>
      <c r="C6" s="19" t="s">
        <v>41</v>
      </c>
      <c r="D6" s="18" t="s">
        <v>208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22.5" customHeight="1">
      <c r="A7" s="18" t="s">
        <v>209</v>
      </c>
      <c r="B7" s="12" t="s">
        <v>199</v>
      </c>
      <c r="C7" s="19" t="s">
        <v>41</v>
      </c>
      <c r="D7" s="18" t="s">
        <v>210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22.5" customHeight="1">
      <c r="A8" s="18" t="s">
        <v>211</v>
      </c>
      <c r="B8" s="12" t="s">
        <v>199</v>
      </c>
      <c r="C8" s="19" t="s">
        <v>41</v>
      </c>
      <c r="D8" s="18" t="s">
        <v>212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22.5" customHeight="1">
      <c r="A9" s="18" t="s">
        <v>213</v>
      </c>
      <c r="B9" s="12" t="s">
        <v>199</v>
      </c>
      <c r="C9" s="19" t="s">
        <v>41</v>
      </c>
      <c r="D9" s="18" t="s">
        <v>214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22.5" customHeight="1">
      <c r="A10" s="18" t="s">
        <v>215</v>
      </c>
      <c r="B10" s="12" t="s">
        <v>199</v>
      </c>
      <c r="C10" s="19" t="s">
        <v>41</v>
      </c>
      <c r="D10" s="18" t="s">
        <v>216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22.5" customHeight="1">
      <c r="A11" s="18" t="s">
        <v>217</v>
      </c>
      <c r="B11" s="12" t="s">
        <v>199</v>
      </c>
      <c r="C11" s="19" t="s">
        <v>41</v>
      </c>
      <c r="D11" s="18" t="s">
        <v>218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22.5" customHeight="1">
      <c r="A12" s="18" t="s">
        <v>219</v>
      </c>
      <c r="B12" s="12" t="s">
        <v>199</v>
      </c>
      <c r="C12" s="19" t="s">
        <v>41</v>
      </c>
      <c r="D12" s="18" t="s">
        <v>220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22.5" customHeight="1">
      <c r="A13" s="18" t="s">
        <v>221</v>
      </c>
      <c r="B13" s="12" t="s">
        <v>199</v>
      </c>
      <c r="C13" s="19" t="s">
        <v>41</v>
      </c>
      <c r="D13" s="18" t="s">
        <v>222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22.5" customHeight="1">
      <c r="A14" s="18" t="s">
        <v>223</v>
      </c>
      <c r="B14" s="12" t="s">
        <v>199</v>
      </c>
      <c r="C14" s="19" t="s">
        <v>34</v>
      </c>
      <c r="D14" s="18" t="s">
        <v>200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22.5" customHeight="1">
      <c r="A15" s="18" t="s">
        <v>224</v>
      </c>
      <c r="B15" s="12" t="s">
        <v>199</v>
      </c>
      <c r="C15" s="19" t="s">
        <v>41</v>
      </c>
      <c r="D15" s="18" t="s">
        <v>225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22.5" customHeight="1">
      <c r="A16" s="18" t="s">
        <v>226</v>
      </c>
      <c r="B16" s="12" t="s">
        <v>199</v>
      </c>
      <c r="C16" s="19" t="s">
        <v>41</v>
      </c>
      <c r="D16" s="18" t="s">
        <v>227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22.5" customHeight="1">
      <c r="A17" s="18" t="s">
        <v>228</v>
      </c>
      <c r="B17" s="12" t="s">
        <v>199</v>
      </c>
      <c r="C17" s="19" t="s">
        <v>41</v>
      </c>
      <c r="D17" s="18" t="s">
        <v>229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22.5" customHeight="1">
      <c r="A18" s="18" t="s">
        <v>230</v>
      </c>
      <c r="B18" s="12" t="s">
        <v>199</v>
      </c>
      <c r="C18" s="19" t="s">
        <v>41</v>
      </c>
      <c r="D18" s="18" t="s">
        <v>231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22.5" customHeight="1">
      <c r="A19" s="18" t="s">
        <v>232</v>
      </c>
      <c r="B19" s="12" t="s">
        <v>199</v>
      </c>
      <c r="C19" s="19" t="s">
        <v>41</v>
      </c>
      <c r="D19" s="18" t="s">
        <v>233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22.5" customHeight="1">
      <c r="A20" s="18" t="s">
        <v>234</v>
      </c>
      <c r="B20" s="12" t="s">
        <v>199</v>
      </c>
      <c r="C20" s="19" t="s">
        <v>41</v>
      </c>
      <c r="D20" s="18" t="s">
        <v>235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22.5" customHeight="1">
      <c r="A21" s="18" t="s">
        <v>236</v>
      </c>
      <c r="B21" s="12" t="s">
        <v>199</v>
      </c>
      <c r="C21" s="19" t="s">
        <v>41</v>
      </c>
      <c r="D21" s="18" t="s">
        <v>237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22.5" customHeight="1">
      <c r="A22" s="21" t="s">
        <v>238</v>
      </c>
      <c r="B22" s="12" t="s">
        <v>239</v>
      </c>
      <c r="C22" s="19" t="s">
        <v>38</v>
      </c>
      <c r="D22" s="21" t="s">
        <v>240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22.5" customHeight="1">
      <c r="A23" s="21" t="s">
        <v>241</v>
      </c>
      <c r="B23" s="12" t="s">
        <v>239</v>
      </c>
      <c r="C23" s="19" t="s">
        <v>41</v>
      </c>
      <c r="D23" s="21" t="s">
        <v>242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22.5" customHeight="1">
      <c r="A24" s="21" t="s">
        <v>243</v>
      </c>
      <c r="B24" s="12" t="s">
        <v>239</v>
      </c>
      <c r="C24" s="19" t="s">
        <v>41</v>
      </c>
      <c r="D24" s="21" t="s">
        <v>244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22.5" customHeight="1">
      <c r="A25" s="21" t="s">
        <v>245</v>
      </c>
      <c r="B25" s="12" t="s">
        <v>239</v>
      </c>
      <c r="C25" s="19" t="s">
        <v>41</v>
      </c>
      <c r="D25" s="21" t="s">
        <v>246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22.5" customHeight="1">
      <c r="A26" s="21" t="s">
        <v>247</v>
      </c>
      <c r="B26" s="12" t="s">
        <v>239</v>
      </c>
      <c r="C26" s="19" t="s">
        <v>41</v>
      </c>
      <c r="D26" s="21" t="s">
        <v>248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22.5" customHeight="1">
      <c r="A27" s="21" t="s">
        <v>249</v>
      </c>
      <c r="B27" s="12" t="s">
        <v>239</v>
      </c>
      <c r="C27" s="19" t="s">
        <v>41</v>
      </c>
      <c r="D27" s="21" t="s">
        <v>250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22.5" customHeight="1">
      <c r="A28" s="21" t="s">
        <v>251</v>
      </c>
      <c r="B28" s="12" t="s">
        <v>239</v>
      </c>
      <c r="C28" s="19" t="s">
        <v>41</v>
      </c>
      <c r="D28" s="21" t="s">
        <v>252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22.5" customHeight="1">
      <c r="A29" s="21" t="s">
        <v>253</v>
      </c>
      <c r="B29" s="12" t="s">
        <v>239</v>
      </c>
      <c r="C29" s="19" t="s">
        <v>41</v>
      </c>
      <c r="D29" s="21" t="s">
        <v>254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22.5" customHeight="1">
      <c r="A30" s="21" t="s">
        <v>255</v>
      </c>
      <c r="B30" s="12" t="s">
        <v>239</v>
      </c>
      <c r="C30" s="19" t="s">
        <v>41</v>
      </c>
      <c r="D30" s="21" t="s">
        <v>256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22.5" customHeight="1">
      <c r="A31" s="21" t="s">
        <v>257</v>
      </c>
      <c r="B31" s="12" t="s">
        <v>239</v>
      </c>
      <c r="C31" s="19" t="s">
        <v>41</v>
      </c>
      <c r="D31" s="21" t="s">
        <v>258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22.5" customHeight="1">
      <c r="A32" s="21" t="s">
        <v>259</v>
      </c>
      <c r="B32" s="12" t="s">
        <v>239</v>
      </c>
      <c r="C32" s="19" t="s">
        <v>41</v>
      </c>
      <c r="D32" s="21" t="s">
        <v>260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22.5" customHeight="1">
      <c r="A33" s="21" t="s">
        <v>261</v>
      </c>
      <c r="B33" s="12" t="s">
        <v>239</v>
      </c>
      <c r="C33" s="19" t="s">
        <v>41</v>
      </c>
      <c r="D33" s="21" t="s">
        <v>262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22.5" customHeight="1">
      <c r="A34" s="21" t="s">
        <v>263</v>
      </c>
      <c r="B34" s="12" t="s">
        <v>239</v>
      </c>
      <c r="C34" s="19" t="s">
        <v>34</v>
      </c>
      <c r="D34" s="21" t="s">
        <v>240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22.5" customHeight="1">
      <c r="A35" s="21" t="s">
        <v>264</v>
      </c>
      <c r="B35" s="12" t="s">
        <v>239</v>
      </c>
      <c r="C35" s="19" t="s">
        <v>41</v>
      </c>
      <c r="D35" s="21" t="s">
        <v>265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22.5" customHeight="1">
      <c r="A36" s="21" t="s">
        <v>266</v>
      </c>
      <c r="B36" s="12" t="s">
        <v>239</v>
      </c>
      <c r="C36" s="19" t="s">
        <v>41</v>
      </c>
      <c r="D36" s="21" t="s">
        <v>267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22.5" customHeight="1">
      <c r="A37" s="21" t="s">
        <v>268</v>
      </c>
      <c r="B37" s="12" t="s">
        <v>239</v>
      </c>
      <c r="C37" s="19" t="s">
        <v>41</v>
      </c>
      <c r="D37" s="21" t="s">
        <v>269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22.5" customHeight="1">
      <c r="A38" s="21" t="s">
        <v>270</v>
      </c>
      <c r="B38" s="12" t="s">
        <v>239</v>
      </c>
      <c r="C38" s="19" t="s">
        <v>41</v>
      </c>
      <c r="D38" s="21" t="s">
        <v>271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22.5" customHeight="1">
      <c r="A39" s="21" t="s">
        <v>272</v>
      </c>
      <c r="B39" s="12" t="s">
        <v>239</v>
      </c>
      <c r="C39" s="19" t="s">
        <v>41</v>
      </c>
      <c r="D39" s="21" t="s">
        <v>273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22.5" customHeight="1">
      <c r="A40" s="21" t="s">
        <v>274</v>
      </c>
      <c r="B40" s="12" t="s">
        <v>239</v>
      </c>
      <c r="C40" s="19" t="s">
        <v>41</v>
      </c>
      <c r="D40" s="21" t="s">
        <v>275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22.5" customHeight="1">
      <c r="A41" s="21" t="s">
        <v>276</v>
      </c>
      <c r="B41" s="12" t="s">
        <v>239</v>
      </c>
      <c r="C41" s="19" t="s">
        <v>41</v>
      </c>
      <c r="D41" s="21" t="s">
        <v>277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22.5" customHeight="1">
      <c r="A42" s="21" t="s">
        <v>278</v>
      </c>
      <c r="B42" s="12" t="s">
        <v>279</v>
      </c>
      <c r="C42" s="19" t="s">
        <v>38</v>
      </c>
      <c r="D42" s="21" t="s">
        <v>280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22.5" customHeight="1">
      <c r="A43" s="21" t="s">
        <v>281</v>
      </c>
      <c r="B43" s="12" t="s">
        <v>279</v>
      </c>
      <c r="C43" s="19" t="s">
        <v>41</v>
      </c>
      <c r="D43" s="21" t="s">
        <v>282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22.5" customHeight="1">
      <c r="A44" s="21" t="s">
        <v>283</v>
      </c>
      <c r="B44" s="12" t="s">
        <v>279</v>
      </c>
      <c r="C44" s="19" t="s">
        <v>41</v>
      </c>
      <c r="D44" s="21" t="s">
        <v>284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22.5" customHeight="1">
      <c r="A45" s="21" t="s">
        <v>285</v>
      </c>
      <c r="B45" s="12" t="s">
        <v>279</v>
      </c>
      <c r="C45" s="19" t="s">
        <v>41</v>
      </c>
      <c r="D45" s="21" t="s">
        <v>286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22.5" customHeight="1">
      <c r="A46" s="21" t="s">
        <v>287</v>
      </c>
      <c r="B46" s="12" t="s">
        <v>279</v>
      </c>
      <c r="C46" s="19" t="s">
        <v>41</v>
      </c>
      <c r="D46" s="21" t="s">
        <v>288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22.5" customHeight="1">
      <c r="A47" s="21" t="s">
        <v>289</v>
      </c>
      <c r="B47" s="12" t="s">
        <v>279</v>
      </c>
      <c r="C47" s="19" t="s">
        <v>41</v>
      </c>
      <c r="D47" s="21" t="s">
        <v>290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22.5" customHeight="1">
      <c r="A48" s="21" t="s">
        <v>291</v>
      </c>
      <c r="B48" s="12" t="s">
        <v>279</v>
      </c>
      <c r="C48" s="19" t="s">
        <v>41</v>
      </c>
      <c r="D48" s="21" t="s">
        <v>292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22.5" customHeight="1">
      <c r="A49" s="21" t="s">
        <v>293</v>
      </c>
      <c r="B49" s="12" t="s">
        <v>279</v>
      </c>
      <c r="C49" s="19" t="s">
        <v>41</v>
      </c>
      <c r="D49" s="21" t="s">
        <v>294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22.5" customHeight="1">
      <c r="A50" s="21" t="s">
        <v>295</v>
      </c>
      <c r="B50" s="12" t="s">
        <v>279</v>
      </c>
      <c r="C50" s="19" t="s">
        <v>41</v>
      </c>
      <c r="D50" s="21" t="s">
        <v>296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22.5" customHeight="1">
      <c r="A51" s="21" t="s">
        <v>297</v>
      </c>
      <c r="B51" s="12" t="s">
        <v>279</v>
      </c>
      <c r="C51" s="19" t="s">
        <v>41</v>
      </c>
      <c r="D51" s="21" t="s">
        <v>298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22.5" customHeight="1">
      <c r="A52" s="21" t="s">
        <v>299</v>
      </c>
      <c r="B52" s="12" t="s">
        <v>279</v>
      </c>
      <c r="C52" s="19" t="s">
        <v>41</v>
      </c>
      <c r="D52" s="21" t="s">
        <v>300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22.5" customHeight="1">
      <c r="A53" s="21" t="s">
        <v>301</v>
      </c>
      <c r="B53" s="12" t="s">
        <v>279</v>
      </c>
      <c r="C53" s="19" t="s">
        <v>41</v>
      </c>
      <c r="D53" s="21" t="s">
        <v>302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22.5" customHeight="1">
      <c r="A54" s="21" t="s">
        <v>303</v>
      </c>
      <c r="B54" s="12" t="s">
        <v>279</v>
      </c>
      <c r="C54" s="19" t="s">
        <v>34</v>
      </c>
      <c r="D54" s="21" t="s">
        <v>280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22.5" customHeight="1">
      <c r="A55" s="21" t="s">
        <v>304</v>
      </c>
      <c r="B55" s="12" t="s">
        <v>279</v>
      </c>
      <c r="C55" s="19" t="s">
        <v>41</v>
      </c>
      <c r="D55" s="21" t="s">
        <v>305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22.5" customHeight="1">
      <c r="A56" s="21" t="s">
        <v>306</v>
      </c>
      <c r="B56" s="12" t="s">
        <v>279</v>
      </c>
      <c r="C56" s="19" t="s">
        <v>41</v>
      </c>
      <c r="D56" s="21" t="s">
        <v>307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22.5" customHeight="1">
      <c r="A57" s="21" t="s">
        <v>308</v>
      </c>
      <c r="B57" s="12" t="s">
        <v>279</v>
      </c>
      <c r="C57" s="19" t="s">
        <v>41</v>
      </c>
      <c r="D57" s="21" t="s">
        <v>309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22.5" customHeight="1">
      <c r="A58" s="21" t="s">
        <v>310</v>
      </c>
      <c r="B58" s="12" t="s">
        <v>279</v>
      </c>
      <c r="C58" s="19" t="s">
        <v>41</v>
      </c>
      <c r="D58" s="21" t="s">
        <v>311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22.5" customHeight="1">
      <c r="A59" s="21" t="s">
        <v>312</v>
      </c>
      <c r="B59" s="12" t="s">
        <v>279</v>
      </c>
      <c r="C59" s="19" t="s">
        <v>41</v>
      </c>
      <c r="D59" s="21" t="s">
        <v>313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22.5" customHeight="1">
      <c r="A60" s="21" t="s">
        <v>314</v>
      </c>
      <c r="B60" s="12" t="s">
        <v>279</v>
      </c>
      <c r="C60" s="19" t="s">
        <v>41</v>
      </c>
      <c r="D60" s="21" t="s">
        <v>315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22.5" customHeight="1">
      <c r="A61" s="21" t="s">
        <v>316</v>
      </c>
      <c r="B61" s="12" t="s">
        <v>279</v>
      </c>
      <c r="C61" s="19" t="s">
        <v>41</v>
      </c>
      <c r="D61" s="21" t="s">
        <v>317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22.5" customHeight="1">
      <c r="A62" s="21" t="s">
        <v>318</v>
      </c>
      <c r="B62" s="12" t="s">
        <v>319</v>
      </c>
      <c r="C62" s="19" t="s">
        <v>38</v>
      </c>
      <c r="D62" s="21" t="s">
        <v>320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22.5" customHeight="1">
      <c r="A63" s="21" t="s">
        <v>321</v>
      </c>
      <c r="B63" s="12" t="s">
        <v>319</v>
      </c>
      <c r="C63" s="19" t="s">
        <v>41</v>
      </c>
      <c r="D63" s="21" t="s">
        <v>322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22.5" customHeight="1">
      <c r="A64" s="21" t="s">
        <v>323</v>
      </c>
      <c r="B64" s="12" t="s">
        <v>319</v>
      </c>
      <c r="C64" s="19" t="s">
        <v>41</v>
      </c>
      <c r="D64" s="21" t="s">
        <v>324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22.5" customHeight="1">
      <c r="A65" s="21" t="s">
        <v>325</v>
      </c>
      <c r="B65" s="12" t="s">
        <v>319</v>
      </c>
      <c r="C65" s="19" t="s">
        <v>41</v>
      </c>
      <c r="D65" s="21" t="s">
        <v>326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22.5" customHeight="1">
      <c r="A66" s="21" t="s">
        <v>327</v>
      </c>
      <c r="B66" s="12" t="s">
        <v>319</v>
      </c>
      <c r="C66" s="19" t="s">
        <v>41</v>
      </c>
      <c r="D66" s="21" t="s">
        <v>328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22.5" customHeight="1">
      <c r="A67" s="21" t="s">
        <v>329</v>
      </c>
      <c r="B67" s="12" t="s">
        <v>319</v>
      </c>
      <c r="C67" s="19" t="s">
        <v>41</v>
      </c>
      <c r="D67" s="21" t="s">
        <v>330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22.5" customHeight="1">
      <c r="A68" s="21" t="s">
        <v>331</v>
      </c>
      <c r="B68" s="12" t="s">
        <v>319</v>
      </c>
      <c r="C68" s="19" t="s">
        <v>41</v>
      </c>
      <c r="D68" s="21" t="s">
        <v>332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22.5" customHeight="1">
      <c r="A69" s="21" t="s">
        <v>333</v>
      </c>
      <c r="B69" s="12" t="s">
        <v>319</v>
      </c>
      <c r="C69" s="19" t="s">
        <v>41</v>
      </c>
      <c r="D69" s="21" t="s">
        <v>334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22.5" customHeight="1">
      <c r="A70" s="21" t="s">
        <v>335</v>
      </c>
      <c r="B70" s="12" t="s">
        <v>319</v>
      </c>
      <c r="C70" s="19" t="s">
        <v>41</v>
      </c>
      <c r="D70" s="21" t="s">
        <v>336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22.5" customHeight="1">
      <c r="A71" s="21" t="s">
        <v>337</v>
      </c>
      <c r="B71" s="12" t="s">
        <v>319</v>
      </c>
      <c r="C71" s="19" t="s">
        <v>41</v>
      </c>
      <c r="D71" s="21" t="s">
        <v>338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22.5" customHeight="1">
      <c r="A72" s="21" t="s">
        <v>339</v>
      </c>
      <c r="B72" s="12" t="s">
        <v>319</v>
      </c>
      <c r="C72" s="19" t="s">
        <v>41</v>
      </c>
      <c r="D72" s="21" t="s">
        <v>340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22.5" customHeight="1">
      <c r="A73" s="21" t="s">
        <v>341</v>
      </c>
      <c r="B73" s="12" t="s">
        <v>319</v>
      </c>
      <c r="C73" s="19" t="s">
        <v>41</v>
      </c>
      <c r="D73" s="21" t="s">
        <v>342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22.5" customHeight="1">
      <c r="A74" s="21" t="s">
        <v>343</v>
      </c>
      <c r="B74" s="12" t="s">
        <v>319</v>
      </c>
      <c r="C74" s="19" t="s">
        <v>34</v>
      </c>
      <c r="D74" s="21" t="s">
        <v>320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22.5" customHeight="1">
      <c r="A75" s="21" t="s">
        <v>344</v>
      </c>
      <c r="B75" s="12" t="s">
        <v>319</v>
      </c>
      <c r="C75" s="19" t="s">
        <v>41</v>
      </c>
      <c r="D75" s="21" t="s">
        <v>345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22.5" customHeight="1">
      <c r="A76" s="21" t="s">
        <v>346</v>
      </c>
      <c r="B76" s="12" t="s">
        <v>319</v>
      </c>
      <c r="C76" s="19" t="s">
        <v>41</v>
      </c>
      <c r="D76" s="21" t="s">
        <v>347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22.5" customHeight="1">
      <c r="A77" s="21" t="s">
        <v>348</v>
      </c>
      <c r="B77" s="12" t="s">
        <v>319</v>
      </c>
      <c r="C77" s="19" t="s">
        <v>41</v>
      </c>
      <c r="D77" s="21" t="s">
        <v>349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22.5" customHeight="1">
      <c r="A78" s="21" t="s">
        <v>350</v>
      </c>
      <c r="B78" s="12" t="s">
        <v>319</v>
      </c>
      <c r="C78" s="19" t="s">
        <v>41</v>
      </c>
      <c r="D78" s="21" t="s">
        <v>351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22.5" customHeight="1">
      <c r="A79" s="21" t="s">
        <v>352</v>
      </c>
      <c r="B79" s="12" t="s">
        <v>319</v>
      </c>
      <c r="C79" s="19" t="s">
        <v>41</v>
      </c>
      <c r="D79" s="21" t="s">
        <v>353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22.5" customHeight="1">
      <c r="A80" s="21" t="s">
        <v>354</v>
      </c>
      <c r="B80" s="12" t="s">
        <v>319</v>
      </c>
      <c r="C80" s="19" t="s">
        <v>41</v>
      </c>
      <c r="D80" s="21" t="s">
        <v>355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22.5" customHeight="1">
      <c r="A81" s="21" t="s">
        <v>356</v>
      </c>
      <c r="B81" s="12" t="s">
        <v>319</v>
      </c>
      <c r="C81" s="19" t="s">
        <v>41</v>
      </c>
      <c r="D81" s="21" t="s">
        <v>357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22.5" customHeight="1">
      <c r="A82" s="21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22.5" customHeight="1">
      <c r="A83" s="21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22.5" customHeight="1">
      <c r="A84" s="21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22.5" customHeight="1">
      <c r="A85" s="21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22.5" customHeight="1">
      <c r="A86" s="21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22.5" customHeight="1">
      <c r="A87" s="21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22.5" customHeight="1">
      <c r="A88" s="21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22.5" customHeight="1">
      <c r="A89" s="21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22.5" customHeight="1">
      <c r="A90" s="21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22.5" customHeight="1">
      <c r="A91" s="21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22.5" customHeight="1">
      <c r="A92" s="21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22.5" customHeight="1">
      <c r="A93" s="21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22.5" customHeight="1">
      <c r="A94" s="21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22.5" customHeight="1">
      <c r="A95" s="21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22.5" customHeight="1">
      <c r="A96" s="21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22.5" customHeight="1">
      <c r="A97" s="21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22.5" customHeight="1">
      <c r="A98" s="21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22.5" customHeight="1">
      <c r="A99" s="21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22.5" customHeight="1">
      <c r="A100" s="21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22.5" customHeight="1">
      <c r="A101" s="21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22.5" customHeight="1">
      <c r="A102" s="21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22.5" customHeight="1">
      <c r="A103" s="21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22.5" customHeight="1">
      <c r="A104" s="21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22.5" customHeight="1">
      <c r="A105" s="21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22.5" customHeight="1">
      <c r="A106" s="21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22.5" customHeight="1">
      <c r="A107" s="21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22.5" customHeight="1">
      <c r="A108" s="21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22.5" customHeight="1">
      <c r="A109" s="21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22.5" customHeight="1">
      <c r="A110" s="21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22.5" customHeight="1">
      <c r="A111" s="21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22.5" customHeight="1">
      <c r="A112" s="21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22.5" customHeight="1">
      <c r="A113" s="21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22.5" customHeight="1">
      <c r="A114" s="21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22.5" customHeight="1">
      <c r="A115" s="21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22.5" customHeight="1">
      <c r="A116" s="21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22.5" customHeight="1">
      <c r="A117" s="21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22.5" customHeight="1">
      <c r="A118" s="21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22.5" customHeight="1">
      <c r="A119" s="21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22.5" customHeight="1">
      <c r="A120" s="21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22.5" customHeight="1">
      <c r="A121" s="21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22.5" customHeight="1">
      <c r="A122" s="21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22.5" customHeight="1">
      <c r="A123" s="21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22.5" customHeight="1">
      <c r="A124" s="21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22.5" customHeight="1">
      <c r="A125" s="21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22.5" customHeight="1">
      <c r="A126" s="21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22.5" customHeight="1">
      <c r="A127" s="21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22.5" customHeight="1">
      <c r="A128" s="21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22.5" customHeight="1">
      <c r="A129" s="21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22.5" customHeight="1">
      <c r="A130" s="21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22.5" customHeight="1">
      <c r="A131" s="21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22.5" customHeight="1">
      <c r="A132" s="21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22.5" customHeight="1">
      <c r="A133" s="21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22.5" customHeight="1">
      <c r="A134" s="21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22.5" customHeight="1">
      <c r="A135" s="21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22.5" customHeight="1">
      <c r="A136" s="21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22.5" customHeight="1">
      <c r="A137" s="21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22.5" customHeight="1">
      <c r="A138" s="21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22.5" customHeight="1">
      <c r="A139" s="21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22.5" customHeight="1">
      <c r="A140" s="21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22.5" customHeight="1">
      <c r="A141" s="21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22.5" customHeight="1">
      <c r="A142" s="21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22.5" customHeight="1">
      <c r="A143" s="21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22.5" customHeight="1">
      <c r="A144" s="21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22.5" customHeight="1">
      <c r="A145" s="21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22.5" customHeight="1">
      <c r="A146" s="21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22.5" customHeight="1">
      <c r="A147" s="21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22.5" customHeight="1">
      <c r="A148" s="21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22.5" customHeight="1">
      <c r="A149" s="21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22.5" customHeight="1">
      <c r="A150" s="21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22.5" customHeight="1">
      <c r="A151" s="21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22.5" customHeight="1">
      <c r="A152" s="21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22.5" customHeight="1">
      <c r="A153" s="21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22.5" customHeight="1">
      <c r="A154" s="21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22.5" customHeight="1">
      <c r="A155" s="21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22.5" customHeight="1">
      <c r="A156" s="21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22.5" customHeight="1">
      <c r="A157" s="21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22.5" customHeight="1">
      <c r="A158" s="21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22.5" customHeight="1">
      <c r="A159" s="21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22.5" customHeight="1">
      <c r="A160" s="21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22.5" customHeight="1">
      <c r="A161" s="21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22.5" customHeight="1">
      <c r="A162" s="21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22.5" customHeight="1">
      <c r="A163" s="21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22.5" customHeight="1">
      <c r="A164" s="21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22.5" customHeight="1">
      <c r="A165" s="21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22.5" customHeight="1">
      <c r="A166" s="21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22.5" customHeight="1">
      <c r="A167" s="21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22.5" customHeight="1">
      <c r="A168" s="21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22.5" customHeight="1">
      <c r="A169" s="21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22.5" customHeight="1">
      <c r="A170" s="21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22.5" customHeight="1">
      <c r="A171" s="21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22.5" customHeight="1">
      <c r="A172" s="21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22.5" customHeight="1">
      <c r="A173" s="21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22.5" customHeight="1">
      <c r="A174" s="21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22.5" customHeight="1">
      <c r="A175" s="21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22.5" customHeight="1">
      <c r="A176" s="21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22.5" customHeight="1">
      <c r="A177" s="21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22.5" customHeight="1">
      <c r="A178" s="21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22.5" customHeight="1">
      <c r="A179" s="21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22.5" customHeight="1">
      <c r="A180" s="21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22.5" customHeight="1">
      <c r="A181" s="21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22.5" customHeight="1">
      <c r="A182" s="21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22.5" customHeight="1">
      <c r="A183" s="21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22.5" customHeight="1">
      <c r="A184" s="21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22.5" customHeight="1">
      <c r="A185" s="21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22.5" customHeight="1">
      <c r="A186" s="21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22.5" customHeight="1">
      <c r="A187" s="21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22.5" customHeight="1">
      <c r="A188" s="21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22.5" customHeight="1">
      <c r="A189" s="21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22.5" customHeight="1">
      <c r="A190" s="21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22.5" customHeight="1">
      <c r="A191" s="21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22.5" customHeight="1">
      <c r="A192" s="21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22.5" customHeight="1">
      <c r="A193" s="21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22.5" customHeight="1">
      <c r="A194" s="21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22.5" customHeight="1">
      <c r="A195" s="21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22.5" customHeight="1">
      <c r="A196" s="21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22.5" customHeight="1">
      <c r="A197" s="21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22.5" customHeight="1">
      <c r="A198" s="21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22.5" customHeight="1">
      <c r="A199" s="21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22.5" customHeight="1">
      <c r="A200" s="21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22.5" customHeight="1">
      <c r="A201" s="21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22.5" customHeight="1">
      <c r="A202" s="21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22.5" customHeight="1">
      <c r="A203" s="21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22.5" customHeight="1">
      <c r="A204" s="21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22.5" customHeight="1">
      <c r="A205" s="21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22.5" customHeight="1">
      <c r="A206" s="21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22.5" customHeight="1">
      <c r="A207" s="21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22.5" customHeight="1">
      <c r="A208" s="21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22.5" customHeight="1">
      <c r="A209" s="21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22.5" customHeight="1">
      <c r="A210" s="21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22.5" customHeight="1">
      <c r="A211" s="21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22.5" customHeight="1">
      <c r="A212" s="21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22.5" customHeight="1">
      <c r="A213" s="21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22.5" customHeight="1">
      <c r="A214" s="21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22.5" customHeight="1">
      <c r="A215" s="21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22.5" customHeight="1">
      <c r="A216" s="21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22.5" customHeight="1">
      <c r="A217" s="21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22.5" customHeight="1">
      <c r="A218" s="21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22.5" customHeight="1">
      <c r="A219" s="21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22.5" customHeight="1">
      <c r="A220" s="21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22.5" customHeight="1">
      <c r="A221" s="21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22.5" customHeight="1">
      <c r="A222" s="21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22.5" customHeight="1">
      <c r="A223" s="21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22.5" customHeight="1">
      <c r="A224" s="21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22.5" customHeight="1">
      <c r="A225" s="21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22.5" customHeight="1">
      <c r="A226" s="21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22.5" customHeight="1">
      <c r="A227" s="21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22.5" customHeight="1">
      <c r="A228" s="21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22.5" customHeight="1">
      <c r="A229" s="21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22.5" customHeight="1">
      <c r="A230" s="21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22.5" customHeight="1">
      <c r="A231" s="21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22.5" customHeight="1">
      <c r="A232" s="21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ht="22.5" customHeight="1">
      <c r="A233" s="21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ht="22.5" customHeight="1">
      <c r="A234" s="21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ht="22.5" customHeight="1">
      <c r="A235" s="21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ht="22.5" customHeight="1">
      <c r="A236" s="21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ht="22.5" customHeight="1">
      <c r="A237" s="21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ht="22.5" customHeight="1">
      <c r="A238" s="21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ht="22.5" customHeight="1">
      <c r="A239" s="21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ht="22.5" customHeight="1">
      <c r="A240" s="21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ht="22.5" customHeight="1">
      <c r="A241" s="21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ht="22.5" customHeight="1">
      <c r="A242" s="21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ht="22.5" customHeight="1">
      <c r="A243" s="21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ht="22.5" customHeight="1">
      <c r="A244" s="21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ht="22.5" customHeight="1">
      <c r="A245" s="21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ht="22.5" customHeight="1">
      <c r="A246" s="21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ht="22.5" customHeight="1">
      <c r="A247" s="21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ht="22.5" customHeight="1">
      <c r="A248" s="21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ht="22.5" customHeight="1">
      <c r="A249" s="21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ht="22.5" customHeight="1">
      <c r="A250" s="21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ht="22.5" customHeight="1">
      <c r="A251" s="21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ht="22.5" customHeight="1">
      <c r="A252" s="21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ht="22.5" customHeight="1">
      <c r="A253" s="21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ht="22.5" customHeight="1">
      <c r="A254" s="21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ht="22.5" customHeight="1">
      <c r="A255" s="21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ht="22.5" customHeight="1">
      <c r="A256" s="21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ht="22.5" customHeight="1">
      <c r="A257" s="21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ht="22.5" customHeight="1">
      <c r="A258" s="21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ht="22.5" customHeight="1">
      <c r="A259" s="21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ht="22.5" customHeight="1">
      <c r="A260" s="21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ht="22.5" customHeight="1">
      <c r="A261" s="21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ht="22.5" customHeight="1">
      <c r="A262" s="21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ht="22.5" customHeight="1">
      <c r="A263" s="21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ht="22.5" customHeight="1">
      <c r="A264" s="21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ht="22.5" customHeight="1">
      <c r="A265" s="21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ht="22.5" customHeight="1">
      <c r="A266" s="21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ht="22.5" customHeight="1">
      <c r="A267" s="21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ht="22.5" customHeight="1">
      <c r="A268" s="21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ht="22.5" customHeight="1">
      <c r="A269" s="21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ht="22.5" customHeight="1">
      <c r="A270" s="21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ht="22.5" customHeight="1">
      <c r="A271" s="21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ht="22.5" customHeight="1">
      <c r="A272" s="21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ht="22.5" customHeight="1">
      <c r="A273" s="21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ht="22.5" customHeight="1">
      <c r="A274" s="21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ht="22.5" customHeight="1">
      <c r="A275" s="21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ht="22.5" customHeight="1">
      <c r="A276" s="21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ht="22.5" customHeight="1">
      <c r="A277" s="21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ht="22.5" customHeight="1">
      <c r="A278" s="21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ht="22.5" customHeight="1">
      <c r="A279" s="21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ht="22.5" customHeight="1">
      <c r="A280" s="21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ht="22.5" customHeight="1">
      <c r="A281" s="21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ht="22.5" customHeight="1">
      <c r="A282" s="21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ht="22.5" customHeight="1">
      <c r="A283" s="21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ht="22.5" customHeight="1">
      <c r="A284" s="21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ht="22.5" customHeight="1">
      <c r="A285" s="21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ht="22.5" customHeight="1">
      <c r="A286" s="21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ht="22.5" customHeight="1">
      <c r="A287" s="21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ht="22.5" customHeight="1">
      <c r="A288" s="21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ht="22.5" customHeight="1">
      <c r="A289" s="21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ht="22.5" customHeight="1">
      <c r="A290" s="21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ht="22.5" customHeight="1">
      <c r="A291" s="21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ht="22.5" customHeight="1">
      <c r="A292" s="21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ht="22.5" customHeight="1">
      <c r="A293" s="21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ht="22.5" customHeight="1">
      <c r="A294" s="21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ht="22.5" customHeight="1">
      <c r="A295" s="21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ht="22.5" customHeight="1">
      <c r="A296" s="21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ht="22.5" customHeight="1">
      <c r="A297" s="21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ht="22.5" customHeight="1">
      <c r="A298" s="21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ht="22.5" customHeight="1">
      <c r="A299" s="21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ht="22.5" customHeight="1">
      <c r="A300" s="21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ht="22.5" customHeight="1">
      <c r="A301" s="21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ht="22.5" customHeight="1">
      <c r="A302" s="21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ht="22.5" customHeight="1">
      <c r="A303" s="21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ht="22.5" customHeight="1">
      <c r="A304" s="21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ht="22.5" customHeight="1">
      <c r="A305" s="21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ht="22.5" customHeight="1">
      <c r="A306" s="21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ht="22.5" customHeight="1">
      <c r="A307" s="21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ht="22.5" customHeight="1">
      <c r="A308" s="21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ht="22.5" customHeight="1">
      <c r="A309" s="21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ht="22.5" customHeight="1">
      <c r="A310" s="21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ht="22.5" customHeight="1">
      <c r="A311" s="21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ht="22.5" customHeight="1">
      <c r="A312" s="21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ht="22.5" customHeight="1">
      <c r="A313" s="21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ht="22.5" customHeight="1">
      <c r="A314" s="21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ht="22.5" customHeight="1">
      <c r="A315" s="21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ht="22.5" customHeight="1">
      <c r="A316" s="21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ht="22.5" customHeight="1">
      <c r="A317" s="21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ht="22.5" customHeight="1">
      <c r="A318" s="21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ht="22.5" customHeight="1">
      <c r="A319" s="21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ht="22.5" customHeight="1">
      <c r="A320" s="21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ht="22.5" customHeight="1">
      <c r="A321" s="21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ht="22.5" customHeight="1">
      <c r="A322" s="21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ht="22.5" customHeight="1">
      <c r="A323" s="21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ht="22.5" customHeight="1">
      <c r="A324" s="21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ht="22.5" customHeight="1">
      <c r="A325" s="21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ht="22.5" customHeight="1">
      <c r="A326" s="21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ht="22.5" customHeight="1">
      <c r="A327" s="21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ht="22.5" customHeight="1">
      <c r="A328" s="21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ht="22.5" customHeight="1">
      <c r="A329" s="21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ht="22.5" customHeight="1">
      <c r="A330" s="21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ht="22.5" customHeight="1">
      <c r="A331" s="21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ht="22.5" customHeight="1">
      <c r="A332" s="21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ht="22.5" customHeight="1">
      <c r="A333" s="21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ht="22.5" customHeight="1">
      <c r="A334" s="21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ht="22.5" customHeight="1">
      <c r="A335" s="21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ht="22.5" customHeight="1">
      <c r="A336" s="21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ht="22.5" customHeight="1">
      <c r="A337" s="21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ht="22.5" customHeight="1">
      <c r="A338" s="21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ht="22.5" customHeight="1">
      <c r="A339" s="21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ht="22.5" customHeight="1">
      <c r="A340" s="21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ht="22.5" customHeight="1">
      <c r="A341" s="21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ht="22.5" customHeight="1">
      <c r="A342" s="21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ht="22.5" customHeight="1">
      <c r="A343" s="21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ht="22.5" customHeight="1">
      <c r="A344" s="21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ht="22.5" customHeight="1">
      <c r="A345" s="21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ht="22.5" customHeight="1">
      <c r="A346" s="21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ht="22.5" customHeight="1">
      <c r="A347" s="21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ht="22.5" customHeight="1">
      <c r="A348" s="21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ht="22.5" customHeight="1">
      <c r="A349" s="21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ht="22.5" customHeight="1">
      <c r="A350" s="21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ht="22.5" customHeight="1">
      <c r="A351" s="21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ht="22.5" customHeight="1">
      <c r="A352" s="21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ht="22.5" customHeight="1">
      <c r="A353" s="21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ht="22.5" customHeight="1">
      <c r="A354" s="21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ht="22.5" customHeight="1">
      <c r="A355" s="21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ht="22.5" customHeight="1">
      <c r="A356" s="21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ht="22.5" customHeight="1">
      <c r="A357" s="21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ht="22.5" customHeight="1">
      <c r="A358" s="21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ht="22.5" customHeight="1">
      <c r="A359" s="21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ht="22.5" customHeight="1">
      <c r="A360" s="21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ht="22.5" customHeight="1">
      <c r="A361" s="21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ht="22.5" customHeight="1">
      <c r="A362" s="21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ht="22.5" customHeight="1">
      <c r="A363" s="21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ht="22.5" customHeight="1">
      <c r="A364" s="21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ht="22.5" customHeight="1">
      <c r="A365" s="21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ht="22.5" customHeight="1">
      <c r="A366" s="21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ht="22.5" customHeight="1">
      <c r="A367" s="21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ht="22.5" customHeight="1">
      <c r="A368" s="21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ht="22.5" customHeight="1">
      <c r="A369" s="21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ht="22.5" customHeight="1">
      <c r="A370" s="21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ht="22.5" customHeight="1">
      <c r="A371" s="21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ht="22.5" customHeight="1">
      <c r="A372" s="21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ht="22.5" customHeight="1">
      <c r="A373" s="21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ht="22.5" customHeight="1">
      <c r="A374" s="21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ht="22.5" customHeight="1">
      <c r="A375" s="21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ht="22.5" customHeight="1">
      <c r="A376" s="21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ht="22.5" customHeight="1">
      <c r="A377" s="21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ht="22.5" customHeight="1">
      <c r="A378" s="21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ht="22.5" customHeight="1">
      <c r="A379" s="21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ht="22.5" customHeight="1">
      <c r="A380" s="21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ht="22.5" customHeight="1">
      <c r="A381" s="21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ht="22.5" customHeight="1">
      <c r="A382" s="21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ht="22.5" customHeight="1">
      <c r="A383" s="21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ht="22.5" customHeight="1">
      <c r="A384" s="21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ht="22.5" customHeight="1">
      <c r="A385" s="21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ht="22.5" customHeight="1">
      <c r="A386" s="21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ht="22.5" customHeight="1">
      <c r="A387" s="21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ht="22.5" customHeight="1">
      <c r="A388" s="21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ht="22.5" customHeight="1">
      <c r="A389" s="21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ht="22.5" customHeight="1">
      <c r="A390" s="21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ht="22.5" customHeight="1">
      <c r="A391" s="21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ht="22.5" customHeight="1">
      <c r="A392" s="21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ht="22.5" customHeight="1">
      <c r="A393" s="21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ht="22.5" customHeight="1">
      <c r="A394" s="21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ht="22.5" customHeight="1">
      <c r="A395" s="21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ht="22.5" customHeight="1">
      <c r="A396" s="21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ht="22.5" customHeight="1">
      <c r="A397" s="21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ht="22.5" customHeight="1">
      <c r="A398" s="21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ht="22.5" customHeight="1">
      <c r="A399" s="21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ht="22.5" customHeight="1">
      <c r="A400" s="21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ht="22.5" customHeight="1">
      <c r="A401" s="21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ht="22.5" customHeight="1">
      <c r="A402" s="21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ht="22.5" customHeight="1">
      <c r="A403" s="21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ht="22.5" customHeight="1">
      <c r="A404" s="21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ht="22.5" customHeight="1">
      <c r="A405" s="21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ht="22.5" customHeight="1">
      <c r="A406" s="21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ht="22.5" customHeight="1">
      <c r="A407" s="21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ht="22.5" customHeight="1">
      <c r="A408" s="21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ht="22.5" customHeight="1">
      <c r="A409" s="21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ht="22.5" customHeight="1">
      <c r="A410" s="21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ht="22.5" customHeight="1">
      <c r="A411" s="21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ht="22.5" customHeight="1">
      <c r="A412" s="21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ht="22.5" customHeight="1">
      <c r="A413" s="21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ht="22.5" customHeight="1">
      <c r="A414" s="21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ht="22.5" customHeight="1">
      <c r="A415" s="21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ht="22.5" customHeight="1">
      <c r="A416" s="21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ht="22.5" customHeight="1">
      <c r="A417" s="21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ht="22.5" customHeight="1">
      <c r="A418" s="21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ht="22.5" customHeight="1">
      <c r="A419" s="21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ht="22.5" customHeight="1">
      <c r="A420" s="21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ht="22.5" customHeight="1">
      <c r="A421" s="21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ht="22.5" customHeight="1">
      <c r="A422" s="21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ht="22.5" customHeight="1">
      <c r="A423" s="21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ht="22.5" customHeight="1">
      <c r="A424" s="21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ht="22.5" customHeight="1">
      <c r="A425" s="21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ht="22.5" customHeight="1">
      <c r="A426" s="21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ht="22.5" customHeight="1">
      <c r="A427" s="21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ht="22.5" customHeight="1">
      <c r="A428" s="21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ht="22.5" customHeight="1">
      <c r="A429" s="21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ht="22.5" customHeight="1">
      <c r="A430" s="21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ht="22.5" customHeight="1">
      <c r="A431" s="21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ht="22.5" customHeight="1">
      <c r="A432" s="21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ht="22.5" customHeight="1">
      <c r="A433" s="21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ht="22.5" customHeight="1">
      <c r="A434" s="21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ht="22.5" customHeight="1">
      <c r="A435" s="21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ht="22.5" customHeight="1">
      <c r="A436" s="21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ht="22.5" customHeight="1">
      <c r="A437" s="21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ht="22.5" customHeight="1">
      <c r="A438" s="21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ht="22.5" customHeight="1">
      <c r="A439" s="21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ht="22.5" customHeight="1">
      <c r="A440" s="21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ht="22.5" customHeight="1">
      <c r="A441" s="21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ht="22.5" customHeight="1">
      <c r="A442" s="21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ht="22.5" customHeight="1">
      <c r="A443" s="21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ht="22.5" customHeight="1">
      <c r="A444" s="21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ht="22.5" customHeight="1">
      <c r="A445" s="21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ht="22.5" customHeight="1">
      <c r="A446" s="21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ht="22.5" customHeight="1">
      <c r="A447" s="21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ht="22.5" customHeight="1">
      <c r="A448" s="21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ht="22.5" customHeight="1">
      <c r="A449" s="21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ht="22.5" customHeight="1">
      <c r="A450" s="21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ht="22.5" customHeight="1">
      <c r="A451" s="21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ht="22.5" customHeight="1">
      <c r="A452" s="21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ht="22.5" customHeight="1">
      <c r="A453" s="21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ht="22.5" customHeight="1">
      <c r="A454" s="21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ht="22.5" customHeight="1">
      <c r="A455" s="21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ht="22.5" customHeight="1">
      <c r="A456" s="21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ht="22.5" customHeight="1">
      <c r="A457" s="21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ht="22.5" customHeight="1">
      <c r="A458" s="21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ht="22.5" customHeight="1">
      <c r="A459" s="21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ht="22.5" customHeight="1">
      <c r="A460" s="21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ht="22.5" customHeight="1">
      <c r="A461" s="21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ht="22.5" customHeight="1">
      <c r="A462" s="21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ht="22.5" customHeight="1">
      <c r="A463" s="21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ht="22.5" customHeight="1">
      <c r="A464" s="21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ht="22.5" customHeight="1">
      <c r="A465" s="21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ht="22.5" customHeight="1">
      <c r="A466" s="21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ht="22.5" customHeight="1">
      <c r="A467" s="21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ht="22.5" customHeight="1">
      <c r="A468" s="21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ht="22.5" customHeight="1">
      <c r="A469" s="21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ht="22.5" customHeight="1">
      <c r="A470" s="21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ht="22.5" customHeight="1">
      <c r="A471" s="21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ht="22.5" customHeight="1">
      <c r="A472" s="21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ht="22.5" customHeight="1">
      <c r="A473" s="21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ht="22.5" customHeight="1">
      <c r="A474" s="21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ht="22.5" customHeight="1">
      <c r="A475" s="21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ht="22.5" customHeight="1">
      <c r="A476" s="21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ht="22.5" customHeight="1">
      <c r="A477" s="21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ht="22.5" customHeight="1">
      <c r="A478" s="21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ht="22.5" customHeight="1">
      <c r="A479" s="21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ht="22.5" customHeight="1">
      <c r="A480" s="21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ht="22.5" customHeight="1">
      <c r="A481" s="21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ht="22.5" customHeight="1">
      <c r="A482" s="21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ht="22.5" customHeight="1">
      <c r="A483" s="21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ht="22.5" customHeight="1">
      <c r="A484" s="21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ht="22.5" customHeight="1">
      <c r="A485" s="21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ht="22.5" customHeight="1">
      <c r="A486" s="21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ht="22.5" customHeight="1">
      <c r="A487" s="21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ht="22.5" customHeight="1">
      <c r="A488" s="21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ht="22.5" customHeight="1">
      <c r="A489" s="21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ht="22.5" customHeight="1">
      <c r="A490" s="21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ht="22.5" customHeight="1">
      <c r="A491" s="21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ht="22.5" customHeight="1">
      <c r="A492" s="21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ht="22.5" customHeight="1">
      <c r="A493" s="21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ht="22.5" customHeight="1">
      <c r="A494" s="21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ht="22.5" customHeight="1">
      <c r="A495" s="21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ht="22.5" customHeight="1">
      <c r="A496" s="21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ht="22.5" customHeight="1">
      <c r="A497" s="21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ht="22.5" customHeight="1">
      <c r="A498" s="21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ht="22.5" customHeight="1">
      <c r="A499" s="21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ht="22.5" customHeight="1">
      <c r="A500" s="21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ht="22.5" customHeight="1">
      <c r="A501" s="21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ht="22.5" customHeight="1">
      <c r="A502" s="21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ht="22.5" customHeight="1">
      <c r="A503" s="21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ht="22.5" customHeight="1">
      <c r="A504" s="21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ht="22.5" customHeight="1">
      <c r="A505" s="21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ht="22.5" customHeight="1">
      <c r="A506" s="21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ht="22.5" customHeight="1">
      <c r="A507" s="21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ht="22.5" customHeight="1">
      <c r="A508" s="21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ht="22.5" customHeight="1">
      <c r="A509" s="21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ht="22.5" customHeight="1">
      <c r="A510" s="21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ht="22.5" customHeight="1">
      <c r="A511" s="21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ht="22.5" customHeight="1">
      <c r="A512" s="21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ht="22.5" customHeight="1">
      <c r="A513" s="21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ht="22.5" customHeight="1">
      <c r="A514" s="21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ht="22.5" customHeight="1">
      <c r="A515" s="21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ht="22.5" customHeight="1">
      <c r="A516" s="21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ht="22.5" customHeight="1">
      <c r="A517" s="21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ht="22.5" customHeight="1">
      <c r="A518" s="21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ht="22.5" customHeight="1">
      <c r="A519" s="21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ht="22.5" customHeight="1">
      <c r="A520" s="21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ht="22.5" customHeight="1">
      <c r="A521" s="21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ht="22.5" customHeight="1">
      <c r="A522" s="21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ht="22.5" customHeight="1">
      <c r="A523" s="21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ht="22.5" customHeight="1">
      <c r="A524" s="21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ht="22.5" customHeight="1">
      <c r="A525" s="21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ht="22.5" customHeight="1">
      <c r="A526" s="21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ht="22.5" customHeight="1">
      <c r="A527" s="21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ht="22.5" customHeight="1">
      <c r="A528" s="21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ht="22.5" customHeight="1">
      <c r="A529" s="21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ht="22.5" customHeight="1">
      <c r="A530" s="21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ht="22.5" customHeight="1">
      <c r="A531" s="21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ht="22.5" customHeight="1">
      <c r="A532" s="21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ht="22.5" customHeight="1">
      <c r="A533" s="21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ht="22.5" customHeight="1">
      <c r="A534" s="21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ht="22.5" customHeight="1">
      <c r="A535" s="21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ht="22.5" customHeight="1">
      <c r="A536" s="21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ht="22.5" customHeight="1">
      <c r="A537" s="21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ht="22.5" customHeight="1">
      <c r="A538" s="21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ht="22.5" customHeight="1">
      <c r="A539" s="21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ht="22.5" customHeight="1">
      <c r="A540" s="21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ht="22.5" customHeight="1">
      <c r="A541" s="21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ht="22.5" customHeight="1">
      <c r="A542" s="21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ht="22.5" customHeight="1">
      <c r="A543" s="21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ht="22.5" customHeight="1">
      <c r="A544" s="21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ht="22.5" customHeight="1">
      <c r="A545" s="21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ht="22.5" customHeight="1">
      <c r="A546" s="21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ht="22.5" customHeight="1">
      <c r="A547" s="21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ht="22.5" customHeight="1">
      <c r="A548" s="21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ht="22.5" customHeight="1">
      <c r="A549" s="21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ht="22.5" customHeight="1">
      <c r="A550" s="21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ht="22.5" customHeight="1">
      <c r="A551" s="21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ht="22.5" customHeight="1">
      <c r="A552" s="21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ht="22.5" customHeight="1">
      <c r="A553" s="21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ht="22.5" customHeight="1">
      <c r="A554" s="21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ht="22.5" customHeight="1">
      <c r="A555" s="21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ht="22.5" customHeight="1">
      <c r="A556" s="21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ht="22.5" customHeight="1">
      <c r="A557" s="21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ht="22.5" customHeight="1">
      <c r="A558" s="21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ht="22.5" customHeight="1">
      <c r="A559" s="21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ht="22.5" customHeight="1">
      <c r="A560" s="21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ht="22.5" customHeight="1">
      <c r="A561" s="21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ht="22.5" customHeight="1">
      <c r="A562" s="21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ht="22.5" customHeight="1">
      <c r="A563" s="21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ht="22.5" customHeight="1">
      <c r="A564" s="21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ht="22.5" customHeight="1">
      <c r="A565" s="21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ht="22.5" customHeight="1">
      <c r="A566" s="21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ht="22.5" customHeight="1">
      <c r="A567" s="21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ht="22.5" customHeight="1">
      <c r="A568" s="21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ht="22.5" customHeight="1">
      <c r="A569" s="21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ht="22.5" customHeight="1">
      <c r="A570" s="21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ht="22.5" customHeight="1">
      <c r="A571" s="21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ht="22.5" customHeight="1">
      <c r="A572" s="21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ht="22.5" customHeight="1">
      <c r="A573" s="21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ht="22.5" customHeight="1">
      <c r="A574" s="21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ht="22.5" customHeight="1">
      <c r="A575" s="21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ht="22.5" customHeight="1">
      <c r="A576" s="21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ht="22.5" customHeight="1">
      <c r="A577" s="21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ht="22.5" customHeight="1">
      <c r="A578" s="21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ht="22.5" customHeight="1">
      <c r="A579" s="21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ht="22.5" customHeight="1">
      <c r="A580" s="21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ht="22.5" customHeight="1">
      <c r="A581" s="21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ht="22.5" customHeight="1">
      <c r="A582" s="21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ht="22.5" customHeight="1">
      <c r="A583" s="21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ht="22.5" customHeight="1">
      <c r="A584" s="21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ht="22.5" customHeight="1">
      <c r="A585" s="21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ht="22.5" customHeight="1">
      <c r="A586" s="21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ht="22.5" customHeight="1">
      <c r="A587" s="21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ht="22.5" customHeight="1">
      <c r="A588" s="21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ht="22.5" customHeight="1">
      <c r="A589" s="21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ht="22.5" customHeight="1">
      <c r="A590" s="21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ht="22.5" customHeight="1">
      <c r="A591" s="21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ht="22.5" customHeight="1">
      <c r="A592" s="21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ht="22.5" customHeight="1">
      <c r="A593" s="21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ht="22.5" customHeight="1">
      <c r="A594" s="21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ht="22.5" customHeight="1">
      <c r="A595" s="21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ht="22.5" customHeight="1">
      <c r="A596" s="21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ht="22.5" customHeight="1">
      <c r="A597" s="21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ht="22.5" customHeight="1">
      <c r="A598" s="21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ht="22.5" customHeight="1">
      <c r="A599" s="21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ht="22.5" customHeight="1">
      <c r="A600" s="21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ht="22.5" customHeight="1">
      <c r="A601" s="21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ht="22.5" customHeight="1">
      <c r="A602" s="21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ht="22.5" customHeight="1">
      <c r="A603" s="21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ht="22.5" customHeight="1">
      <c r="A604" s="21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ht="22.5" customHeight="1">
      <c r="A605" s="21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ht="22.5" customHeight="1">
      <c r="A606" s="21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ht="22.5" customHeight="1">
      <c r="A607" s="21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ht="22.5" customHeight="1">
      <c r="A608" s="21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ht="22.5" customHeight="1">
      <c r="A609" s="21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ht="22.5" customHeight="1">
      <c r="A610" s="21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ht="22.5" customHeight="1">
      <c r="A611" s="21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ht="22.5" customHeight="1">
      <c r="A612" s="21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ht="22.5" customHeight="1">
      <c r="A613" s="21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ht="22.5" customHeight="1">
      <c r="A614" s="21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ht="22.5" customHeight="1">
      <c r="A615" s="21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ht="22.5" customHeight="1">
      <c r="A616" s="21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ht="22.5" customHeight="1">
      <c r="A617" s="21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ht="22.5" customHeight="1">
      <c r="A618" s="21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ht="22.5" customHeight="1">
      <c r="A619" s="21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ht="22.5" customHeight="1">
      <c r="A620" s="21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ht="22.5" customHeight="1">
      <c r="A621" s="21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ht="22.5" customHeight="1">
      <c r="A622" s="21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ht="22.5" customHeight="1">
      <c r="A623" s="21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ht="22.5" customHeight="1">
      <c r="A624" s="21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ht="22.5" customHeight="1">
      <c r="A625" s="21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ht="22.5" customHeight="1">
      <c r="A626" s="21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ht="22.5" customHeight="1">
      <c r="A627" s="21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ht="22.5" customHeight="1">
      <c r="A628" s="21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ht="22.5" customHeight="1">
      <c r="A629" s="21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ht="22.5" customHeight="1">
      <c r="A630" s="21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ht="22.5" customHeight="1">
      <c r="A631" s="21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ht="22.5" customHeight="1">
      <c r="A632" s="21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ht="22.5" customHeight="1">
      <c r="A633" s="21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ht="22.5" customHeight="1">
      <c r="A634" s="21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ht="22.5" customHeight="1">
      <c r="A635" s="21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ht="22.5" customHeight="1">
      <c r="A636" s="21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ht="22.5" customHeight="1">
      <c r="A637" s="21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ht="22.5" customHeight="1">
      <c r="A638" s="21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ht="22.5" customHeight="1">
      <c r="A639" s="21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ht="22.5" customHeight="1">
      <c r="A640" s="21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ht="22.5" customHeight="1">
      <c r="A641" s="21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ht="22.5" customHeight="1">
      <c r="A642" s="21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ht="22.5" customHeight="1">
      <c r="A643" s="21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ht="22.5" customHeight="1">
      <c r="A644" s="21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ht="22.5" customHeight="1">
      <c r="A645" s="21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ht="22.5" customHeight="1">
      <c r="A646" s="21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ht="22.5" customHeight="1">
      <c r="A647" s="21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ht="22.5" customHeight="1">
      <c r="A648" s="21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ht="22.5" customHeight="1">
      <c r="A649" s="21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ht="22.5" customHeight="1">
      <c r="A650" s="21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ht="22.5" customHeight="1">
      <c r="A651" s="21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ht="22.5" customHeight="1">
      <c r="A652" s="21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ht="22.5" customHeight="1">
      <c r="A653" s="21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ht="22.5" customHeight="1">
      <c r="A654" s="21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ht="22.5" customHeight="1">
      <c r="A655" s="21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ht="22.5" customHeight="1">
      <c r="A656" s="21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ht="22.5" customHeight="1">
      <c r="A657" s="21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ht="22.5" customHeight="1">
      <c r="A658" s="21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ht="22.5" customHeight="1">
      <c r="A659" s="21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ht="22.5" customHeight="1">
      <c r="A660" s="21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ht="22.5" customHeight="1">
      <c r="A661" s="21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ht="22.5" customHeight="1">
      <c r="A662" s="21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ht="22.5" customHeight="1">
      <c r="A663" s="21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ht="22.5" customHeight="1">
      <c r="A664" s="21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ht="22.5" customHeight="1">
      <c r="A665" s="21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ht="22.5" customHeight="1">
      <c r="A666" s="21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ht="22.5" customHeight="1">
      <c r="A667" s="21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ht="22.5" customHeight="1">
      <c r="A668" s="21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ht="22.5" customHeight="1">
      <c r="A669" s="21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ht="22.5" customHeight="1">
      <c r="A670" s="21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ht="22.5" customHeight="1">
      <c r="A671" s="21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ht="22.5" customHeight="1">
      <c r="A672" s="21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ht="22.5" customHeight="1">
      <c r="A673" s="21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ht="22.5" customHeight="1">
      <c r="A674" s="21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ht="22.5" customHeight="1">
      <c r="A675" s="21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ht="22.5" customHeight="1">
      <c r="A676" s="21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ht="22.5" customHeight="1">
      <c r="A677" s="21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ht="22.5" customHeight="1">
      <c r="A678" s="21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ht="22.5" customHeight="1">
      <c r="A679" s="21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ht="22.5" customHeight="1">
      <c r="A680" s="21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ht="22.5" customHeight="1">
      <c r="A681" s="21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ht="22.5" customHeight="1">
      <c r="A682" s="21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ht="22.5" customHeight="1">
      <c r="A683" s="21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ht="22.5" customHeight="1">
      <c r="A684" s="21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ht="22.5" customHeight="1">
      <c r="A685" s="21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ht="22.5" customHeight="1">
      <c r="A686" s="21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ht="22.5" customHeight="1">
      <c r="A687" s="21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ht="22.5" customHeight="1">
      <c r="A688" s="21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ht="22.5" customHeight="1">
      <c r="A689" s="21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ht="22.5" customHeight="1">
      <c r="A690" s="21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ht="22.5" customHeight="1">
      <c r="A691" s="21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ht="22.5" customHeight="1">
      <c r="A692" s="21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ht="22.5" customHeight="1">
      <c r="A693" s="21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ht="22.5" customHeight="1">
      <c r="A694" s="21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ht="22.5" customHeight="1">
      <c r="A695" s="21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ht="22.5" customHeight="1">
      <c r="A696" s="21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ht="22.5" customHeight="1">
      <c r="A697" s="21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ht="22.5" customHeight="1">
      <c r="A698" s="21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ht="22.5" customHeight="1">
      <c r="A699" s="21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ht="22.5" customHeight="1">
      <c r="A700" s="21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ht="22.5" customHeight="1">
      <c r="A701" s="21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ht="22.5" customHeight="1">
      <c r="A702" s="21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ht="22.5" customHeight="1">
      <c r="A703" s="21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ht="22.5" customHeight="1">
      <c r="A704" s="21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ht="22.5" customHeight="1">
      <c r="A705" s="21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ht="22.5" customHeight="1">
      <c r="A706" s="21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ht="22.5" customHeight="1">
      <c r="A707" s="21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ht="22.5" customHeight="1">
      <c r="A708" s="21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ht="22.5" customHeight="1">
      <c r="A709" s="21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ht="22.5" customHeight="1">
      <c r="A710" s="21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ht="22.5" customHeight="1">
      <c r="A711" s="21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ht="22.5" customHeight="1">
      <c r="A712" s="21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ht="22.5" customHeight="1">
      <c r="A713" s="21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ht="22.5" customHeight="1">
      <c r="A714" s="21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ht="22.5" customHeight="1">
      <c r="A715" s="21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ht="22.5" customHeight="1">
      <c r="A716" s="21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ht="22.5" customHeight="1">
      <c r="A717" s="21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ht="22.5" customHeight="1">
      <c r="A718" s="21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ht="22.5" customHeight="1">
      <c r="A719" s="21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ht="22.5" customHeight="1">
      <c r="A720" s="21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ht="22.5" customHeight="1">
      <c r="A721" s="21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ht="22.5" customHeight="1">
      <c r="A722" s="21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ht="22.5" customHeight="1">
      <c r="A723" s="21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ht="22.5" customHeight="1">
      <c r="A724" s="21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ht="22.5" customHeight="1">
      <c r="A725" s="21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ht="22.5" customHeight="1">
      <c r="A726" s="21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ht="22.5" customHeight="1">
      <c r="A727" s="21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ht="22.5" customHeight="1">
      <c r="A728" s="21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ht="22.5" customHeight="1">
      <c r="A729" s="21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ht="22.5" customHeight="1">
      <c r="A730" s="21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ht="22.5" customHeight="1">
      <c r="A731" s="21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ht="22.5" customHeight="1">
      <c r="A732" s="21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ht="22.5" customHeight="1">
      <c r="A733" s="21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ht="22.5" customHeight="1">
      <c r="A734" s="21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ht="22.5" customHeight="1">
      <c r="A735" s="21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ht="22.5" customHeight="1">
      <c r="A736" s="21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ht="22.5" customHeight="1">
      <c r="A737" s="21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ht="22.5" customHeight="1">
      <c r="A738" s="21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ht="22.5" customHeight="1">
      <c r="A739" s="21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ht="22.5" customHeight="1">
      <c r="A740" s="21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ht="22.5" customHeight="1">
      <c r="A741" s="21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ht="22.5" customHeight="1">
      <c r="A742" s="21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ht="22.5" customHeight="1">
      <c r="A743" s="21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ht="22.5" customHeight="1">
      <c r="A744" s="21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ht="22.5" customHeight="1">
      <c r="A745" s="21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ht="22.5" customHeight="1">
      <c r="A746" s="21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ht="22.5" customHeight="1">
      <c r="A747" s="21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ht="22.5" customHeight="1">
      <c r="A748" s="21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ht="22.5" customHeight="1">
      <c r="A749" s="21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ht="22.5" customHeight="1">
      <c r="A750" s="21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ht="22.5" customHeight="1">
      <c r="A751" s="21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ht="22.5" customHeight="1">
      <c r="A752" s="21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ht="22.5" customHeight="1">
      <c r="A753" s="21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ht="22.5" customHeight="1">
      <c r="A754" s="21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ht="22.5" customHeight="1">
      <c r="A755" s="21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ht="22.5" customHeight="1">
      <c r="A756" s="21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ht="22.5" customHeight="1">
      <c r="A757" s="21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ht="22.5" customHeight="1">
      <c r="A758" s="21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ht="22.5" customHeight="1">
      <c r="A759" s="21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ht="22.5" customHeight="1">
      <c r="A760" s="21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ht="22.5" customHeight="1">
      <c r="A761" s="21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ht="22.5" customHeight="1">
      <c r="A762" s="21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ht="22.5" customHeight="1">
      <c r="A763" s="21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ht="22.5" customHeight="1">
      <c r="A764" s="21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ht="22.5" customHeight="1">
      <c r="A765" s="21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ht="22.5" customHeight="1">
      <c r="A766" s="21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ht="22.5" customHeight="1">
      <c r="A767" s="21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ht="22.5" customHeight="1">
      <c r="A768" s="21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ht="22.5" customHeight="1">
      <c r="A769" s="21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ht="22.5" customHeight="1">
      <c r="A770" s="21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ht="22.5" customHeight="1">
      <c r="A771" s="21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ht="22.5" customHeight="1">
      <c r="A772" s="21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ht="22.5" customHeight="1">
      <c r="A773" s="21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ht="22.5" customHeight="1">
      <c r="A774" s="21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ht="22.5" customHeight="1">
      <c r="A775" s="21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ht="22.5" customHeight="1">
      <c r="A776" s="21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ht="22.5" customHeight="1">
      <c r="A777" s="21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ht="22.5" customHeight="1">
      <c r="A778" s="21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ht="22.5" customHeight="1">
      <c r="A779" s="21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ht="22.5" customHeight="1">
      <c r="A780" s="21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ht="22.5" customHeight="1">
      <c r="A781" s="21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ht="22.5" customHeight="1">
      <c r="A782" s="21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ht="22.5" customHeight="1">
      <c r="A783" s="21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ht="22.5" customHeight="1">
      <c r="A784" s="21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ht="22.5" customHeight="1">
      <c r="A785" s="21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ht="22.5" customHeight="1">
      <c r="A786" s="21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ht="22.5" customHeight="1">
      <c r="A787" s="21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ht="22.5" customHeight="1">
      <c r="A788" s="21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ht="22.5" customHeight="1">
      <c r="A789" s="21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ht="22.5" customHeight="1">
      <c r="A790" s="21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ht="22.5" customHeight="1">
      <c r="A791" s="21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ht="22.5" customHeight="1">
      <c r="A792" s="21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ht="22.5" customHeight="1">
      <c r="A793" s="21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ht="22.5" customHeight="1">
      <c r="A794" s="21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ht="22.5" customHeight="1">
      <c r="A795" s="21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ht="22.5" customHeight="1">
      <c r="A796" s="21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ht="22.5" customHeight="1">
      <c r="A797" s="21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ht="22.5" customHeight="1">
      <c r="A798" s="21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ht="22.5" customHeight="1">
      <c r="A799" s="21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ht="22.5" customHeight="1">
      <c r="A800" s="21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ht="22.5" customHeight="1">
      <c r="A801" s="21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ht="22.5" customHeight="1">
      <c r="A802" s="21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ht="22.5" customHeight="1">
      <c r="A803" s="21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ht="22.5" customHeight="1">
      <c r="A804" s="21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ht="22.5" customHeight="1">
      <c r="A805" s="21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ht="22.5" customHeight="1">
      <c r="A806" s="21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ht="22.5" customHeight="1">
      <c r="A807" s="21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ht="22.5" customHeight="1">
      <c r="A808" s="21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ht="22.5" customHeight="1">
      <c r="A809" s="21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ht="22.5" customHeight="1">
      <c r="A810" s="21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ht="22.5" customHeight="1">
      <c r="A811" s="21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ht="22.5" customHeight="1">
      <c r="A812" s="21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ht="22.5" customHeight="1">
      <c r="A813" s="21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ht="22.5" customHeight="1">
      <c r="A814" s="21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ht="22.5" customHeight="1">
      <c r="A815" s="21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ht="22.5" customHeight="1">
      <c r="A816" s="21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ht="22.5" customHeight="1">
      <c r="A817" s="21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ht="22.5" customHeight="1">
      <c r="A818" s="21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ht="22.5" customHeight="1">
      <c r="A819" s="21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ht="22.5" customHeight="1">
      <c r="A820" s="21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ht="22.5" customHeight="1">
      <c r="A821" s="21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ht="22.5" customHeight="1">
      <c r="A822" s="21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ht="22.5" customHeight="1">
      <c r="A823" s="21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ht="22.5" customHeight="1">
      <c r="A824" s="21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ht="22.5" customHeight="1">
      <c r="A825" s="21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ht="22.5" customHeight="1">
      <c r="A826" s="21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ht="22.5" customHeight="1">
      <c r="A827" s="21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ht="22.5" customHeight="1">
      <c r="A828" s="21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ht="22.5" customHeight="1">
      <c r="A829" s="21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ht="22.5" customHeight="1">
      <c r="A830" s="21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ht="22.5" customHeight="1">
      <c r="A831" s="21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ht="22.5" customHeight="1">
      <c r="A832" s="21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ht="22.5" customHeight="1">
      <c r="A833" s="21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ht="22.5" customHeight="1">
      <c r="A834" s="21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ht="22.5" customHeight="1">
      <c r="A835" s="21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ht="22.5" customHeight="1">
      <c r="A836" s="21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ht="22.5" customHeight="1">
      <c r="A837" s="21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ht="22.5" customHeight="1">
      <c r="A838" s="21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ht="22.5" customHeight="1">
      <c r="A839" s="21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ht="22.5" customHeight="1">
      <c r="A840" s="21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ht="22.5" customHeight="1">
      <c r="A841" s="21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ht="22.5" customHeight="1">
      <c r="A842" s="21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ht="22.5" customHeight="1">
      <c r="A843" s="21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ht="22.5" customHeight="1">
      <c r="A844" s="21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ht="22.5" customHeight="1">
      <c r="A845" s="21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ht="22.5" customHeight="1">
      <c r="A846" s="21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ht="22.5" customHeight="1">
      <c r="A847" s="21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ht="22.5" customHeight="1">
      <c r="A848" s="21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ht="22.5" customHeight="1">
      <c r="A849" s="21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ht="22.5" customHeight="1">
      <c r="A850" s="21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ht="22.5" customHeight="1">
      <c r="A851" s="21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ht="22.5" customHeight="1">
      <c r="A852" s="21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ht="22.5" customHeight="1">
      <c r="A853" s="21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ht="22.5" customHeight="1">
      <c r="A854" s="21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ht="22.5" customHeight="1">
      <c r="A855" s="21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ht="22.5" customHeight="1">
      <c r="A856" s="21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ht="22.5" customHeight="1">
      <c r="A857" s="21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ht="22.5" customHeight="1">
      <c r="A858" s="21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ht="22.5" customHeight="1">
      <c r="A859" s="21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ht="22.5" customHeight="1">
      <c r="A860" s="21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ht="22.5" customHeight="1">
      <c r="A861" s="21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ht="22.5" customHeight="1">
      <c r="A862" s="21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ht="22.5" customHeight="1">
      <c r="A863" s="21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ht="22.5" customHeight="1">
      <c r="A864" s="21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ht="22.5" customHeight="1">
      <c r="A865" s="21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ht="22.5" customHeight="1">
      <c r="A866" s="21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ht="22.5" customHeight="1">
      <c r="A867" s="21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ht="22.5" customHeight="1">
      <c r="A868" s="21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ht="22.5" customHeight="1">
      <c r="A869" s="21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ht="22.5" customHeight="1">
      <c r="A870" s="21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ht="22.5" customHeight="1">
      <c r="A871" s="21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ht="22.5" customHeight="1">
      <c r="A872" s="21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ht="22.5" customHeight="1">
      <c r="A873" s="21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ht="22.5" customHeight="1">
      <c r="A874" s="21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ht="22.5" customHeight="1">
      <c r="A875" s="21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ht="22.5" customHeight="1">
      <c r="A876" s="21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ht="22.5" customHeight="1">
      <c r="A877" s="21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ht="22.5" customHeight="1">
      <c r="A878" s="21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ht="22.5" customHeight="1">
      <c r="A879" s="21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ht="22.5" customHeight="1">
      <c r="A880" s="21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ht="22.5" customHeight="1">
      <c r="A881" s="21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ht="22.5" customHeight="1">
      <c r="A882" s="21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ht="22.5" customHeight="1">
      <c r="A883" s="21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ht="22.5" customHeight="1">
      <c r="A884" s="21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ht="22.5" customHeight="1">
      <c r="A885" s="21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ht="22.5" customHeight="1">
      <c r="A886" s="21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ht="22.5" customHeight="1">
      <c r="A887" s="21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ht="22.5" customHeight="1">
      <c r="A888" s="21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ht="22.5" customHeight="1">
      <c r="A889" s="21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ht="22.5" customHeight="1">
      <c r="A890" s="21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ht="22.5" customHeight="1">
      <c r="A891" s="21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ht="22.5" customHeight="1">
      <c r="A892" s="21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ht="22.5" customHeight="1">
      <c r="A893" s="21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ht="22.5" customHeight="1">
      <c r="A894" s="21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ht="22.5" customHeight="1">
      <c r="A895" s="21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ht="22.5" customHeight="1">
      <c r="A896" s="21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ht="22.5" customHeight="1">
      <c r="A897" s="21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ht="22.5" customHeight="1">
      <c r="A898" s="21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ht="22.5" customHeight="1">
      <c r="A899" s="21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ht="22.5" customHeight="1">
      <c r="A900" s="21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ht="22.5" customHeight="1">
      <c r="A901" s="21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ht="22.5" customHeight="1">
      <c r="A902" s="21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ht="22.5" customHeight="1">
      <c r="A903" s="21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ht="22.5" customHeight="1">
      <c r="A904" s="21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ht="22.5" customHeight="1">
      <c r="A905" s="21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ht="22.5" customHeight="1">
      <c r="A906" s="21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ht="22.5" customHeight="1">
      <c r="A907" s="21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ht="22.5" customHeight="1">
      <c r="A908" s="21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ht="22.5" customHeight="1">
      <c r="A909" s="21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ht="22.5" customHeight="1">
      <c r="A910" s="21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ht="22.5" customHeight="1">
      <c r="A911" s="21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ht="22.5" customHeight="1">
      <c r="A912" s="21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ht="22.5" customHeight="1">
      <c r="A913" s="21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ht="22.5" customHeight="1">
      <c r="A914" s="21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ht="22.5" customHeight="1">
      <c r="A915" s="21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ht="22.5" customHeight="1">
      <c r="A916" s="21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ht="22.5" customHeight="1">
      <c r="A917" s="21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ht="22.5" customHeight="1">
      <c r="A918" s="21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ht="22.5" customHeight="1">
      <c r="A919" s="21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ht="22.5" customHeight="1">
      <c r="A920" s="21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ht="22.5" customHeight="1">
      <c r="A921" s="21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ht="22.5" customHeight="1">
      <c r="A922" s="21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ht="22.5" customHeight="1">
      <c r="A923" s="21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ht="22.5" customHeight="1">
      <c r="A924" s="21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ht="22.5" customHeight="1">
      <c r="A925" s="21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ht="22.5" customHeight="1">
      <c r="A926" s="21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ht="22.5" customHeight="1">
      <c r="A927" s="21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ht="22.5" customHeight="1">
      <c r="A928" s="21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ht="22.5" customHeight="1">
      <c r="A929" s="21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ht="22.5" customHeight="1">
      <c r="A930" s="21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ht="22.5" customHeight="1">
      <c r="A931" s="21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ht="22.5" customHeight="1">
      <c r="A932" s="21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ht="22.5" customHeight="1">
      <c r="A933" s="21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ht="22.5" customHeight="1">
      <c r="A934" s="21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ht="22.5" customHeight="1">
      <c r="A935" s="21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ht="22.5" customHeight="1">
      <c r="A936" s="21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ht="22.5" customHeight="1">
      <c r="A937" s="21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ht="22.5" customHeight="1">
      <c r="A938" s="21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ht="22.5" customHeight="1">
      <c r="A939" s="21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ht="22.5" customHeight="1">
      <c r="A940" s="21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ht="22.5" customHeight="1">
      <c r="A941" s="21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ht="22.5" customHeight="1">
      <c r="A942" s="21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ht="22.5" customHeight="1">
      <c r="A943" s="21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ht="22.5" customHeight="1">
      <c r="A944" s="21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ht="22.5" customHeight="1">
      <c r="A945" s="21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ht="22.5" customHeight="1">
      <c r="A946" s="21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ht="22.5" customHeight="1">
      <c r="A947" s="21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ht="22.5" customHeight="1">
      <c r="A948" s="21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ht="22.5" customHeight="1">
      <c r="A949" s="21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ht="22.5" customHeight="1">
      <c r="A950" s="21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ht="22.5" customHeight="1">
      <c r="A951" s="21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ht="22.5" customHeight="1">
      <c r="A952" s="21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ht="22.5" customHeight="1">
      <c r="A953" s="21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ht="22.5" customHeight="1">
      <c r="A954" s="21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ht="22.5" customHeight="1">
      <c r="A955" s="21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ht="22.5" customHeight="1">
      <c r="A956" s="21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ht="22.5" customHeight="1">
      <c r="A957" s="21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ht="22.5" customHeight="1">
      <c r="A958" s="21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ht="22.5" customHeight="1">
      <c r="A959" s="21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ht="22.5" customHeight="1">
      <c r="A960" s="21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ht="22.5" customHeight="1">
      <c r="A961" s="21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ht="22.5" customHeight="1">
      <c r="A962" s="21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ht="22.5" customHeight="1">
      <c r="A963" s="21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ht="22.5" customHeight="1">
      <c r="A964" s="21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ht="22.5" customHeight="1">
      <c r="A965" s="21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ht="22.5" customHeight="1">
      <c r="A966" s="21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ht="22.5" customHeight="1">
      <c r="A967" s="21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ht="22.5" customHeight="1">
      <c r="A968" s="21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ht="22.5" customHeight="1">
      <c r="A969" s="21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ht="22.5" customHeight="1">
      <c r="A970" s="21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ht="22.5" customHeight="1">
      <c r="A971" s="21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ht="22.5" customHeight="1">
      <c r="A972" s="21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ht="22.5" customHeight="1">
      <c r="A973" s="21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ht="22.5" customHeight="1">
      <c r="A974" s="21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ht="22.5" customHeight="1">
      <c r="A975" s="21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ht="22.5" customHeight="1">
      <c r="A976" s="21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ht="22.5" customHeight="1">
      <c r="A977" s="21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ht="22.5" customHeight="1">
      <c r="A978" s="21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ht="22.5" customHeight="1">
      <c r="A979" s="21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ht="22.5" customHeight="1">
      <c r="A980" s="21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ht="22.5" customHeight="1">
      <c r="A981" s="21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ht="22.5" customHeight="1">
      <c r="A982" s="21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ht="22.5" customHeight="1">
      <c r="A983" s="21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ht="22.5" customHeight="1">
      <c r="A984" s="21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ht="22.5" customHeight="1">
      <c r="A985" s="21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ht="22.5" customHeight="1">
      <c r="A986" s="21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ht="22.5" customHeight="1">
      <c r="A987" s="21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ht="22.5" customHeight="1">
      <c r="A988" s="21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ht="22.5" customHeight="1">
      <c r="A989" s="21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ht="22.5" customHeight="1">
      <c r="A990" s="21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ht="22.5" customHeight="1">
      <c r="A991" s="21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ht="22.5" customHeight="1">
      <c r="A992" s="21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ht="22.5" customHeight="1">
      <c r="A993" s="21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ht="22.5" customHeight="1">
      <c r="A994" s="21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ht="22.5" customHeight="1">
      <c r="A995" s="21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ht="22.5" customHeight="1">
      <c r="A996" s="21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ht="22.5" customHeight="1">
      <c r="A997" s="21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ht="22.5" customHeight="1">
      <c r="A998" s="21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ht="22.5" customHeight="1">
      <c r="A999" s="21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ht="22.5" customHeight="1">
      <c r="A1000" s="21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358</v>
      </c>
      <c r="B2" s="12" t="s">
        <v>359</v>
      </c>
      <c r="C2" s="19" t="s">
        <v>38</v>
      </c>
      <c r="D2" s="18" t="s">
        <v>360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361</v>
      </c>
      <c r="B3" s="12" t="s">
        <v>359</v>
      </c>
      <c r="C3" s="19" t="s">
        <v>41</v>
      </c>
      <c r="D3" s="18" t="s">
        <v>362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363</v>
      </c>
      <c r="B4" s="12" t="s">
        <v>359</v>
      </c>
      <c r="C4" s="19" t="s">
        <v>41</v>
      </c>
      <c r="D4" s="18" t="s">
        <v>364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365</v>
      </c>
      <c r="B5" s="12" t="s">
        <v>359</v>
      </c>
      <c r="C5" s="19" t="s">
        <v>41</v>
      </c>
      <c r="D5" s="18" t="s">
        <v>366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367</v>
      </c>
      <c r="B6" s="12" t="s">
        <v>359</v>
      </c>
      <c r="C6" s="19" t="s">
        <v>41</v>
      </c>
      <c r="D6" s="18" t="s">
        <v>368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369</v>
      </c>
      <c r="B7" s="12" t="s">
        <v>359</v>
      </c>
      <c r="C7" s="19" t="s">
        <v>41</v>
      </c>
      <c r="D7" s="18" t="s">
        <v>370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371</v>
      </c>
      <c r="B8" s="12" t="s">
        <v>359</v>
      </c>
      <c r="C8" s="19" t="s">
        <v>41</v>
      </c>
      <c r="D8" s="18" t="s">
        <v>372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373</v>
      </c>
      <c r="B9" s="12" t="s">
        <v>359</v>
      </c>
      <c r="C9" s="19" t="s">
        <v>41</v>
      </c>
      <c r="D9" s="18" t="s">
        <v>374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375</v>
      </c>
      <c r="B10" s="12" t="s">
        <v>359</v>
      </c>
      <c r="C10" s="19" t="s">
        <v>41</v>
      </c>
      <c r="D10" s="18" t="s">
        <v>376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377</v>
      </c>
      <c r="B11" s="12" t="s">
        <v>359</v>
      </c>
      <c r="C11" s="19" t="s">
        <v>41</v>
      </c>
      <c r="D11" s="18" t="s">
        <v>378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379</v>
      </c>
      <c r="B12" s="12" t="s">
        <v>359</v>
      </c>
      <c r="C12" s="19" t="s">
        <v>41</v>
      </c>
      <c r="D12" s="18" t="s">
        <v>380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381</v>
      </c>
      <c r="B13" s="12" t="s">
        <v>359</v>
      </c>
      <c r="C13" s="19" t="s">
        <v>41</v>
      </c>
      <c r="D13" s="18" t="s">
        <v>382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383</v>
      </c>
      <c r="B14" s="12" t="s">
        <v>359</v>
      </c>
      <c r="C14" s="19" t="s">
        <v>34</v>
      </c>
      <c r="D14" s="18" t="s">
        <v>360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384</v>
      </c>
      <c r="B15" s="12" t="s">
        <v>359</v>
      </c>
      <c r="C15" s="19" t="s">
        <v>41</v>
      </c>
      <c r="D15" s="18" t="s">
        <v>385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386</v>
      </c>
      <c r="B16" s="12" t="s">
        <v>359</v>
      </c>
      <c r="C16" s="19" t="s">
        <v>41</v>
      </c>
      <c r="D16" s="18" t="s">
        <v>387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388</v>
      </c>
      <c r="B17" s="12" t="s">
        <v>359</v>
      </c>
      <c r="C17" s="19" t="s">
        <v>41</v>
      </c>
      <c r="D17" s="18" t="s">
        <v>389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390</v>
      </c>
      <c r="B18" s="12" t="s">
        <v>359</v>
      </c>
      <c r="C18" s="19" t="s">
        <v>41</v>
      </c>
      <c r="D18" s="18" t="s">
        <v>391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392</v>
      </c>
      <c r="B19" s="12" t="s">
        <v>359</v>
      </c>
      <c r="C19" s="19" t="s">
        <v>41</v>
      </c>
      <c r="D19" s="18" t="s">
        <v>393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394</v>
      </c>
      <c r="B20" s="12" t="s">
        <v>359</v>
      </c>
      <c r="C20" s="19" t="s">
        <v>41</v>
      </c>
      <c r="D20" s="18" t="s">
        <v>395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396</v>
      </c>
      <c r="B21" s="12" t="s">
        <v>359</v>
      </c>
      <c r="C21" s="19" t="s">
        <v>41</v>
      </c>
      <c r="D21" s="18" t="s">
        <v>397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398</v>
      </c>
      <c r="B22" s="12" t="s">
        <v>399</v>
      </c>
      <c r="C22" s="19" t="s">
        <v>38</v>
      </c>
      <c r="D22" s="21" t="s">
        <v>400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401</v>
      </c>
      <c r="B23" s="12" t="s">
        <v>399</v>
      </c>
      <c r="C23" s="19" t="s">
        <v>41</v>
      </c>
      <c r="D23" s="21" t="s">
        <v>402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403</v>
      </c>
      <c r="B24" s="12" t="s">
        <v>399</v>
      </c>
      <c r="C24" s="19" t="s">
        <v>41</v>
      </c>
      <c r="D24" s="21" t="s">
        <v>404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405</v>
      </c>
      <c r="B25" s="12" t="s">
        <v>399</v>
      </c>
      <c r="C25" s="19" t="s">
        <v>41</v>
      </c>
      <c r="D25" s="21" t="s">
        <v>406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407</v>
      </c>
      <c r="B26" s="12" t="s">
        <v>399</v>
      </c>
      <c r="C26" s="19" t="s">
        <v>41</v>
      </c>
      <c r="D26" s="21" t="s">
        <v>408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409</v>
      </c>
      <c r="B27" s="12" t="s">
        <v>399</v>
      </c>
      <c r="C27" s="19" t="s">
        <v>41</v>
      </c>
      <c r="D27" s="21" t="s">
        <v>410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411</v>
      </c>
      <c r="B28" s="12" t="s">
        <v>399</v>
      </c>
      <c r="C28" s="19" t="s">
        <v>41</v>
      </c>
      <c r="D28" s="21" t="s">
        <v>412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413</v>
      </c>
      <c r="B29" s="12" t="s">
        <v>399</v>
      </c>
      <c r="C29" s="19" t="s">
        <v>41</v>
      </c>
      <c r="D29" s="21" t="s">
        <v>414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415</v>
      </c>
      <c r="B30" s="12" t="s">
        <v>399</v>
      </c>
      <c r="C30" s="19" t="s">
        <v>41</v>
      </c>
      <c r="D30" s="21" t="s">
        <v>416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417</v>
      </c>
      <c r="B31" s="12" t="s">
        <v>399</v>
      </c>
      <c r="C31" s="19" t="s">
        <v>41</v>
      </c>
      <c r="D31" s="21" t="s">
        <v>418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419</v>
      </c>
      <c r="B32" s="12" t="s">
        <v>399</v>
      </c>
      <c r="C32" s="19" t="s">
        <v>41</v>
      </c>
      <c r="D32" s="21" t="s">
        <v>420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421</v>
      </c>
      <c r="B33" s="12" t="s">
        <v>399</v>
      </c>
      <c r="C33" s="19" t="s">
        <v>41</v>
      </c>
      <c r="D33" s="21" t="s">
        <v>422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423</v>
      </c>
      <c r="B34" s="12" t="s">
        <v>399</v>
      </c>
      <c r="C34" s="19" t="s">
        <v>34</v>
      </c>
      <c r="D34" s="21" t="s">
        <v>400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424</v>
      </c>
      <c r="B35" s="12" t="s">
        <v>399</v>
      </c>
      <c r="C35" s="19" t="s">
        <v>41</v>
      </c>
      <c r="D35" s="21" t="s">
        <v>425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426</v>
      </c>
      <c r="B36" s="12" t="s">
        <v>399</v>
      </c>
      <c r="C36" s="19" t="s">
        <v>41</v>
      </c>
      <c r="D36" s="21" t="s">
        <v>427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428</v>
      </c>
      <c r="B37" s="12" t="s">
        <v>399</v>
      </c>
      <c r="C37" s="19" t="s">
        <v>41</v>
      </c>
      <c r="D37" s="21" t="s">
        <v>429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430</v>
      </c>
      <c r="B38" s="12" t="s">
        <v>399</v>
      </c>
      <c r="C38" s="19" t="s">
        <v>41</v>
      </c>
      <c r="D38" s="21" t="s">
        <v>431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432</v>
      </c>
      <c r="B39" s="12" t="s">
        <v>399</v>
      </c>
      <c r="C39" s="19" t="s">
        <v>41</v>
      </c>
      <c r="D39" s="21" t="s">
        <v>433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434</v>
      </c>
      <c r="B40" s="12" t="s">
        <v>399</v>
      </c>
      <c r="C40" s="19" t="s">
        <v>41</v>
      </c>
      <c r="D40" s="21" t="s">
        <v>435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436</v>
      </c>
      <c r="B41" s="12" t="s">
        <v>399</v>
      </c>
      <c r="C41" s="19" t="s">
        <v>41</v>
      </c>
      <c r="D41" s="21" t="s">
        <v>437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438</v>
      </c>
      <c r="B42" s="12" t="s">
        <v>439</v>
      </c>
      <c r="C42" s="19" t="s">
        <v>38</v>
      </c>
      <c r="D42" s="21" t="s">
        <v>440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441</v>
      </c>
      <c r="B43" s="12" t="s">
        <v>439</v>
      </c>
      <c r="C43" s="19" t="s">
        <v>41</v>
      </c>
      <c r="D43" s="21" t="s">
        <v>442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443</v>
      </c>
      <c r="B44" s="12" t="s">
        <v>439</v>
      </c>
      <c r="C44" s="19" t="s">
        <v>41</v>
      </c>
      <c r="D44" s="21" t="s">
        <v>444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445</v>
      </c>
      <c r="B45" s="12" t="s">
        <v>439</v>
      </c>
      <c r="C45" s="19" t="s">
        <v>41</v>
      </c>
      <c r="D45" s="21" t="s">
        <v>446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447</v>
      </c>
      <c r="B46" s="12" t="s">
        <v>439</v>
      </c>
      <c r="C46" s="19" t="s">
        <v>41</v>
      </c>
      <c r="D46" s="21" t="s">
        <v>448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449</v>
      </c>
      <c r="B47" s="12" t="s">
        <v>439</v>
      </c>
      <c r="C47" s="19" t="s">
        <v>41</v>
      </c>
      <c r="D47" s="21" t="s">
        <v>450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451</v>
      </c>
      <c r="B48" s="12" t="s">
        <v>439</v>
      </c>
      <c r="C48" s="19" t="s">
        <v>41</v>
      </c>
      <c r="D48" s="21" t="s">
        <v>452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453</v>
      </c>
      <c r="B49" s="12" t="s">
        <v>439</v>
      </c>
      <c r="C49" s="19" t="s">
        <v>41</v>
      </c>
      <c r="D49" s="21" t="s">
        <v>454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455</v>
      </c>
      <c r="B50" s="12" t="s">
        <v>439</v>
      </c>
      <c r="C50" s="19" t="s">
        <v>41</v>
      </c>
      <c r="D50" s="21" t="s">
        <v>456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457</v>
      </c>
      <c r="B51" s="12" t="s">
        <v>439</v>
      </c>
      <c r="C51" s="19" t="s">
        <v>41</v>
      </c>
      <c r="D51" s="21" t="s">
        <v>458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459</v>
      </c>
      <c r="B52" s="12" t="s">
        <v>439</v>
      </c>
      <c r="C52" s="19" t="s">
        <v>41</v>
      </c>
      <c r="D52" s="21" t="s">
        <v>460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461</v>
      </c>
      <c r="B53" s="12" t="s">
        <v>439</v>
      </c>
      <c r="C53" s="19" t="s">
        <v>41</v>
      </c>
      <c r="D53" s="21" t="s">
        <v>462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463</v>
      </c>
      <c r="B54" s="12" t="s">
        <v>439</v>
      </c>
      <c r="C54" s="19" t="s">
        <v>34</v>
      </c>
      <c r="D54" s="21" t="s">
        <v>440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464</v>
      </c>
      <c r="B55" s="12" t="s">
        <v>439</v>
      </c>
      <c r="C55" s="19" t="s">
        <v>41</v>
      </c>
      <c r="D55" s="21" t="s">
        <v>465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466</v>
      </c>
      <c r="B56" s="12" t="s">
        <v>439</v>
      </c>
      <c r="C56" s="19" t="s">
        <v>41</v>
      </c>
      <c r="D56" s="21" t="s">
        <v>467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468</v>
      </c>
      <c r="B57" s="12" t="s">
        <v>439</v>
      </c>
      <c r="C57" s="19" t="s">
        <v>41</v>
      </c>
      <c r="D57" s="21" t="s">
        <v>469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470</v>
      </c>
      <c r="B58" s="12" t="s">
        <v>439</v>
      </c>
      <c r="C58" s="19" t="s">
        <v>41</v>
      </c>
      <c r="D58" s="21" t="s">
        <v>471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472</v>
      </c>
      <c r="B59" s="12" t="s">
        <v>439</v>
      </c>
      <c r="C59" s="19" t="s">
        <v>41</v>
      </c>
      <c r="D59" s="21" t="s">
        <v>473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474</v>
      </c>
      <c r="B60" s="12" t="s">
        <v>439</v>
      </c>
      <c r="C60" s="19" t="s">
        <v>41</v>
      </c>
      <c r="D60" s="21" t="s">
        <v>475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476</v>
      </c>
      <c r="B61" s="12" t="s">
        <v>439</v>
      </c>
      <c r="C61" s="19" t="s">
        <v>41</v>
      </c>
      <c r="D61" s="21" t="s">
        <v>477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478</v>
      </c>
      <c r="B62" s="12" t="s">
        <v>479</v>
      </c>
      <c r="C62" s="19" t="s">
        <v>38</v>
      </c>
      <c r="D62" s="21" t="s">
        <v>480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481</v>
      </c>
      <c r="B63" s="12" t="s">
        <v>479</v>
      </c>
      <c r="C63" s="19" t="s">
        <v>41</v>
      </c>
      <c r="D63" s="21" t="s">
        <v>482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483</v>
      </c>
      <c r="B64" s="12" t="s">
        <v>479</v>
      </c>
      <c r="C64" s="19" t="s">
        <v>41</v>
      </c>
      <c r="D64" s="21" t="s">
        <v>484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485</v>
      </c>
      <c r="B65" s="12" t="s">
        <v>479</v>
      </c>
      <c r="C65" s="19" t="s">
        <v>41</v>
      </c>
      <c r="D65" s="21" t="s">
        <v>486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487</v>
      </c>
      <c r="B66" s="12" t="s">
        <v>479</v>
      </c>
      <c r="C66" s="19" t="s">
        <v>41</v>
      </c>
      <c r="D66" s="21" t="s">
        <v>488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489</v>
      </c>
      <c r="B67" s="12" t="s">
        <v>479</v>
      </c>
      <c r="C67" s="19" t="s">
        <v>41</v>
      </c>
      <c r="D67" s="21" t="s">
        <v>490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491</v>
      </c>
      <c r="B68" s="12" t="s">
        <v>479</v>
      </c>
      <c r="C68" s="19" t="s">
        <v>41</v>
      </c>
      <c r="D68" s="21" t="s">
        <v>492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493</v>
      </c>
      <c r="B69" s="12" t="s">
        <v>479</v>
      </c>
      <c r="C69" s="19" t="s">
        <v>41</v>
      </c>
      <c r="D69" s="21" t="s">
        <v>494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495</v>
      </c>
      <c r="B70" s="12" t="s">
        <v>479</v>
      </c>
      <c r="C70" s="19" t="s">
        <v>41</v>
      </c>
      <c r="D70" s="21" t="s">
        <v>496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497</v>
      </c>
      <c r="B71" s="12" t="s">
        <v>479</v>
      </c>
      <c r="C71" s="19" t="s">
        <v>41</v>
      </c>
      <c r="D71" s="21" t="s">
        <v>498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499</v>
      </c>
      <c r="B72" s="12" t="s">
        <v>479</v>
      </c>
      <c r="C72" s="19" t="s">
        <v>41</v>
      </c>
      <c r="D72" s="21" t="s">
        <v>500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501</v>
      </c>
      <c r="B73" s="12" t="s">
        <v>479</v>
      </c>
      <c r="C73" s="19" t="s">
        <v>41</v>
      </c>
      <c r="D73" s="21" t="s">
        <v>502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503</v>
      </c>
      <c r="B74" s="12" t="s">
        <v>479</v>
      </c>
      <c r="C74" s="19" t="s">
        <v>34</v>
      </c>
      <c r="D74" s="21" t="s">
        <v>480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504</v>
      </c>
      <c r="B75" s="12" t="s">
        <v>479</v>
      </c>
      <c r="C75" s="19" t="s">
        <v>41</v>
      </c>
      <c r="D75" s="21" t="s">
        <v>505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506</v>
      </c>
      <c r="B76" s="12" t="s">
        <v>479</v>
      </c>
      <c r="C76" s="19" t="s">
        <v>41</v>
      </c>
      <c r="D76" s="21" t="s">
        <v>507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508</v>
      </c>
      <c r="B77" s="12" t="s">
        <v>479</v>
      </c>
      <c r="C77" s="19" t="s">
        <v>41</v>
      </c>
      <c r="D77" s="21" t="s">
        <v>509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510</v>
      </c>
      <c r="B78" s="12" t="s">
        <v>479</v>
      </c>
      <c r="C78" s="19" t="s">
        <v>41</v>
      </c>
      <c r="D78" s="21" t="s">
        <v>511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512</v>
      </c>
      <c r="B79" s="12" t="s">
        <v>479</v>
      </c>
      <c r="C79" s="19" t="s">
        <v>41</v>
      </c>
      <c r="D79" s="21" t="s">
        <v>513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514</v>
      </c>
      <c r="B80" s="12" t="s">
        <v>479</v>
      </c>
      <c r="C80" s="19" t="s">
        <v>41</v>
      </c>
      <c r="D80" s="21" t="s">
        <v>515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516</v>
      </c>
      <c r="B81" s="12" t="s">
        <v>479</v>
      </c>
      <c r="C81" s="19" t="s">
        <v>41</v>
      </c>
      <c r="D81" s="21" t="s">
        <v>517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518</v>
      </c>
      <c r="B2" s="12" t="s">
        <v>519</v>
      </c>
      <c r="C2" s="19" t="s">
        <v>38</v>
      </c>
      <c r="D2" s="18" t="s">
        <v>520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521</v>
      </c>
      <c r="B3" s="12" t="s">
        <v>519</v>
      </c>
      <c r="C3" s="19" t="s">
        <v>41</v>
      </c>
      <c r="D3" s="18" t="s">
        <v>522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523</v>
      </c>
      <c r="B4" s="12" t="s">
        <v>519</v>
      </c>
      <c r="C4" s="19" t="s">
        <v>41</v>
      </c>
      <c r="D4" s="18" t="s">
        <v>524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525</v>
      </c>
      <c r="B5" s="12" t="s">
        <v>519</v>
      </c>
      <c r="C5" s="19" t="s">
        <v>41</v>
      </c>
      <c r="D5" s="18" t="s">
        <v>526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527</v>
      </c>
      <c r="B6" s="12" t="s">
        <v>519</v>
      </c>
      <c r="C6" s="19" t="s">
        <v>41</v>
      </c>
      <c r="D6" s="18" t="s">
        <v>528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529</v>
      </c>
      <c r="B7" s="12" t="s">
        <v>519</v>
      </c>
      <c r="C7" s="19" t="s">
        <v>41</v>
      </c>
      <c r="D7" s="18" t="s">
        <v>530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531</v>
      </c>
      <c r="B8" s="12" t="s">
        <v>519</v>
      </c>
      <c r="C8" s="19" t="s">
        <v>41</v>
      </c>
      <c r="D8" s="18" t="s">
        <v>532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533</v>
      </c>
      <c r="B9" s="12" t="s">
        <v>519</v>
      </c>
      <c r="C9" s="19" t="s">
        <v>41</v>
      </c>
      <c r="D9" s="18" t="s">
        <v>534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535</v>
      </c>
      <c r="B10" s="12" t="s">
        <v>519</v>
      </c>
      <c r="C10" s="19" t="s">
        <v>41</v>
      </c>
      <c r="D10" s="18" t="s">
        <v>536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537</v>
      </c>
      <c r="B11" s="12" t="s">
        <v>519</v>
      </c>
      <c r="C11" s="19" t="s">
        <v>41</v>
      </c>
      <c r="D11" s="18" t="s">
        <v>538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539</v>
      </c>
      <c r="B12" s="12" t="s">
        <v>519</v>
      </c>
      <c r="C12" s="19" t="s">
        <v>41</v>
      </c>
      <c r="D12" s="18" t="s">
        <v>540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541</v>
      </c>
      <c r="B13" s="12" t="s">
        <v>519</v>
      </c>
      <c r="C13" s="19" t="s">
        <v>41</v>
      </c>
      <c r="D13" s="18" t="s">
        <v>542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543</v>
      </c>
      <c r="B14" s="12" t="s">
        <v>519</v>
      </c>
      <c r="C14" s="19" t="s">
        <v>34</v>
      </c>
      <c r="D14" s="18" t="s">
        <v>520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544</v>
      </c>
      <c r="B15" s="12" t="s">
        <v>519</v>
      </c>
      <c r="C15" s="19" t="s">
        <v>41</v>
      </c>
      <c r="D15" s="18" t="s">
        <v>545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546</v>
      </c>
      <c r="B16" s="12" t="s">
        <v>519</v>
      </c>
      <c r="C16" s="19" t="s">
        <v>41</v>
      </c>
      <c r="D16" s="18" t="s">
        <v>547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548</v>
      </c>
      <c r="B17" s="12" t="s">
        <v>519</v>
      </c>
      <c r="C17" s="19" t="s">
        <v>41</v>
      </c>
      <c r="D17" s="18" t="s">
        <v>549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550</v>
      </c>
      <c r="B18" s="12" t="s">
        <v>519</v>
      </c>
      <c r="C18" s="19" t="s">
        <v>41</v>
      </c>
      <c r="D18" s="18" t="s">
        <v>551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552</v>
      </c>
      <c r="B19" s="12" t="s">
        <v>519</v>
      </c>
      <c r="C19" s="19" t="s">
        <v>41</v>
      </c>
      <c r="D19" s="18" t="s">
        <v>553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554</v>
      </c>
      <c r="B20" s="12" t="s">
        <v>519</v>
      </c>
      <c r="C20" s="19" t="s">
        <v>41</v>
      </c>
      <c r="D20" s="18" t="s">
        <v>555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556</v>
      </c>
      <c r="B21" s="12" t="s">
        <v>519</v>
      </c>
      <c r="C21" s="19" t="s">
        <v>41</v>
      </c>
      <c r="D21" s="18" t="s">
        <v>557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558</v>
      </c>
      <c r="B22" s="12" t="s">
        <v>559</v>
      </c>
      <c r="C22" s="19" t="s">
        <v>38</v>
      </c>
      <c r="D22" s="21" t="s">
        <v>560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561</v>
      </c>
      <c r="B23" s="12" t="s">
        <v>559</v>
      </c>
      <c r="C23" s="19" t="s">
        <v>41</v>
      </c>
      <c r="D23" s="21" t="s">
        <v>562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563</v>
      </c>
      <c r="B24" s="12" t="s">
        <v>559</v>
      </c>
      <c r="C24" s="19" t="s">
        <v>41</v>
      </c>
      <c r="D24" s="21" t="s">
        <v>564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565</v>
      </c>
      <c r="B25" s="12" t="s">
        <v>559</v>
      </c>
      <c r="C25" s="19" t="s">
        <v>41</v>
      </c>
      <c r="D25" s="21" t="s">
        <v>566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567</v>
      </c>
      <c r="B26" s="12" t="s">
        <v>559</v>
      </c>
      <c r="C26" s="19" t="s">
        <v>41</v>
      </c>
      <c r="D26" s="21" t="s">
        <v>568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569</v>
      </c>
      <c r="B27" s="12" t="s">
        <v>559</v>
      </c>
      <c r="C27" s="19" t="s">
        <v>41</v>
      </c>
      <c r="D27" s="21" t="s">
        <v>570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571</v>
      </c>
      <c r="B28" s="12" t="s">
        <v>559</v>
      </c>
      <c r="C28" s="19" t="s">
        <v>41</v>
      </c>
      <c r="D28" s="21" t="s">
        <v>572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573</v>
      </c>
      <c r="B29" s="12" t="s">
        <v>559</v>
      </c>
      <c r="C29" s="19" t="s">
        <v>41</v>
      </c>
      <c r="D29" s="21" t="s">
        <v>574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575</v>
      </c>
      <c r="B30" s="12" t="s">
        <v>559</v>
      </c>
      <c r="C30" s="19" t="s">
        <v>41</v>
      </c>
      <c r="D30" s="21" t="s">
        <v>576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577</v>
      </c>
      <c r="B31" s="12" t="s">
        <v>559</v>
      </c>
      <c r="C31" s="19" t="s">
        <v>41</v>
      </c>
      <c r="D31" s="21" t="s">
        <v>578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579</v>
      </c>
      <c r="B32" s="12" t="s">
        <v>559</v>
      </c>
      <c r="C32" s="19" t="s">
        <v>41</v>
      </c>
      <c r="D32" s="21" t="s">
        <v>580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581</v>
      </c>
      <c r="B33" s="12" t="s">
        <v>559</v>
      </c>
      <c r="C33" s="19" t="s">
        <v>41</v>
      </c>
      <c r="D33" s="21" t="s">
        <v>582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583</v>
      </c>
      <c r="B34" s="12" t="s">
        <v>559</v>
      </c>
      <c r="C34" s="19" t="s">
        <v>34</v>
      </c>
      <c r="D34" s="21" t="s">
        <v>560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584</v>
      </c>
      <c r="B35" s="12" t="s">
        <v>559</v>
      </c>
      <c r="C35" s="19" t="s">
        <v>41</v>
      </c>
      <c r="D35" s="21" t="s">
        <v>585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586</v>
      </c>
      <c r="B36" s="12" t="s">
        <v>559</v>
      </c>
      <c r="C36" s="19" t="s">
        <v>41</v>
      </c>
      <c r="D36" s="21" t="s">
        <v>587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588</v>
      </c>
      <c r="B37" s="12" t="s">
        <v>559</v>
      </c>
      <c r="C37" s="19" t="s">
        <v>41</v>
      </c>
      <c r="D37" s="21" t="s">
        <v>589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590</v>
      </c>
      <c r="B38" s="12" t="s">
        <v>559</v>
      </c>
      <c r="C38" s="19" t="s">
        <v>41</v>
      </c>
      <c r="D38" s="21" t="s">
        <v>591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592</v>
      </c>
      <c r="B39" s="12" t="s">
        <v>559</v>
      </c>
      <c r="C39" s="19" t="s">
        <v>41</v>
      </c>
      <c r="D39" s="21" t="s">
        <v>593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594</v>
      </c>
      <c r="B40" s="12" t="s">
        <v>559</v>
      </c>
      <c r="C40" s="19" t="s">
        <v>41</v>
      </c>
      <c r="D40" s="21" t="s">
        <v>595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596</v>
      </c>
      <c r="B41" s="12" t="s">
        <v>559</v>
      </c>
      <c r="C41" s="19" t="s">
        <v>41</v>
      </c>
      <c r="D41" s="21" t="s">
        <v>597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598</v>
      </c>
      <c r="B42" s="12" t="s">
        <v>599</v>
      </c>
      <c r="C42" s="19" t="s">
        <v>38</v>
      </c>
      <c r="D42" s="21" t="s">
        <v>600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601</v>
      </c>
      <c r="B43" s="12" t="s">
        <v>599</v>
      </c>
      <c r="C43" s="19" t="s">
        <v>41</v>
      </c>
      <c r="D43" s="21" t="s">
        <v>602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603</v>
      </c>
      <c r="B44" s="12" t="s">
        <v>599</v>
      </c>
      <c r="C44" s="19" t="s">
        <v>41</v>
      </c>
      <c r="D44" s="21" t="s">
        <v>604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605</v>
      </c>
      <c r="B45" s="12" t="s">
        <v>599</v>
      </c>
      <c r="C45" s="19" t="s">
        <v>41</v>
      </c>
      <c r="D45" s="21" t="s">
        <v>606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607</v>
      </c>
      <c r="B46" s="12" t="s">
        <v>599</v>
      </c>
      <c r="C46" s="19" t="s">
        <v>41</v>
      </c>
      <c r="D46" s="21" t="s">
        <v>608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609</v>
      </c>
      <c r="B47" s="12" t="s">
        <v>599</v>
      </c>
      <c r="C47" s="19" t="s">
        <v>41</v>
      </c>
      <c r="D47" s="21" t="s">
        <v>610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611</v>
      </c>
      <c r="B48" s="12" t="s">
        <v>599</v>
      </c>
      <c r="C48" s="19" t="s">
        <v>41</v>
      </c>
      <c r="D48" s="21" t="s">
        <v>612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613</v>
      </c>
      <c r="B49" s="12" t="s">
        <v>599</v>
      </c>
      <c r="C49" s="19" t="s">
        <v>41</v>
      </c>
      <c r="D49" s="21" t="s">
        <v>614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615</v>
      </c>
      <c r="B50" s="12" t="s">
        <v>599</v>
      </c>
      <c r="C50" s="19" t="s">
        <v>41</v>
      </c>
      <c r="D50" s="21" t="s">
        <v>616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617</v>
      </c>
      <c r="B51" s="12" t="s">
        <v>599</v>
      </c>
      <c r="C51" s="19" t="s">
        <v>41</v>
      </c>
      <c r="D51" s="21" t="s">
        <v>618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619</v>
      </c>
      <c r="B52" s="12" t="s">
        <v>599</v>
      </c>
      <c r="C52" s="19" t="s">
        <v>41</v>
      </c>
      <c r="D52" s="21" t="s">
        <v>620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621</v>
      </c>
      <c r="B53" s="12" t="s">
        <v>599</v>
      </c>
      <c r="C53" s="19" t="s">
        <v>41</v>
      </c>
      <c r="D53" s="21" t="s">
        <v>622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623</v>
      </c>
      <c r="B54" s="12" t="s">
        <v>599</v>
      </c>
      <c r="C54" s="19" t="s">
        <v>34</v>
      </c>
      <c r="D54" s="21" t="s">
        <v>600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624</v>
      </c>
      <c r="B55" s="12" t="s">
        <v>599</v>
      </c>
      <c r="C55" s="19" t="s">
        <v>41</v>
      </c>
      <c r="D55" s="21" t="s">
        <v>625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626</v>
      </c>
      <c r="B56" s="12" t="s">
        <v>599</v>
      </c>
      <c r="C56" s="19" t="s">
        <v>41</v>
      </c>
      <c r="D56" s="21" t="s">
        <v>627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628</v>
      </c>
      <c r="B57" s="12" t="s">
        <v>599</v>
      </c>
      <c r="C57" s="19" t="s">
        <v>41</v>
      </c>
      <c r="D57" s="21" t="s">
        <v>629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630</v>
      </c>
      <c r="B58" s="12" t="s">
        <v>599</v>
      </c>
      <c r="C58" s="19" t="s">
        <v>41</v>
      </c>
      <c r="D58" s="21" t="s">
        <v>631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632</v>
      </c>
      <c r="B59" s="12" t="s">
        <v>599</v>
      </c>
      <c r="C59" s="19" t="s">
        <v>41</v>
      </c>
      <c r="D59" s="21" t="s">
        <v>633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634</v>
      </c>
      <c r="B60" s="12" t="s">
        <v>599</v>
      </c>
      <c r="C60" s="19" t="s">
        <v>41</v>
      </c>
      <c r="D60" s="21" t="s">
        <v>635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636</v>
      </c>
      <c r="B61" s="12" t="s">
        <v>599</v>
      </c>
      <c r="C61" s="19" t="s">
        <v>41</v>
      </c>
      <c r="D61" s="21" t="s">
        <v>637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638</v>
      </c>
      <c r="B62" s="12" t="s">
        <v>639</v>
      </c>
      <c r="C62" s="19" t="s">
        <v>38</v>
      </c>
      <c r="D62" s="21" t="s">
        <v>640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641</v>
      </c>
      <c r="B63" s="12" t="s">
        <v>639</v>
      </c>
      <c r="C63" s="19" t="s">
        <v>41</v>
      </c>
      <c r="D63" s="21" t="s">
        <v>642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643</v>
      </c>
      <c r="B64" s="12" t="s">
        <v>639</v>
      </c>
      <c r="C64" s="19" t="s">
        <v>41</v>
      </c>
      <c r="D64" s="21" t="s">
        <v>644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645</v>
      </c>
      <c r="B65" s="12" t="s">
        <v>639</v>
      </c>
      <c r="C65" s="19" t="s">
        <v>41</v>
      </c>
      <c r="D65" s="21" t="s">
        <v>646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647</v>
      </c>
      <c r="B66" s="12" t="s">
        <v>639</v>
      </c>
      <c r="C66" s="19" t="s">
        <v>41</v>
      </c>
      <c r="D66" s="21" t="s">
        <v>648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649</v>
      </c>
      <c r="B67" s="12" t="s">
        <v>639</v>
      </c>
      <c r="C67" s="19" t="s">
        <v>41</v>
      </c>
      <c r="D67" s="21" t="s">
        <v>650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651</v>
      </c>
      <c r="B68" s="12" t="s">
        <v>639</v>
      </c>
      <c r="C68" s="19" t="s">
        <v>41</v>
      </c>
      <c r="D68" s="21" t="s">
        <v>652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653</v>
      </c>
      <c r="B69" s="12" t="s">
        <v>639</v>
      </c>
      <c r="C69" s="19" t="s">
        <v>41</v>
      </c>
      <c r="D69" s="21" t="s">
        <v>654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655</v>
      </c>
      <c r="B70" s="12" t="s">
        <v>639</v>
      </c>
      <c r="C70" s="19" t="s">
        <v>41</v>
      </c>
      <c r="D70" s="21" t="s">
        <v>656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657</v>
      </c>
      <c r="B71" s="12" t="s">
        <v>639</v>
      </c>
      <c r="C71" s="19" t="s">
        <v>41</v>
      </c>
      <c r="D71" s="21" t="s">
        <v>658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659</v>
      </c>
      <c r="B72" s="12" t="s">
        <v>639</v>
      </c>
      <c r="C72" s="19" t="s">
        <v>41</v>
      </c>
      <c r="D72" s="21" t="s">
        <v>660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661</v>
      </c>
      <c r="B73" s="12" t="s">
        <v>639</v>
      </c>
      <c r="C73" s="19" t="s">
        <v>41</v>
      </c>
      <c r="D73" s="21" t="s">
        <v>662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663</v>
      </c>
      <c r="B74" s="12" t="s">
        <v>639</v>
      </c>
      <c r="C74" s="19" t="s">
        <v>34</v>
      </c>
      <c r="D74" s="21" t="s">
        <v>640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664</v>
      </c>
      <c r="B75" s="12" t="s">
        <v>639</v>
      </c>
      <c r="C75" s="19" t="s">
        <v>41</v>
      </c>
      <c r="D75" s="21" t="s">
        <v>665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666</v>
      </c>
      <c r="B76" s="12" t="s">
        <v>639</v>
      </c>
      <c r="C76" s="19" t="s">
        <v>41</v>
      </c>
      <c r="D76" s="21" t="s">
        <v>667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668</v>
      </c>
      <c r="B77" s="12" t="s">
        <v>639</v>
      </c>
      <c r="C77" s="19" t="s">
        <v>41</v>
      </c>
      <c r="D77" s="21" t="s">
        <v>669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670</v>
      </c>
      <c r="B78" s="12" t="s">
        <v>639</v>
      </c>
      <c r="C78" s="19" t="s">
        <v>41</v>
      </c>
      <c r="D78" s="21" t="s">
        <v>671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672</v>
      </c>
      <c r="B79" s="12" t="s">
        <v>639</v>
      </c>
      <c r="C79" s="19" t="s">
        <v>41</v>
      </c>
      <c r="D79" s="21" t="s">
        <v>673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674</v>
      </c>
      <c r="B80" s="12" t="s">
        <v>639</v>
      </c>
      <c r="C80" s="19" t="s">
        <v>41</v>
      </c>
      <c r="D80" s="21" t="s">
        <v>675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676</v>
      </c>
      <c r="B81" s="12" t="s">
        <v>639</v>
      </c>
      <c r="C81" s="19" t="s">
        <v>41</v>
      </c>
      <c r="D81" s="21" t="s">
        <v>677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678</v>
      </c>
      <c r="B2" s="12" t="s">
        <v>679</v>
      </c>
      <c r="C2" s="19" t="s">
        <v>38</v>
      </c>
      <c r="D2" s="18" t="s">
        <v>680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681</v>
      </c>
      <c r="B3" s="12" t="s">
        <v>679</v>
      </c>
      <c r="C3" s="19" t="s">
        <v>41</v>
      </c>
      <c r="D3" s="18" t="s">
        <v>682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683</v>
      </c>
      <c r="B4" s="12" t="s">
        <v>679</v>
      </c>
      <c r="C4" s="19" t="s">
        <v>41</v>
      </c>
      <c r="D4" s="18" t="s">
        <v>684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685</v>
      </c>
      <c r="B5" s="12" t="s">
        <v>679</v>
      </c>
      <c r="C5" s="19" t="s">
        <v>41</v>
      </c>
      <c r="D5" s="18" t="s">
        <v>686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687</v>
      </c>
      <c r="B6" s="12" t="s">
        <v>679</v>
      </c>
      <c r="C6" s="19" t="s">
        <v>41</v>
      </c>
      <c r="D6" s="18" t="s">
        <v>688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689</v>
      </c>
      <c r="B7" s="12" t="s">
        <v>679</v>
      </c>
      <c r="C7" s="19" t="s">
        <v>41</v>
      </c>
      <c r="D7" s="18" t="s">
        <v>690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691</v>
      </c>
      <c r="B8" s="12" t="s">
        <v>679</v>
      </c>
      <c r="C8" s="19" t="s">
        <v>41</v>
      </c>
      <c r="D8" s="18" t="s">
        <v>692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693</v>
      </c>
      <c r="B9" s="12" t="s">
        <v>679</v>
      </c>
      <c r="C9" s="19" t="s">
        <v>41</v>
      </c>
      <c r="D9" s="18" t="s">
        <v>694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695</v>
      </c>
      <c r="B10" s="12" t="s">
        <v>679</v>
      </c>
      <c r="C10" s="19" t="s">
        <v>41</v>
      </c>
      <c r="D10" s="18" t="s">
        <v>696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697</v>
      </c>
      <c r="B11" s="12" t="s">
        <v>679</v>
      </c>
      <c r="C11" s="19" t="s">
        <v>41</v>
      </c>
      <c r="D11" s="18" t="s">
        <v>698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699</v>
      </c>
      <c r="B12" s="12" t="s">
        <v>679</v>
      </c>
      <c r="C12" s="19" t="s">
        <v>41</v>
      </c>
      <c r="D12" s="18" t="s">
        <v>700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701</v>
      </c>
      <c r="B13" s="12" t="s">
        <v>679</v>
      </c>
      <c r="C13" s="19" t="s">
        <v>41</v>
      </c>
      <c r="D13" s="18" t="s">
        <v>702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703</v>
      </c>
      <c r="B14" s="12" t="s">
        <v>679</v>
      </c>
      <c r="C14" s="19" t="s">
        <v>34</v>
      </c>
      <c r="D14" s="18" t="s">
        <v>680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704</v>
      </c>
      <c r="B15" s="12" t="s">
        <v>679</v>
      </c>
      <c r="C15" s="19" t="s">
        <v>41</v>
      </c>
      <c r="D15" s="18" t="s">
        <v>705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706</v>
      </c>
      <c r="B16" s="12" t="s">
        <v>679</v>
      </c>
      <c r="C16" s="19" t="s">
        <v>41</v>
      </c>
      <c r="D16" s="18" t="s">
        <v>707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708</v>
      </c>
      <c r="B17" s="12" t="s">
        <v>679</v>
      </c>
      <c r="C17" s="19" t="s">
        <v>41</v>
      </c>
      <c r="D17" s="18" t="s">
        <v>709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710</v>
      </c>
      <c r="B18" s="12" t="s">
        <v>679</v>
      </c>
      <c r="C18" s="19" t="s">
        <v>41</v>
      </c>
      <c r="D18" s="18" t="s">
        <v>711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712</v>
      </c>
      <c r="B19" s="12" t="s">
        <v>679</v>
      </c>
      <c r="C19" s="19" t="s">
        <v>41</v>
      </c>
      <c r="D19" s="18" t="s">
        <v>713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714</v>
      </c>
      <c r="B20" s="12" t="s">
        <v>679</v>
      </c>
      <c r="C20" s="19" t="s">
        <v>41</v>
      </c>
      <c r="D20" s="18" t="s">
        <v>715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716</v>
      </c>
      <c r="B21" s="12" t="s">
        <v>679</v>
      </c>
      <c r="C21" s="19" t="s">
        <v>41</v>
      </c>
      <c r="D21" s="18" t="s">
        <v>717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718</v>
      </c>
      <c r="B22" s="12" t="s">
        <v>719</v>
      </c>
      <c r="C22" s="19" t="s">
        <v>38</v>
      </c>
      <c r="D22" s="21" t="s">
        <v>720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721</v>
      </c>
      <c r="B23" s="12" t="s">
        <v>719</v>
      </c>
      <c r="C23" s="19" t="s">
        <v>41</v>
      </c>
      <c r="D23" s="21" t="s">
        <v>722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723</v>
      </c>
      <c r="B24" s="12" t="s">
        <v>719</v>
      </c>
      <c r="C24" s="19" t="s">
        <v>41</v>
      </c>
      <c r="D24" s="21" t="s">
        <v>724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725</v>
      </c>
      <c r="B25" s="12" t="s">
        <v>719</v>
      </c>
      <c r="C25" s="19" t="s">
        <v>41</v>
      </c>
      <c r="D25" s="21" t="s">
        <v>726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727</v>
      </c>
      <c r="B26" s="12" t="s">
        <v>719</v>
      </c>
      <c r="C26" s="19" t="s">
        <v>41</v>
      </c>
      <c r="D26" s="21" t="s">
        <v>728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729</v>
      </c>
      <c r="B27" s="12" t="s">
        <v>719</v>
      </c>
      <c r="C27" s="19" t="s">
        <v>41</v>
      </c>
      <c r="D27" s="21" t="s">
        <v>730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731</v>
      </c>
      <c r="B28" s="12" t="s">
        <v>719</v>
      </c>
      <c r="C28" s="19" t="s">
        <v>41</v>
      </c>
      <c r="D28" s="21" t="s">
        <v>732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733</v>
      </c>
      <c r="B29" s="12" t="s">
        <v>719</v>
      </c>
      <c r="C29" s="19" t="s">
        <v>41</v>
      </c>
      <c r="D29" s="21" t="s">
        <v>734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735</v>
      </c>
      <c r="B30" s="12" t="s">
        <v>719</v>
      </c>
      <c r="C30" s="19" t="s">
        <v>41</v>
      </c>
      <c r="D30" s="21" t="s">
        <v>736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737</v>
      </c>
      <c r="B31" s="12" t="s">
        <v>719</v>
      </c>
      <c r="C31" s="19" t="s">
        <v>41</v>
      </c>
      <c r="D31" s="21" t="s">
        <v>738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739</v>
      </c>
      <c r="B32" s="12" t="s">
        <v>719</v>
      </c>
      <c r="C32" s="19" t="s">
        <v>41</v>
      </c>
      <c r="D32" s="21" t="s">
        <v>740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741</v>
      </c>
      <c r="B33" s="12" t="s">
        <v>719</v>
      </c>
      <c r="C33" s="19" t="s">
        <v>41</v>
      </c>
      <c r="D33" s="21" t="s">
        <v>742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743</v>
      </c>
      <c r="B34" s="12" t="s">
        <v>719</v>
      </c>
      <c r="C34" s="19" t="s">
        <v>34</v>
      </c>
      <c r="D34" s="21" t="s">
        <v>720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744</v>
      </c>
      <c r="B35" s="12" t="s">
        <v>719</v>
      </c>
      <c r="C35" s="19" t="s">
        <v>41</v>
      </c>
      <c r="D35" s="21" t="s">
        <v>745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746</v>
      </c>
      <c r="B36" s="12" t="s">
        <v>719</v>
      </c>
      <c r="C36" s="19" t="s">
        <v>41</v>
      </c>
      <c r="D36" s="21" t="s">
        <v>747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748</v>
      </c>
      <c r="B37" s="12" t="s">
        <v>719</v>
      </c>
      <c r="C37" s="19" t="s">
        <v>41</v>
      </c>
      <c r="D37" s="21" t="s">
        <v>749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750</v>
      </c>
      <c r="B38" s="12" t="s">
        <v>719</v>
      </c>
      <c r="C38" s="19" t="s">
        <v>41</v>
      </c>
      <c r="D38" s="21" t="s">
        <v>751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752</v>
      </c>
      <c r="B39" s="12" t="s">
        <v>719</v>
      </c>
      <c r="C39" s="19" t="s">
        <v>41</v>
      </c>
      <c r="D39" s="21" t="s">
        <v>753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754</v>
      </c>
      <c r="B40" s="12" t="s">
        <v>719</v>
      </c>
      <c r="C40" s="19" t="s">
        <v>41</v>
      </c>
      <c r="D40" s="21" t="s">
        <v>755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756</v>
      </c>
      <c r="B41" s="12" t="s">
        <v>719</v>
      </c>
      <c r="C41" s="19" t="s">
        <v>41</v>
      </c>
      <c r="D41" s="21" t="s">
        <v>757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758</v>
      </c>
      <c r="B42" s="12" t="s">
        <v>759</v>
      </c>
      <c r="C42" s="19" t="s">
        <v>38</v>
      </c>
      <c r="D42" s="21" t="s">
        <v>760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761</v>
      </c>
      <c r="B43" s="12" t="s">
        <v>759</v>
      </c>
      <c r="C43" s="19" t="s">
        <v>41</v>
      </c>
      <c r="D43" s="21" t="s">
        <v>762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763</v>
      </c>
      <c r="B44" s="12" t="s">
        <v>759</v>
      </c>
      <c r="C44" s="19" t="s">
        <v>41</v>
      </c>
      <c r="D44" s="21" t="s">
        <v>764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765</v>
      </c>
      <c r="B45" s="12" t="s">
        <v>759</v>
      </c>
      <c r="C45" s="19" t="s">
        <v>41</v>
      </c>
      <c r="D45" s="21" t="s">
        <v>766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767</v>
      </c>
      <c r="B46" s="12" t="s">
        <v>759</v>
      </c>
      <c r="C46" s="19" t="s">
        <v>41</v>
      </c>
      <c r="D46" s="21" t="s">
        <v>768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769</v>
      </c>
      <c r="B47" s="12" t="s">
        <v>759</v>
      </c>
      <c r="C47" s="19" t="s">
        <v>41</v>
      </c>
      <c r="D47" s="21" t="s">
        <v>770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771</v>
      </c>
      <c r="B48" s="12" t="s">
        <v>759</v>
      </c>
      <c r="C48" s="19" t="s">
        <v>41</v>
      </c>
      <c r="D48" s="21" t="s">
        <v>772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773</v>
      </c>
      <c r="B49" s="12" t="s">
        <v>759</v>
      </c>
      <c r="C49" s="19" t="s">
        <v>41</v>
      </c>
      <c r="D49" s="21" t="s">
        <v>774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775</v>
      </c>
      <c r="B50" s="12" t="s">
        <v>759</v>
      </c>
      <c r="C50" s="19" t="s">
        <v>41</v>
      </c>
      <c r="D50" s="21" t="s">
        <v>776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777</v>
      </c>
      <c r="B51" s="12" t="s">
        <v>759</v>
      </c>
      <c r="C51" s="19" t="s">
        <v>41</v>
      </c>
      <c r="D51" s="21" t="s">
        <v>778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779</v>
      </c>
      <c r="B52" s="12" t="s">
        <v>759</v>
      </c>
      <c r="C52" s="19" t="s">
        <v>41</v>
      </c>
      <c r="D52" s="21" t="s">
        <v>780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781</v>
      </c>
      <c r="B53" s="12" t="s">
        <v>759</v>
      </c>
      <c r="C53" s="19" t="s">
        <v>41</v>
      </c>
      <c r="D53" s="21" t="s">
        <v>782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783</v>
      </c>
      <c r="B54" s="12" t="s">
        <v>759</v>
      </c>
      <c r="C54" s="19" t="s">
        <v>34</v>
      </c>
      <c r="D54" s="21" t="s">
        <v>760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784</v>
      </c>
      <c r="B55" s="12" t="s">
        <v>759</v>
      </c>
      <c r="C55" s="19" t="s">
        <v>41</v>
      </c>
      <c r="D55" s="21" t="s">
        <v>785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786</v>
      </c>
      <c r="B56" s="12" t="s">
        <v>759</v>
      </c>
      <c r="C56" s="19" t="s">
        <v>41</v>
      </c>
      <c r="D56" s="21" t="s">
        <v>787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788</v>
      </c>
      <c r="B57" s="12" t="s">
        <v>759</v>
      </c>
      <c r="C57" s="19" t="s">
        <v>41</v>
      </c>
      <c r="D57" s="21" t="s">
        <v>789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790</v>
      </c>
      <c r="B58" s="12" t="s">
        <v>759</v>
      </c>
      <c r="C58" s="19" t="s">
        <v>41</v>
      </c>
      <c r="D58" s="21" t="s">
        <v>791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792</v>
      </c>
      <c r="B59" s="12" t="s">
        <v>759</v>
      </c>
      <c r="C59" s="19" t="s">
        <v>41</v>
      </c>
      <c r="D59" s="21" t="s">
        <v>793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794</v>
      </c>
      <c r="B60" s="12" t="s">
        <v>759</v>
      </c>
      <c r="C60" s="19" t="s">
        <v>41</v>
      </c>
      <c r="D60" s="21" t="s">
        <v>795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796</v>
      </c>
      <c r="B61" s="12" t="s">
        <v>759</v>
      </c>
      <c r="C61" s="19" t="s">
        <v>41</v>
      </c>
      <c r="D61" s="21" t="s">
        <v>797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798</v>
      </c>
      <c r="B62" s="12" t="s">
        <v>799</v>
      </c>
      <c r="C62" s="19" t="s">
        <v>38</v>
      </c>
      <c r="D62" s="21" t="s">
        <v>800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801</v>
      </c>
      <c r="B63" s="12" t="s">
        <v>799</v>
      </c>
      <c r="C63" s="19" t="s">
        <v>41</v>
      </c>
      <c r="D63" s="21" t="s">
        <v>802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803</v>
      </c>
      <c r="B64" s="12" t="s">
        <v>799</v>
      </c>
      <c r="C64" s="19" t="s">
        <v>41</v>
      </c>
      <c r="D64" s="21" t="s">
        <v>804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805</v>
      </c>
      <c r="B65" s="12" t="s">
        <v>799</v>
      </c>
      <c r="C65" s="19" t="s">
        <v>41</v>
      </c>
      <c r="D65" s="21" t="s">
        <v>806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807</v>
      </c>
      <c r="B66" s="12" t="s">
        <v>799</v>
      </c>
      <c r="C66" s="19" t="s">
        <v>41</v>
      </c>
      <c r="D66" s="21" t="s">
        <v>808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809</v>
      </c>
      <c r="B67" s="12" t="s">
        <v>799</v>
      </c>
      <c r="C67" s="19" t="s">
        <v>41</v>
      </c>
      <c r="D67" s="21" t="s">
        <v>810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811</v>
      </c>
      <c r="B68" s="12" t="s">
        <v>799</v>
      </c>
      <c r="C68" s="19" t="s">
        <v>41</v>
      </c>
      <c r="D68" s="21" t="s">
        <v>812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813</v>
      </c>
      <c r="B69" s="12" t="s">
        <v>799</v>
      </c>
      <c r="C69" s="19" t="s">
        <v>41</v>
      </c>
      <c r="D69" s="21" t="s">
        <v>814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815</v>
      </c>
      <c r="B70" s="12" t="s">
        <v>799</v>
      </c>
      <c r="C70" s="19" t="s">
        <v>41</v>
      </c>
      <c r="D70" s="21" t="s">
        <v>816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817</v>
      </c>
      <c r="B71" s="12" t="s">
        <v>799</v>
      </c>
      <c r="C71" s="19" t="s">
        <v>41</v>
      </c>
      <c r="D71" s="21" t="s">
        <v>818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819</v>
      </c>
      <c r="B72" s="12" t="s">
        <v>799</v>
      </c>
      <c r="C72" s="19" t="s">
        <v>41</v>
      </c>
      <c r="D72" s="21" t="s">
        <v>820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821</v>
      </c>
      <c r="B73" s="12" t="s">
        <v>799</v>
      </c>
      <c r="C73" s="19" t="s">
        <v>41</v>
      </c>
      <c r="D73" s="21" t="s">
        <v>822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823</v>
      </c>
      <c r="B74" s="12" t="s">
        <v>799</v>
      </c>
      <c r="C74" s="19" t="s">
        <v>34</v>
      </c>
      <c r="D74" s="21" t="s">
        <v>800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824</v>
      </c>
      <c r="B75" s="12" t="s">
        <v>799</v>
      </c>
      <c r="C75" s="19" t="s">
        <v>41</v>
      </c>
      <c r="D75" s="21" t="s">
        <v>825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826</v>
      </c>
      <c r="B76" s="12" t="s">
        <v>799</v>
      </c>
      <c r="C76" s="19" t="s">
        <v>41</v>
      </c>
      <c r="D76" s="21" t="s">
        <v>827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828</v>
      </c>
      <c r="B77" s="12" t="s">
        <v>799</v>
      </c>
      <c r="C77" s="19" t="s">
        <v>41</v>
      </c>
      <c r="D77" s="21" t="s">
        <v>829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830</v>
      </c>
      <c r="B78" s="12" t="s">
        <v>799</v>
      </c>
      <c r="C78" s="19" t="s">
        <v>41</v>
      </c>
      <c r="D78" s="21" t="s">
        <v>831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832</v>
      </c>
      <c r="B79" s="12" t="s">
        <v>799</v>
      </c>
      <c r="C79" s="19" t="s">
        <v>41</v>
      </c>
      <c r="D79" s="21" t="s">
        <v>833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834</v>
      </c>
      <c r="B80" s="12" t="s">
        <v>799</v>
      </c>
      <c r="C80" s="19" t="s">
        <v>41</v>
      </c>
      <c r="D80" s="21" t="s">
        <v>835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836</v>
      </c>
      <c r="B81" s="12" t="s">
        <v>799</v>
      </c>
      <c r="C81" s="19" t="s">
        <v>41</v>
      </c>
      <c r="D81" s="21" t="s">
        <v>837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838</v>
      </c>
      <c r="B2" s="12" t="s">
        <v>839</v>
      </c>
      <c r="C2" s="19" t="s">
        <v>38</v>
      </c>
      <c r="D2" s="18" t="s">
        <v>840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841</v>
      </c>
      <c r="B3" s="12" t="s">
        <v>839</v>
      </c>
      <c r="C3" s="19" t="s">
        <v>41</v>
      </c>
      <c r="D3" s="18" t="s">
        <v>842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843</v>
      </c>
      <c r="B4" s="12" t="s">
        <v>839</v>
      </c>
      <c r="C4" s="19" t="s">
        <v>41</v>
      </c>
      <c r="D4" s="18" t="s">
        <v>844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845</v>
      </c>
      <c r="B5" s="12" t="s">
        <v>839</v>
      </c>
      <c r="C5" s="19" t="s">
        <v>41</v>
      </c>
      <c r="D5" s="18" t="s">
        <v>846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847</v>
      </c>
      <c r="B6" s="12" t="s">
        <v>839</v>
      </c>
      <c r="C6" s="19" t="s">
        <v>41</v>
      </c>
      <c r="D6" s="18" t="s">
        <v>848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849</v>
      </c>
      <c r="B7" s="12" t="s">
        <v>839</v>
      </c>
      <c r="C7" s="19" t="s">
        <v>41</v>
      </c>
      <c r="D7" s="18" t="s">
        <v>850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851</v>
      </c>
      <c r="B8" s="12" t="s">
        <v>839</v>
      </c>
      <c r="C8" s="19" t="s">
        <v>41</v>
      </c>
      <c r="D8" s="18" t="s">
        <v>852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853</v>
      </c>
      <c r="B9" s="12" t="s">
        <v>839</v>
      </c>
      <c r="C9" s="19" t="s">
        <v>41</v>
      </c>
      <c r="D9" s="18" t="s">
        <v>854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855</v>
      </c>
      <c r="B10" s="12" t="s">
        <v>839</v>
      </c>
      <c r="C10" s="19" t="s">
        <v>41</v>
      </c>
      <c r="D10" s="18" t="s">
        <v>856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857</v>
      </c>
      <c r="B11" s="12" t="s">
        <v>839</v>
      </c>
      <c r="C11" s="19" t="s">
        <v>41</v>
      </c>
      <c r="D11" s="18" t="s">
        <v>858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859</v>
      </c>
      <c r="B12" s="12" t="s">
        <v>839</v>
      </c>
      <c r="C12" s="19" t="s">
        <v>41</v>
      </c>
      <c r="D12" s="18" t="s">
        <v>860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861</v>
      </c>
      <c r="B13" s="12" t="s">
        <v>839</v>
      </c>
      <c r="C13" s="19" t="s">
        <v>41</v>
      </c>
      <c r="D13" s="18" t="s">
        <v>862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863</v>
      </c>
      <c r="B14" s="12" t="s">
        <v>839</v>
      </c>
      <c r="C14" s="19" t="s">
        <v>34</v>
      </c>
      <c r="D14" s="18" t="s">
        <v>840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864</v>
      </c>
      <c r="B15" s="12" t="s">
        <v>839</v>
      </c>
      <c r="C15" s="19" t="s">
        <v>41</v>
      </c>
      <c r="D15" s="18" t="s">
        <v>865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866</v>
      </c>
      <c r="B16" s="12" t="s">
        <v>839</v>
      </c>
      <c r="C16" s="19" t="s">
        <v>41</v>
      </c>
      <c r="D16" s="18" t="s">
        <v>867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868</v>
      </c>
      <c r="B17" s="12" t="s">
        <v>839</v>
      </c>
      <c r="C17" s="19" t="s">
        <v>41</v>
      </c>
      <c r="D17" s="18" t="s">
        <v>869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870</v>
      </c>
      <c r="B18" s="12" t="s">
        <v>839</v>
      </c>
      <c r="C18" s="19" t="s">
        <v>41</v>
      </c>
      <c r="D18" s="18" t="s">
        <v>871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872</v>
      </c>
      <c r="B19" s="12" t="s">
        <v>839</v>
      </c>
      <c r="C19" s="19" t="s">
        <v>41</v>
      </c>
      <c r="D19" s="18" t="s">
        <v>873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874</v>
      </c>
      <c r="B20" s="12" t="s">
        <v>839</v>
      </c>
      <c r="C20" s="19" t="s">
        <v>41</v>
      </c>
      <c r="D20" s="18" t="s">
        <v>875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876</v>
      </c>
      <c r="B21" s="12" t="s">
        <v>839</v>
      </c>
      <c r="C21" s="19" t="s">
        <v>41</v>
      </c>
      <c r="D21" s="18" t="s">
        <v>877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878</v>
      </c>
      <c r="B22" s="12" t="s">
        <v>879</v>
      </c>
      <c r="C22" s="19" t="s">
        <v>38</v>
      </c>
      <c r="D22" s="21" t="s">
        <v>880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881</v>
      </c>
      <c r="B23" s="12" t="s">
        <v>879</v>
      </c>
      <c r="C23" s="19" t="s">
        <v>41</v>
      </c>
      <c r="D23" s="21" t="s">
        <v>882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883</v>
      </c>
      <c r="B24" s="12" t="s">
        <v>879</v>
      </c>
      <c r="C24" s="19" t="s">
        <v>41</v>
      </c>
      <c r="D24" s="21" t="s">
        <v>884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885</v>
      </c>
      <c r="B25" s="12" t="s">
        <v>879</v>
      </c>
      <c r="C25" s="19" t="s">
        <v>41</v>
      </c>
      <c r="D25" s="21" t="s">
        <v>886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887</v>
      </c>
      <c r="B26" s="12" t="s">
        <v>879</v>
      </c>
      <c r="C26" s="19" t="s">
        <v>41</v>
      </c>
      <c r="D26" s="21" t="s">
        <v>888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889</v>
      </c>
      <c r="B27" s="12" t="s">
        <v>879</v>
      </c>
      <c r="C27" s="19" t="s">
        <v>41</v>
      </c>
      <c r="D27" s="21" t="s">
        <v>890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891</v>
      </c>
      <c r="B28" s="12" t="s">
        <v>879</v>
      </c>
      <c r="C28" s="19" t="s">
        <v>41</v>
      </c>
      <c r="D28" s="21" t="s">
        <v>892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893</v>
      </c>
      <c r="B29" s="12" t="s">
        <v>879</v>
      </c>
      <c r="C29" s="19" t="s">
        <v>41</v>
      </c>
      <c r="D29" s="21" t="s">
        <v>894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895</v>
      </c>
      <c r="B30" s="12" t="s">
        <v>879</v>
      </c>
      <c r="C30" s="19" t="s">
        <v>41</v>
      </c>
      <c r="D30" s="21" t="s">
        <v>896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897</v>
      </c>
      <c r="B31" s="12" t="s">
        <v>879</v>
      </c>
      <c r="C31" s="19" t="s">
        <v>41</v>
      </c>
      <c r="D31" s="21" t="s">
        <v>898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899</v>
      </c>
      <c r="B32" s="12" t="s">
        <v>879</v>
      </c>
      <c r="C32" s="19" t="s">
        <v>41</v>
      </c>
      <c r="D32" s="21" t="s">
        <v>900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901</v>
      </c>
      <c r="B33" s="12" t="s">
        <v>879</v>
      </c>
      <c r="C33" s="19" t="s">
        <v>41</v>
      </c>
      <c r="D33" s="21" t="s">
        <v>902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903</v>
      </c>
      <c r="B34" s="12" t="s">
        <v>879</v>
      </c>
      <c r="C34" s="19" t="s">
        <v>34</v>
      </c>
      <c r="D34" s="21" t="s">
        <v>880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904</v>
      </c>
      <c r="B35" s="12" t="s">
        <v>879</v>
      </c>
      <c r="C35" s="19" t="s">
        <v>41</v>
      </c>
      <c r="D35" s="21" t="s">
        <v>905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906</v>
      </c>
      <c r="B36" s="12" t="s">
        <v>879</v>
      </c>
      <c r="C36" s="19" t="s">
        <v>41</v>
      </c>
      <c r="D36" s="21" t="s">
        <v>907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908</v>
      </c>
      <c r="B37" s="12" t="s">
        <v>879</v>
      </c>
      <c r="C37" s="19" t="s">
        <v>41</v>
      </c>
      <c r="D37" s="21" t="s">
        <v>909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910</v>
      </c>
      <c r="B38" s="12" t="s">
        <v>879</v>
      </c>
      <c r="C38" s="19" t="s">
        <v>41</v>
      </c>
      <c r="D38" s="21" t="s">
        <v>911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912</v>
      </c>
      <c r="B39" s="12" t="s">
        <v>879</v>
      </c>
      <c r="C39" s="19" t="s">
        <v>41</v>
      </c>
      <c r="D39" s="21" t="s">
        <v>913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914</v>
      </c>
      <c r="B40" s="12" t="s">
        <v>879</v>
      </c>
      <c r="C40" s="19" t="s">
        <v>41</v>
      </c>
      <c r="D40" s="21" t="s">
        <v>915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916</v>
      </c>
      <c r="B41" s="12" t="s">
        <v>879</v>
      </c>
      <c r="C41" s="19" t="s">
        <v>41</v>
      </c>
      <c r="D41" s="21" t="s">
        <v>917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918</v>
      </c>
      <c r="B42" s="12" t="s">
        <v>919</v>
      </c>
      <c r="C42" s="19" t="s">
        <v>38</v>
      </c>
      <c r="D42" s="21" t="s">
        <v>920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921</v>
      </c>
      <c r="B43" s="12" t="s">
        <v>919</v>
      </c>
      <c r="C43" s="19" t="s">
        <v>41</v>
      </c>
      <c r="D43" s="21" t="s">
        <v>922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923</v>
      </c>
      <c r="B44" s="12" t="s">
        <v>919</v>
      </c>
      <c r="C44" s="19" t="s">
        <v>41</v>
      </c>
      <c r="D44" s="21" t="s">
        <v>924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925</v>
      </c>
      <c r="B45" s="12" t="s">
        <v>919</v>
      </c>
      <c r="C45" s="19" t="s">
        <v>41</v>
      </c>
      <c r="D45" s="21" t="s">
        <v>926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927</v>
      </c>
      <c r="B46" s="12" t="s">
        <v>919</v>
      </c>
      <c r="C46" s="19" t="s">
        <v>41</v>
      </c>
      <c r="D46" s="21" t="s">
        <v>928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929</v>
      </c>
      <c r="B47" s="12" t="s">
        <v>919</v>
      </c>
      <c r="C47" s="19" t="s">
        <v>41</v>
      </c>
      <c r="D47" s="21" t="s">
        <v>930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931</v>
      </c>
      <c r="B48" s="12" t="s">
        <v>919</v>
      </c>
      <c r="C48" s="19" t="s">
        <v>41</v>
      </c>
      <c r="D48" s="21" t="s">
        <v>932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933</v>
      </c>
      <c r="B49" s="12" t="s">
        <v>919</v>
      </c>
      <c r="C49" s="19" t="s">
        <v>41</v>
      </c>
      <c r="D49" s="21" t="s">
        <v>934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935</v>
      </c>
      <c r="B50" s="12" t="s">
        <v>919</v>
      </c>
      <c r="C50" s="19" t="s">
        <v>41</v>
      </c>
      <c r="D50" s="21" t="s">
        <v>936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937</v>
      </c>
      <c r="B51" s="12" t="s">
        <v>919</v>
      </c>
      <c r="C51" s="19" t="s">
        <v>41</v>
      </c>
      <c r="D51" s="21" t="s">
        <v>938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939</v>
      </c>
      <c r="B52" s="12" t="s">
        <v>919</v>
      </c>
      <c r="C52" s="19" t="s">
        <v>41</v>
      </c>
      <c r="D52" s="21" t="s">
        <v>940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941</v>
      </c>
      <c r="B53" s="12" t="s">
        <v>919</v>
      </c>
      <c r="C53" s="19" t="s">
        <v>41</v>
      </c>
      <c r="D53" s="21" t="s">
        <v>942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943</v>
      </c>
      <c r="B54" s="12" t="s">
        <v>919</v>
      </c>
      <c r="C54" s="19" t="s">
        <v>34</v>
      </c>
      <c r="D54" s="21" t="s">
        <v>920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944</v>
      </c>
      <c r="B55" s="12" t="s">
        <v>919</v>
      </c>
      <c r="C55" s="19" t="s">
        <v>41</v>
      </c>
      <c r="D55" s="21" t="s">
        <v>945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946</v>
      </c>
      <c r="B56" s="12" t="s">
        <v>919</v>
      </c>
      <c r="C56" s="19" t="s">
        <v>41</v>
      </c>
      <c r="D56" s="21" t="s">
        <v>947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948</v>
      </c>
      <c r="B57" s="12" t="s">
        <v>919</v>
      </c>
      <c r="C57" s="19" t="s">
        <v>41</v>
      </c>
      <c r="D57" s="21" t="s">
        <v>949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950</v>
      </c>
      <c r="B58" s="12" t="s">
        <v>919</v>
      </c>
      <c r="C58" s="19" t="s">
        <v>41</v>
      </c>
      <c r="D58" s="21" t="s">
        <v>951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952</v>
      </c>
      <c r="B59" s="12" t="s">
        <v>919</v>
      </c>
      <c r="C59" s="19" t="s">
        <v>41</v>
      </c>
      <c r="D59" s="21" t="s">
        <v>953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954</v>
      </c>
      <c r="B60" s="12" t="s">
        <v>919</v>
      </c>
      <c r="C60" s="19" t="s">
        <v>41</v>
      </c>
      <c r="D60" s="21" t="s">
        <v>955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956</v>
      </c>
      <c r="B61" s="12" t="s">
        <v>919</v>
      </c>
      <c r="C61" s="19" t="s">
        <v>41</v>
      </c>
      <c r="D61" s="21" t="s">
        <v>957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958</v>
      </c>
      <c r="B62" s="12" t="s">
        <v>959</v>
      </c>
      <c r="C62" s="19" t="s">
        <v>38</v>
      </c>
      <c r="D62" s="21" t="s">
        <v>960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961</v>
      </c>
      <c r="B63" s="12" t="s">
        <v>959</v>
      </c>
      <c r="C63" s="19" t="s">
        <v>41</v>
      </c>
      <c r="D63" s="21" t="s">
        <v>962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963</v>
      </c>
      <c r="B64" s="12" t="s">
        <v>959</v>
      </c>
      <c r="C64" s="19" t="s">
        <v>41</v>
      </c>
      <c r="D64" s="21" t="s">
        <v>964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965</v>
      </c>
      <c r="B65" s="12" t="s">
        <v>959</v>
      </c>
      <c r="C65" s="19" t="s">
        <v>41</v>
      </c>
      <c r="D65" s="21" t="s">
        <v>966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967</v>
      </c>
      <c r="B66" s="12" t="s">
        <v>959</v>
      </c>
      <c r="C66" s="19" t="s">
        <v>41</v>
      </c>
      <c r="D66" s="21" t="s">
        <v>968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969</v>
      </c>
      <c r="B67" s="12" t="s">
        <v>959</v>
      </c>
      <c r="C67" s="19" t="s">
        <v>41</v>
      </c>
      <c r="D67" s="21" t="s">
        <v>970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971</v>
      </c>
      <c r="B68" s="12" t="s">
        <v>959</v>
      </c>
      <c r="C68" s="19" t="s">
        <v>41</v>
      </c>
      <c r="D68" s="21" t="s">
        <v>972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973</v>
      </c>
      <c r="B69" s="12" t="s">
        <v>959</v>
      </c>
      <c r="C69" s="19" t="s">
        <v>41</v>
      </c>
      <c r="D69" s="21" t="s">
        <v>974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975</v>
      </c>
      <c r="B70" s="12" t="s">
        <v>959</v>
      </c>
      <c r="C70" s="19" t="s">
        <v>41</v>
      </c>
      <c r="D70" s="21" t="s">
        <v>976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977</v>
      </c>
      <c r="B71" s="12" t="s">
        <v>959</v>
      </c>
      <c r="C71" s="19" t="s">
        <v>41</v>
      </c>
      <c r="D71" s="21" t="s">
        <v>978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979</v>
      </c>
      <c r="B72" s="12" t="s">
        <v>959</v>
      </c>
      <c r="C72" s="19" t="s">
        <v>41</v>
      </c>
      <c r="D72" s="21" t="s">
        <v>980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981</v>
      </c>
      <c r="B73" s="12" t="s">
        <v>959</v>
      </c>
      <c r="C73" s="19" t="s">
        <v>41</v>
      </c>
      <c r="D73" s="21" t="s">
        <v>982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983</v>
      </c>
      <c r="B74" s="12" t="s">
        <v>959</v>
      </c>
      <c r="C74" s="19" t="s">
        <v>34</v>
      </c>
      <c r="D74" s="21" t="s">
        <v>960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984</v>
      </c>
      <c r="B75" s="12" t="s">
        <v>959</v>
      </c>
      <c r="C75" s="19" t="s">
        <v>41</v>
      </c>
      <c r="D75" s="21" t="s">
        <v>985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986</v>
      </c>
      <c r="B76" s="12" t="s">
        <v>959</v>
      </c>
      <c r="C76" s="19" t="s">
        <v>41</v>
      </c>
      <c r="D76" s="21" t="s">
        <v>987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988</v>
      </c>
      <c r="B77" s="12" t="s">
        <v>959</v>
      </c>
      <c r="C77" s="19" t="s">
        <v>41</v>
      </c>
      <c r="D77" s="21" t="s">
        <v>989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990</v>
      </c>
      <c r="B78" s="12" t="s">
        <v>959</v>
      </c>
      <c r="C78" s="19" t="s">
        <v>41</v>
      </c>
      <c r="D78" s="21" t="s">
        <v>991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992</v>
      </c>
      <c r="B79" s="12" t="s">
        <v>959</v>
      </c>
      <c r="C79" s="19" t="s">
        <v>41</v>
      </c>
      <c r="D79" s="21" t="s">
        <v>993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994</v>
      </c>
      <c r="B80" s="12" t="s">
        <v>959</v>
      </c>
      <c r="C80" s="19" t="s">
        <v>41</v>
      </c>
      <c r="D80" s="21" t="s">
        <v>995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996</v>
      </c>
      <c r="B81" s="12" t="s">
        <v>959</v>
      </c>
      <c r="C81" s="19" t="s">
        <v>41</v>
      </c>
      <c r="D81" s="21" t="s">
        <v>997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38"/>
    <col customWidth="1" min="5" max="6" width="16.75"/>
  </cols>
  <sheetData>
    <row r="1" ht="22.5" customHeight="1">
      <c r="A1" s="9" t="s">
        <v>7</v>
      </c>
      <c r="B1" s="10" t="s">
        <v>13</v>
      </c>
      <c r="C1" s="9" t="s">
        <v>9</v>
      </c>
      <c r="D1" s="9" t="s">
        <v>10</v>
      </c>
      <c r="E1" s="10" t="s">
        <v>11</v>
      </c>
      <c r="F1" s="9" t="s">
        <v>12</v>
      </c>
    </row>
    <row r="2" ht="22.5" customHeight="1">
      <c r="A2" s="11" t="s">
        <v>998</v>
      </c>
      <c r="B2" s="12" t="s">
        <v>999</v>
      </c>
      <c r="C2" s="12" t="s">
        <v>16</v>
      </c>
      <c r="D2" s="12" t="s">
        <v>1000</v>
      </c>
      <c r="E2" s="13">
        <v>0.0</v>
      </c>
      <c r="F2" s="13">
        <v>0.0</v>
      </c>
    </row>
    <row r="3" ht="22.5" customHeight="1">
      <c r="A3" s="12" t="s">
        <v>1001</v>
      </c>
      <c r="B3" s="12" t="s">
        <v>999</v>
      </c>
      <c r="C3" s="12" t="s">
        <v>16</v>
      </c>
      <c r="D3" s="12" t="s">
        <v>1002</v>
      </c>
      <c r="E3" s="13">
        <v>0.0</v>
      </c>
      <c r="F3" s="13">
        <v>0.0</v>
      </c>
    </row>
    <row r="4" ht="22.5" customHeight="1">
      <c r="A4" s="12" t="s">
        <v>1003</v>
      </c>
      <c r="B4" s="12" t="s">
        <v>999</v>
      </c>
      <c r="C4" s="12" t="s">
        <v>16</v>
      </c>
      <c r="D4" s="12" t="s">
        <v>1004</v>
      </c>
      <c r="E4" s="13">
        <v>0.0</v>
      </c>
      <c r="F4" s="13">
        <v>0.0</v>
      </c>
    </row>
    <row r="5" ht="22.5" customHeight="1">
      <c r="A5" s="11" t="s">
        <v>1005</v>
      </c>
      <c r="B5" s="12" t="s">
        <v>999</v>
      </c>
      <c r="C5" s="12" t="s">
        <v>16</v>
      </c>
      <c r="D5" s="12" t="s">
        <v>1006</v>
      </c>
      <c r="E5" s="13">
        <v>0.0</v>
      </c>
      <c r="F5" s="13">
        <v>0.0</v>
      </c>
    </row>
    <row r="6" ht="22.5" customHeight="1">
      <c r="A6" s="12" t="s">
        <v>1007</v>
      </c>
      <c r="B6" s="12" t="s">
        <v>999</v>
      </c>
      <c r="C6" s="12" t="s">
        <v>16</v>
      </c>
      <c r="D6" s="12" t="s">
        <v>1008</v>
      </c>
      <c r="E6" s="13">
        <v>0.0</v>
      </c>
      <c r="F6" s="13">
        <v>0.0</v>
      </c>
    </row>
    <row r="7" ht="22.5" customHeight="1">
      <c r="A7" s="12" t="s">
        <v>1009</v>
      </c>
      <c r="B7" s="12" t="s">
        <v>999</v>
      </c>
      <c r="C7" s="12" t="s">
        <v>16</v>
      </c>
      <c r="D7" s="12" t="s">
        <v>1010</v>
      </c>
      <c r="E7" s="13">
        <v>0.0</v>
      </c>
      <c r="F7" s="13">
        <v>0.0</v>
      </c>
    </row>
    <row r="8" ht="22.5" customHeight="1">
      <c r="A8" s="11" t="s">
        <v>1011</v>
      </c>
      <c r="B8" s="12" t="s">
        <v>999</v>
      </c>
      <c r="C8" s="12" t="s">
        <v>16</v>
      </c>
      <c r="D8" s="12" t="s">
        <v>1012</v>
      </c>
      <c r="E8" s="13">
        <v>0.0</v>
      </c>
      <c r="F8" s="13">
        <v>0.0</v>
      </c>
    </row>
    <row r="9" ht="22.5" customHeight="1">
      <c r="A9" s="12" t="s">
        <v>1013</v>
      </c>
      <c r="B9" s="12" t="s">
        <v>999</v>
      </c>
      <c r="C9" s="12" t="s">
        <v>16</v>
      </c>
      <c r="D9" s="12" t="s">
        <v>837</v>
      </c>
      <c r="E9" s="13">
        <v>0.0</v>
      </c>
      <c r="F9" s="13">
        <v>0.0</v>
      </c>
    </row>
    <row r="10" ht="22.5" customHeight="1">
      <c r="A10" s="12" t="s">
        <v>1014</v>
      </c>
      <c r="B10" s="12" t="s">
        <v>999</v>
      </c>
      <c r="C10" s="12" t="s">
        <v>16</v>
      </c>
      <c r="D10" s="12" t="s">
        <v>370</v>
      </c>
      <c r="E10" s="13">
        <v>0.0</v>
      </c>
      <c r="F10" s="13">
        <v>0.0</v>
      </c>
    </row>
    <row r="11" ht="22.5" customHeight="1">
      <c r="A11" s="11" t="s">
        <v>1015</v>
      </c>
      <c r="B11" s="12" t="s">
        <v>999</v>
      </c>
      <c r="C11" s="12" t="s">
        <v>16</v>
      </c>
      <c r="D11" s="25" t="s">
        <v>844</v>
      </c>
      <c r="E11" s="13">
        <v>0.0</v>
      </c>
      <c r="F11" s="13">
        <v>0.0</v>
      </c>
    </row>
    <row r="12" ht="22.5" customHeight="1">
      <c r="A12" s="12" t="s">
        <v>1016</v>
      </c>
      <c r="B12" s="12" t="s">
        <v>999</v>
      </c>
      <c r="C12" s="12" t="s">
        <v>16</v>
      </c>
      <c r="D12" s="25" t="s">
        <v>204</v>
      </c>
      <c r="E12" s="13">
        <v>0.0</v>
      </c>
      <c r="F12" s="13">
        <v>0.0</v>
      </c>
    </row>
    <row r="13" ht="22.5" customHeight="1">
      <c r="A13" s="12" t="s">
        <v>1017</v>
      </c>
      <c r="B13" s="12" t="s">
        <v>999</v>
      </c>
      <c r="C13" s="12" t="s">
        <v>16</v>
      </c>
      <c r="D13" s="25" t="s">
        <v>1018</v>
      </c>
      <c r="E13" s="13">
        <v>0.0</v>
      </c>
      <c r="F13" s="13">
        <v>0.0</v>
      </c>
    </row>
    <row r="14" ht="22.5" customHeight="1">
      <c r="A14" s="11" t="s">
        <v>1019</v>
      </c>
      <c r="B14" s="12" t="s">
        <v>999</v>
      </c>
      <c r="C14" s="12" t="s">
        <v>16</v>
      </c>
      <c r="D14" s="25" t="s">
        <v>1020</v>
      </c>
      <c r="E14" s="13">
        <v>0.0</v>
      </c>
      <c r="F14" s="13">
        <v>0.0</v>
      </c>
    </row>
    <row r="15" ht="22.5" customHeight="1">
      <c r="A15" s="12" t="s">
        <v>1021</v>
      </c>
      <c r="B15" s="12" t="s">
        <v>999</v>
      </c>
      <c r="C15" s="12" t="s">
        <v>16</v>
      </c>
      <c r="D15" s="25" t="s">
        <v>1022</v>
      </c>
      <c r="E15" s="13">
        <v>0.0</v>
      </c>
      <c r="F15" s="13">
        <v>0.0</v>
      </c>
    </row>
    <row r="16" ht="22.5" customHeight="1">
      <c r="A16" s="25"/>
      <c r="B16" s="25"/>
      <c r="C16" s="25"/>
      <c r="D16" s="25"/>
      <c r="E16" s="26"/>
      <c r="F16" s="26"/>
    </row>
    <row r="17" ht="22.5" customHeight="1">
      <c r="A17" s="25"/>
      <c r="B17" s="25"/>
      <c r="C17" s="25"/>
      <c r="D17" s="25"/>
      <c r="E17" s="26"/>
      <c r="F17" s="26"/>
    </row>
    <row r="18" ht="22.5" customHeight="1">
      <c r="A18" s="25"/>
      <c r="B18" s="25"/>
      <c r="C18" s="25"/>
      <c r="D18" s="25"/>
      <c r="E18" s="26"/>
      <c r="F18" s="26"/>
    </row>
    <row r="19" ht="22.5" customHeight="1">
      <c r="A19" s="25"/>
      <c r="B19" s="25"/>
      <c r="C19" s="25"/>
      <c r="D19" s="25"/>
      <c r="E19" s="26"/>
      <c r="F19" s="26"/>
    </row>
    <row r="20" ht="22.5" customHeight="1">
      <c r="A20" s="25"/>
      <c r="B20" s="25"/>
      <c r="C20" s="25"/>
      <c r="D20" s="25"/>
      <c r="E20" s="26"/>
      <c r="F20" s="26"/>
    </row>
    <row r="21" ht="22.5" customHeight="1">
      <c r="A21" s="25"/>
      <c r="B21" s="25"/>
      <c r="C21" s="25"/>
      <c r="D21" s="25"/>
      <c r="E21" s="26"/>
      <c r="F21" s="26"/>
    </row>
    <row r="22" ht="22.5" customHeight="1">
      <c r="A22" s="25"/>
      <c r="B22" s="25"/>
      <c r="C22" s="25"/>
      <c r="D22" s="25"/>
      <c r="E22" s="26"/>
      <c r="F22" s="26"/>
    </row>
    <row r="23" ht="22.5" customHeight="1">
      <c r="A23" s="25"/>
      <c r="B23" s="25"/>
      <c r="C23" s="25"/>
      <c r="D23" s="25"/>
      <c r="E23" s="26"/>
      <c r="F23" s="26"/>
    </row>
    <row r="24" ht="22.5" customHeight="1">
      <c r="A24" s="25"/>
      <c r="B24" s="25"/>
      <c r="C24" s="25"/>
      <c r="D24" s="25"/>
      <c r="E24" s="26"/>
      <c r="F24" s="26"/>
    </row>
    <row r="25" ht="22.5" customHeight="1">
      <c r="A25" s="25"/>
      <c r="B25" s="25"/>
      <c r="C25" s="25"/>
      <c r="D25" s="25"/>
      <c r="E25" s="26"/>
      <c r="F25" s="26"/>
    </row>
    <row r="26" ht="22.5" customHeight="1">
      <c r="A26" s="25"/>
      <c r="B26" s="25"/>
      <c r="C26" s="25"/>
      <c r="D26" s="25"/>
      <c r="E26" s="26"/>
      <c r="F26" s="26"/>
    </row>
    <row r="27" ht="22.5" customHeight="1">
      <c r="A27" s="25"/>
      <c r="B27" s="25"/>
      <c r="C27" s="25"/>
      <c r="D27" s="25"/>
      <c r="E27" s="26"/>
      <c r="F27" s="26"/>
    </row>
    <row r="28" ht="22.5" customHeight="1">
      <c r="A28" s="25"/>
      <c r="B28" s="25"/>
      <c r="C28" s="25"/>
      <c r="D28" s="25"/>
      <c r="E28" s="26"/>
      <c r="F28" s="26"/>
    </row>
    <row r="29" ht="22.5" customHeight="1">
      <c r="A29" s="25"/>
      <c r="B29" s="25"/>
      <c r="C29" s="25"/>
      <c r="D29" s="25"/>
      <c r="E29" s="26"/>
      <c r="F29" s="26"/>
    </row>
    <row r="30" ht="22.5" customHeight="1">
      <c r="A30" s="25"/>
      <c r="B30" s="25"/>
      <c r="C30" s="25"/>
      <c r="D30" s="25"/>
      <c r="E30" s="26"/>
      <c r="F30" s="26"/>
    </row>
    <row r="31" ht="22.5" customHeight="1">
      <c r="A31" s="25"/>
      <c r="B31" s="25"/>
      <c r="C31" s="25"/>
      <c r="D31" s="25"/>
      <c r="E31" s="26"/>
      <c r="F31" s="26"/>
    </row>
    <row r="32" ht="22.5" customHeight="1">
      <c r="A32" s="25"/>
      <c r="B32" s="25"/>
      <c r="C32" s="25"/>
      <c r="D32" s="25"/>
      <c r="E32" s="26"/>
      <c r="F32" s="26"/>
    </row>
    <row r="33" ht="22.5" customHeight="1">
      <c r="A33" s="25"/>
      <c r="B33" s="25"/>
      <c r="C33" s="25"/>
      <c r="D33" s="25"/>
      <c r="E33" s="26"/>
      <c r="F33" s="26"/>
    </row>
    <row r="34" ht="22.5" customHeight="1">
      <c r="A34" s="25"/>
      <c r="B34" s="25"/>
      <c r="C34" s="25"/>
      <c r="D34" s="25"/>
      <c r="E34" s="26"/>
      <c r="F34" s="26"/>
    </row>
    <row r="35" ht="22.5" customHeight="1">
      <c r="A35" s="25"/>
      <c r="B35" s="25"/>
      <c r="C35" s="25"/>
      <c r="D35" s="25"/>
      <c r="E35" s="26"/>
      <c r="F35" s="26"/>
    </row>
    <row r="36" ht="22.5" customHeight="1">
      <c r="A36" s="25"/>
      <c r="B36" s="25"/>
      <c r="C36" s="25"/>
      <c r="D36" s="25"/>
      <c r="E36" s="26"/>
      <c r="F36" s="26"/>
    </row>
    <row r="37" ht="22.5" customHeight="1">
      <c r="A37" s="25"/>
      <c r="B37" s="25"/>
      <c r="C37" s="25"/>
      <c r="D37" s="25"/>
      <c r="E37" s="26"/>
      <c r="F37" s="26"/>
    </row>
    <row r="38" ht="22.5" customHeight="1">
      <c r="A38" s="25"/>
      <c r="B38" s="25"/>
      <c r="C38" s="25"/>
      <c r="D38" s="25"/>
      <c r="E38" s="26"/>
      <c r="F38" s="26"/>
    </row>
    <row r="39" ht="22.5" customHeight="1">
      <c r="A39" s="25"/>
      <c r="B39" s="25"/>
      <c r="C39" s="25"/>
      <c r="D39" s="25"/>
      <c r="E39" s="26"/>
      <c r="F39" s="26"/>
    </row>
    <row r="40" ht="22.5" customHeight="1">
      <c r="A40" s="25"/>
      <c r="B40" s="25"/>
      <c r="C40" s="25"/>
      <c r="D40" s="25"/>
      <c r="E40" s="26"/>
      <c r="F40" s="26"/>
    </row>
    <row r="41" ht="22.5" customHeight="1">
      <c r="A41" s="25"/>
      <c r="B41" s="25"/>
      <c r="C41" s="25"/>
      <c r="D41" s="25"/>
      <c r="E41" s="26"/>
      <c r="F41" s="26"/>
    </row>
    <row r="42" ht="22.5" customHeight="1">
      <c r="A42" s="25"/>
      <c r="B42" s="25"/>
      <c r="C42" s="25"/>
      <c r="D42" s="25"/>
      <c r="E42" s="26"/>
      <c r="F42" s="26"/>
    </row>
    <row r="43" ht="22.5" customHeight="1">
      <c r="A43" s="25"/>
      <c r="B43" s="25"/>
      <c r="C43" s="25"/>
      <c r="D43" s="25"/>
      <c r="E43" s="26"/>
      <c r="F43" s="26"/>
    </row>
    <row r="44" ht="22.5" customHeight="1">
      <c r="A44" s="25"/>
      <c r="B44" s="25"/>
      <c r="C44" s="25"/>
      <c r="D44" s="25"/>
      <c r="E44" s="26"/>
      <c r="F44" s="26"/>
    </row>
    <row r="45" ht="22.5" customHeight="1">
      <c r="A45" s="25"/>
      <c r="B45" s="25"/>
      <c r="C45" s="25"/>
      <c r="D45" s="25"/>
      <c r="E45" s="26"/>
      <c r="F45" s="26"/>
    </row>
    <row r="46" ht="22.5" customHeight="1">
      <c r="A46" s="25"/>
      <c r="B46" s="25"/>
      <c r="C46" s="25"/>
      <c r="D46" s="25"/>
      <c r="E46" s="26"/>
      <c r="F46" s="26"/>
    </row>
    <row r="47" ht="22.5" customHeight="1">
      <c r="A47" s="25"/>
      <c r="B47" s="25"/>
      <c r="C47" s="25"/>
      <c r="D47" s="25"/>
      <c r="E47" s="26"/>
      <c r="F47" s="26"/>
    </row>
    <row r="48" ht="22.5" customHeight="1">
      <c r="A48" s="25"/>
      <c r="B48" s="25"/>
      <c r="C48" s="25"/>
      <c r="D48" s="25"/>
      <c r="E48" s="26"/>
      <c r="F48" s="26"/>
    </row>
    <row r="49" ht="22.5" customHeight="1">
      <c r="A49" s="25"/>
      <c r="B49" s="25"/>
      <c r="C49" s="25"/>
      <c r="D49" s="25"/>
      <c r="E49" s="26"/>
      <c r="F49" s="26"/>
    </row>
    <row r="50" ht="22.5" customHeight="1">
      <c r="A50" s="25"/>
      <c r="B50" s="25"/>
      <c r="C50" s="25"/>
      <c r="D50" s="25"/>
      <c r="E50" s="26"/>
      <c r="F50" s="26"/>
    </row>
    <row r="51" ht="22.5" customHeight="1">
      <c r="A51" s="25"/>
      <c r="B51" s="25"/>
      <c r="C51" s="25"/>
      <c r="D51" s="25"/>
      <c r="E51" s="26"/>
      <c r="F51" s="26"/>
    </row>
    <row r="52" ht="22.5" customHeight="1">
      <c r="A52" s="25"/>
      <c r="B52" s="25"/>
      <c r="C52" s="25"/>
      <c r="D52" s="25"/>
      <c r="E52" s="26"/>
      <c r="F52" s="26"/>
    </row>
    <row r="53" ht="22.5" customHeight="1">
      <c r="A53" s="25"/>
      <c r="B53" s="25"/>
      <c r="C53" s="25"/>
      <c r="D53" s="25"/>
      <c r="E53" s="26"/>
      <c r="F53" s="26"/>
    </row>
    <row r="54" ht="22.5" customHeight="1">
      <c r="A54" s="25"/>
      <c r="B54" s="25"/>
      <c r="C54" s="25"/>
      <c r="D54" s="25"/>
      <c r="E54" s="26"/>
      <c r="F54" s="26"/>
    </row>
    <row r="55" ht="22.5" customHeight="1">
      <c r="A55" s="25"/>
      <c r="B55" s="25"/>
      <c r="C55" s="25"/>
      <c r="D55" s="25"/>
      <c r="E55" s="26"/>
      <c r="F55" s="26"/>
    </row>
    <row r="56" ht="22.5" customHeight="1">
      <c r="A56" s="25"/>
      <c r="B56" s="25"/>
      <c r="C56" s="25"/>
      <c r="D56" s="25"/>
      <c r="E56" s="26"/>
      <c r="F56" s="26"/>
    </row>
    <row r="57" ht="22.5" customHeight="1">
      <c r="A57" s="25"/>
      <c r="B57" s="25"/>
      <c r="C57" s="25"/>
      <c r="D57" s="25"/>
      <c r="E57" s="26"/>
      <c r="F57" s="26"/>
    </row>
    <row r="58" ht="22.5" customHeight="1">
      <c r="A58" s="25"/>
      <c r="B58" s="25"/>
      <c r="C58" s="25"/>
      <c r="D58" s="25"/>
      <c r="E58" s="26"/>
      <c r="F58" s="26"/>
    </row>
    <row r="59" ht="22.5" customHeight="1">
      <c r="A59" s="25"/>
      <c r="B59" s="25"/>
      <c r="C59" s="25"/>
      <c r="D59" s="25"/>
      <c r="E59" s="26"/>
      <c r="F59" s="26"/>
    </row>
    <row r="60" ht="22.5" customHeight="1">
      <c r="A60" s="25"/>
      <c r="B60" s="25"/>
      <c r="C60" s="25"/>
      <c r="D60" s="25"/>
      <c r="E60" s="26"/>
      <c r="F60" s="26"/>
    </row>
    <row r="61" ht="22.5" customHeight="1">
      <c r="A61" s="25"/>
      <c r="B61" s="25"/>
      <c r="C61" s="25"/>
      <c r="D61" s="25"/>
      <c r="E61" s="26"/>
      <c r="F61" s="26"/>
    </row>
    <row r="62" ht="22.5" customHeight="1">
      <c r="A62" s="25"/>
      <c r="B62" s="25"/>
      <c r="C62" s="25"/>
      <c r="D62" s="25"/>
      <c r="E62" s="26"/>
      <c r="F62" s="26"/>
    </row>
    <row r="63" ht="22.5" customHeight="1">
      <c r="A63" s="25"/>
      <c r="B63" s="25"/>
      <c r="C63" s="25"/>
      <c r="D63" s="25"/>
      <c r="E63" s="26"/>
      <c r="F63" s="26"/>
    </row>
    <row r="64" ht="22.5" customHeight="1">
      <c r="A64" s="25"/>
      <c r="B64" s="25"/>
      <c r="C64" s="25"/>
      <c r="D64" s="25"/>
      <c r="E64" s="26"/>
      <c r="F64" s="26"/>
    </row>
    <row r="65" ht="22.5" customHeight="1">
      <c r="A65" s="25"/>
      <c r="B65" s="25"/>
      <c r="C65" s="25"/>
      <c r="D65" s="25"/>
      <c r="E65" s="26"/>
      <c r="F65" s="26"/>
    </row>
    <row r="66" ht="22.5" customHeight="1">
      <c r="A66" s="25"/>
      <c r="B66" s="25"/>
      <c r="C66" s="25"/>
      <c r="D66" s="25"/>
      <c r="E66" s="26"/>
      <c r="F66" s="26"/>
    </row>
    <row r="67" ht="22.5" customHeight="1">
      <c r="A67" s="25"/>
      <c r="B67" s="25"/>
      <c r="C67" s="25"/>
      <c r="D67" s="25"/>
      <c r="E67" s="26"/>
      <c r="F67" s="26"/>
    </row>
    <row r="68" ht="22.5" customHeight="1">
      <c r="A68" s="25"/>
      <c r="B68" s="25"/>
      <c r="C68" s="25"/>
      <c r="D68" s="25"/>
      <c r="E68" s="26"/>
      <c r="F68" s="26"/>
    </row>
    <row r="69" ht="22.5" customHeight="1">
      <c r="A69" s="25"/>
      <c r="B69" s="25"/>
      <c r="C69" s="25"/>
      <c r="D69" s="25"/>
      <c r="E69" s="26"/>
      <c r="F69" s="26"/>
    </row>
    <row r="70" ht="22.5" customHeight="1">
      <c r="A70" s="25"/>
      <c r="B70" s="25"/>
      <c r="C70" s="25"/>
      <c r="D70" s="25"/>
      <c r="E70" s="26"/>
      <c r="F70" s="26"/>
    </row>
    <row r="71" ht="22.5" customHeight="1">
      <c r="A71" s="25"/>
      <c r="B71" s="25"/>
      <c r="C71" s="25"/>
      <c r="D71" s="25"/>
      <c r="E71" s="26"/>
      <c r="F71" s="26"/>
    </row>
    <row r="72" ht="22.5" customHeight="1">
      <c r="A72" s="25"/>
      <c r="B72" s="25"/>
      <c r="C72" s="25"/>
      <c r="D72" s="25"/>
      <c r="E72" s="26"/>
      <c r="F72" s="26"/>
    </row>
    <row r="73" ht="22.5" customHeight="1">
      <c r="A73" s="25"/>
      <c r="B73" s="25"/>
      <c r="C73" s="25"/>
      <c r="D73" s="25"/>
      <c r="E73" s="26"/>
      <c r="F73" s="26"/>
    </row>
    <row r="74" ht="22.5" customHeight="1">
      <c r="A74" s="25"/>
      <c r="B74" s="25"/>
      <c r="C74" s="25"/>
      <c r="D74" s="25"/>
      <c r="E74" s="26"/>
      <c r="F74" s="26"/>
    </row>
    <row r="75" ht="22.5" customHeight="1">
      <c r="A75" s="25"/>
      <c r="B75" s="25"/>
      <c r="C75" s="25"/>
      <c r="D75" s="25"/>
      <c r="E75" s="26"/>
      <c r="F75" s="26"/>
    </row>
    <row r="76" ht="22.5" customHeight="1">
      <c r="A76" s="25"/>
      <c r="B76" s="25"/>
      <c r="C76" s="25"/>
      <c r="D76" s="25"/>
      <c r="E76" s="26"/>
      <c r="F76" s="26"/>
    </row>
    <row r="77" ht="22.5" customHeight="1">
      <c r="A77" s="25"/>
      <c r="B77" s="25"/>
      <c r="C77" s="25"/>
      <c r="D77" s="25"/>
      <c r="E77" s="26"/>
      <c r="F77" s="26"/>
    </row>
    <row r="78" ht="22.5" customHeight="1">
      <c r="A78" s="25"/>
      <c r="B78" s="25"/>
      <c r="C78" s="25"/>
      <c r="D78" s="25"/>
      <c r="E78" s="26"/>
      <c r="F78" s="26"/>
    </row>
    <row r="79" ht="22.5" customHeight="1">
      <c r="A79" s="25"/>
      <c r="B79" s="25"/>
      <c r="C79" s="25"/>
      <c r="D79" s="25"/>
      <c r="E79" s="26"/>
      <c r="F79" s="26"/>
    </row>
    <row r="80" ht="22.5" customHeight="1">
      <c r="A80" s="25"/>
      <c r="B80" s="25"/>
      <c r="C80" s="25"/>
      <c r="D80" s="25"/>
      <c r="E80" s="26"/>
      <c r="F80" s="26"/>
    </row>
    <row r="81" ht="22.5" customHeight="1">
      <c r="A81" s="25"/>
      <c r="B81" s="25"/>
      <c r="C81" s="25"/>
      <c r="D81" s="25"/>
      <c r="E81" s="26"/>
      <c r="F81" s="26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allowBlank="1" showDropDown="1" sqref="A2:A81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1023</v>
      </c>
      <c r="B2" s="12" t="s">
        <v>1024</v>
      </c>
      <c r="C2" s="19" t="s">
        <v>38</v>
      </c>
      <c r="D2" s="18" t="s">
        <v>1025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1026</v>
      </c>
      <c r="B3" s="12" t="s">
        <v>1024</v>
      </c>
      <c r="C3" s="19" t="s">
        <v>41</v>
      </c>
      <c r="D3" s="18" t="s">
        <v>1027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1028</v>
      </c>
      <c r="B4" s="12" t="s">
        <v>1024</v>
      </c>
      <c r="C4" s="19" t="s">
        <v>41</v>
      </c>
      <c r="D4" s="18" t="s">
        <v>1029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1030</v>
      </c>
      <c r="B5" s="12" t="s">
        <v>1024</v>
      </c>
      <c r="C5" s="19" t="s">
        <v>41</v>
      </c>
      <c r="D5" s="18" t="s">
        <v>1031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1032</v>
      </c>
      <c r="B6" s="12" t="s">
        <v>1024</v>
      </c>
      <c r="C6" s="19" t="s">
        <v>41</v>
      </c>
      <c r="D6" s="18" t="s">
        <v>1033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1034</v>
      </c>
      <c r="B7" s="12" t="s">
        <v>1024</v>
      </c>
      <c r="C7" s="19" t="s">
        <v>41</v>
      </c>
      <c r="D7" s="18" t="s">
        <v>1035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1036</v>
      </c>
      <c r="B8" s="12" t="s">
        <v>1024</v>
      </c>
      <c r="C8" s="19" t="s">
        <v>41</v>
      </c>
      <c r="D8" s="18" t="s">
        <v>1037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1038</v>
      </c>
      <c r="B9" s="12" t="s">
        <v>1024</v>
      </c>
      <c r="C9" s="19" t="s">
        <v>41</v>
      </c>
      <c r="D9" s="18" t="s">
        <v>1039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1040</v>
      </c>
      <c r="B10" s="12" t="s">
        <v>1024</v>
      </c>
      <c r="C10" s="19" t="s">
        <v>41</v>
      </c>
      <c r="D10" s="18" t="s">
        <v>1041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1042</v>
      </c>
      <c r="B11" s="12" t="s">
        <v>1024</v>
      </c>
      <c r="C11" s="19" t="s">
        <v>41</v>
      </c>
      <c r="D11" s="18" t="s">
        <v>1043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1044</v>
      </c>
      <c r="B12" s="12" t="s">
        <v>1024</v>
      </c>
      <c r="C12" s="19" t="s">
        <v>41</v>
      </c>
      <c r="D12" s="18" t="s">
        <v>1045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1046</v>
      </c>
      <c r="B13" s="12" t="s">
        <v>1024</v>
      </c>
      <c r="C13" s="19" t="s">
        <v>41</v>
      </c>
      <c r="D13" s="18" t="s">
        <v>1047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1048</v>
      </c>
      <c r="B14" s="12" t="s">
        <v>1024</v>
      </c>
      <c r="C14" s="19" t="s">
        <v>34</v>
      </c>
      <c r="D14" s="18" t="s">
        <v>1025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1049</v>
      </c>
      <c r="B15" s="12" t="s">
        <v>1024</v>
      </c>
      <c r="C15" s="19" t="s">
        <v>41</v>
      </c>
      <c r="D15" s="18" t="s">
        <v>1050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1051</v>
      </c>
      <c r="B16" s="12" t="s">
        <v>1024</v>
      </c>
      <c r="C16" s="19" t="s">
        <v>41</v>
      </c>
      <c r="D16" s="18" t="s">
        <v>1052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1053</v>
      </c>
      <c r="B17" s="12" t="s">
        <v>1024</v>
      </c>
      <c r="C17" s="19" t="s">
        <v>41</v>
      </c>
      <c r="D17" s="18" t="s">
        <v>1054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1055</v>
      </c>
      <c r="B18" s="12" t="s">
        <v>1024</v>
      </c>
      <c r="C18" s="19" t="s">
        <v>41</v>
      </c>
      <c r="D18" s="18" t="s">
        <v>1056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1057</v>
      </c>
      <c r="B19" s="12" t="s">
        <v>1024</v>
      </c>
      <c r="C19" s="19" t="s">
        <v>41</v>
      </c>
      <c r="D19" s="18" t="s">
        <v>1058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1059</v>
      </c>
      <c r="B20" s="12" t="s">
        <v>1024</v>
      </c>
      <c r="C20" s="19" t="s">
        <v>41</v>
      </c>
      <c r="D20" s="18" t="s">
        <v>1060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1061</v>
      </c>
      <c r="B21" s="12" t="s">
        <v>1024</v>
      </c>
      <c r="C21" s="19" t="s">
        <v>41</v>
      </c>
      <c r="D21" s="18" t="s">
        <v>1062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1063</v>
      </c>
      <c r="B22" s="12" t="s">
        <v>1064</v>
      </c>
      <c r="C22" s="19" t="s">
        <v>38</v>
      </c>
      <c r="D22" s="21" t="s">
        <v>1065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1066</v>
      </c>
      <c r="B23" s="12" t="s">
        <v>1064</v>
      </c>
      <c r="C23" s="19" t="s">
        <v>41</v>
      </c>
      <c r="D23" s="21" t="s">
        <v>1067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1068</v>
      </c>
      <c r="B24" s="12" t="s">
        <v>1064</v>
      </c>
      <c r="C24" s="19" t="s">
        <v>41</v>
      </c>
      <c r="D24" s="21" t="s">
        <v>1069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1070</v>
      </c>
      <c r="B25" s="12" t="s">
        <v>1064</v>
      </c>
      <c r="C25" s="19" t="s">
        <v>41</v>
      </c>
      <c r="D25" s="21" t="s">
        <v>1071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1072</v>
      </c>
      <c r="B26" s="12" t="s">
        <v>1064</v>
      </c>
      <c r="C26" s="19" t="s">
        <v>41</v>
      </c>
      <c r="D26" s="21" t="s">
        <v>1073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1074</v>
      </c>
      <c r="B27" s="12" t="s">
        <v>1064</v>
      </c>
      <c r="C27" s="19" t="s">
        <v>41</v>
      </c>
      <c r="D27" s="21" t="s">
        <v>1075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1076</v>
      </c>
      <c r="B28" s="12" t="s">
        <v>1064</v>
      </c>
      <c r="C28" s="19" t="s">
        <v>41</v>
      </c>
      <c r="D28" s="21" t="s">
        <v>1077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1078</v>
      </c>
      <c r="B29" s="12" t="s">
        <v>1064</v>
      </c>
      <c r="C29" s="19" t="s">
        <v>41</v>
      </c>
      <c r="D29" s="21" t="s">
        <v>1079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1080</v>
      </c>
      <c r="B30" s="12" t="s">
        <v>1064</v>
      </c>
      <c r="C30" s="19" t="s">
        <v>41</v>
      </c>
      <c r="D30" s="21" t="s">
        <v>1081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1082</v>
      </c>
      <c r="B31" s="12" t="s">
        <v>1064</v>
      </c>
      <c r="C31" s="19" t="s">
        <v>41</v>
      </c>
      <c r="D31" s="21" t="s">
        <v>1083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1084</v>
      </c>
      <c r="B32" s="12" t="s">
        <v>1064</v>
      </c>
      <c r="C32" s="19" t="s">
        <v>41</v>
      </c>
      <c r="D32" s="21" t="s">
        <v>1085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1086</v>
      </c>
      <c r="B33" s="12" t="s">
        <v>1064</v>
      </c>
      <c r="C33" s="19" t="s">
        <v>41</v>
      </c>
      <c r="D33" s="21" t="s">
        <v>1087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1088</v>
      </c>
      <c r="B34" s="12" t="s">
        <v>1064</v>
      </c>
      <c r="C34" s="19" t="s">
        <v>34</v>
      </c>
      <c r="D34" s="21" t="s">
        <v>1065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1089</v>
      </c>
      <c r="B35" s="12" t="s">
        <v>1064</v>
      </c>
      <c r="C35" s="19" t="s">
        <v>41</v>
      </c>
      <c r="D35" s="21" t="s">
        <v>1090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1091</v>
      </c>
      <c r="B36" s="12" t="s">
        <v>1064</v>
      </c>
      <c r="C36" s="19" t="s">
        <v>41</v>
      </c>
      <c r="D36" s="21" t="s">
        <v>1092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1093</v>
      </c>
      <c r="B37" s="12" t="s">
        <v>1064</v>
      </c>
      <c r="C37" s="19" t="s">
        <v>41</v>
      </c>
      <c r="D37" s="21" t="s">
        <v>1094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1095</v>
      </c>
      <c r="B38" s="12" t="s">
        <v>1064</v>
      </c>
      <c r="C38" s="19" t="s">
        <v>41</v>
      </c>
      <c r="D38" s="21" t="s">
        <v>1096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1097</v>
      </c>
      <c r="B39" s="12" t="s">
        <v>1064</v>
      </c>
      <c r="C39" s="19" t="s">
        <v>41</v>
      </c>
      <c r="D39" s="21" t="s">
        <v>1098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1099</v>
      </c>
      <c r="B40" s="12" t="s">
        <v>1064</v>
      </c>
      <c r="C40" s="19" t="s">
        <v>41</v>
      </c>
      <c r="D40" s="21" t="s">
        <v>1100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1101</v>
      </c>
      <c r="B41" s="12" t="s">
        <v>1064</v>
      </c>
      <c r="C41" s="19" t="s">
        <v>41</v>
      </c>
      <c r="D41" s="21" t="s">
        <v>1102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1103</v>
      </c>
      <c r="B42" s="12" t="s">
        <v>1104</v>
      </c>
      <c r="C42" s="19" t="s">
        <v>38</v>
      </c>
      <c r="D42" s="21" t="s">
        <v>1105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1106</v>
      </c>
      <c r="B43" s="12" t="s">
        <v>1104</v>
      </c>
      <c r="C43" s="19" t="s">
        <v>41</v>
      </c>
      <c r="D43" s="21" t="s">
        <v>1107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1108</v>
      </c>
      <c r="B44" s="12" t="s">
        <v>1104</v>
      </c>
      <c r="C44" s="19" t="s">
        <v>41</v>
      </c>
      <c r="D44" s="21" t="s">
        <v>1109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1110</v>
      </c>
      <c r="B45" s="12" t="s">
        <v>1104</v>
      </c>
      <c r="C45" s="19" t="s">
        <v>41</v>
      </c>
      <c r="D45" s="21" t="s">
        <v>1111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1112</v>
      </c>
      <c r="B46" s="12" t="s">
        <v>1104</v>
      </c>
      <c r="C46" s="19" t="s">
        <v>41</v>
      </c>
      <c r="D46" s="21" t="s">
        <v>1113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1114</v>
      </c>
      <c r="B47" s="12" t="s">
        <v>1104</v>
      </c>
      <c r="C47" s="19" t="s">
        <v>41</v>
      </c>
      <c r="D47" s="21" t="s">
        <v>1115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1116</v>
      </c>
      <c r="B48" s="12" t="s">
        <v>1104</v>
      </c>
      <c r="C48" s="19" t="s">
        <v>41</v>
      </c>
      <c r="D48" s="21" t="s">
        <v>1117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1118</v>
      </c>
      <c r="B49" s="12" t="s">
        <v>1104</v>
      </c>
      <c r="C49" s="19" t="s">
        <v>41</v>
      </c>
      <c r="D49" s="21" t="s">
        <v>1119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1120</v>
      </c>
      <c r="B50" s="12" t="s">
        <v>1104</v>
      </c>
      <c r="C50" s="19" t="s">
        <v>41</v>
      </c>
      <c r="D50" s="21" t="s">
        <v>1121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1122</v>
      </c>
      <c r="B51" s="12" t="s">
        <v>1104</v>
      </c>
      <c r="C51" s="19" t="s">
        <v>41</v>
      </c>
      <c r="D51" s="21" t="s">
        <v>1123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1124</v>
      </c>
      <c r="B52" s="12" t="s">
        <v>1104</v>
      </c>
      <c r="C52" s="19" t="s">
        <v>41</v>
      </c>
      <c r="D52" s="21" t="s">
        <v>1125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1126</v>
      </c>
      <c r="B53" s="12" t="s">
        <v>1104</v>
      </c>
      <c r="C53" s="19" t="s">
        <v>41</v>
      </c>
      <c r="D53" s="21" t="s">
        <v>1127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1128</v>
      </c>
      <c r="B54" s="12" t="s">
        <v>1104</v>
      </c>
      <c r="C54" s="19" t="s">
        <v>34</v>
      </c>
      <c r="D54" s="21" t="s">
        <v>1105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1129</v>
      </c>
      <c r="B55" s="12" t="s">
        <v>1104</v>
      </c>
      <c r="C55" s="19" t="s">
        <v>41</v>
      </c>
      <c r="D55" s="21" t="s">
        <v>1130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1131</v>
      </c>
      <c r="B56" s="12" t="s">
        <v>1104</v>
      </c>
      <c r="C56" s="19" t="s">
        <v>41</v>
      </c>
      <c r="D56" s="21" t="s">
        <v>1132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1133</v>
      </c>
      <c r="B57" s="12" t="s">
        <v>1104</v>
      </c>
      <c r="C57" s="19" t="s">
        <v>41</v>
      </c>
      <c r="D57" s="21" t="s">
        <v>1134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1135</v>
      </c>
      <c r="B58" s="12" t="s">
        <v>1104</v>
      </c>
      <c r="C58" s="19" t="s">
        <v>41</v>
      </c>
      <c r="D58" s="21" t="s">
        <v>1136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1137</v>
      </c>
      <c r="B59" s="12" t="s">
        <v>1104</v>
      </c>
      <c r="C59" s="19" t="s">
        <v>41</v>
      </c>
      <c r="D59" s="21" t="s">
        <v>1138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1139</v>
      </c>
      <c r="B60" s="12" t="s">
        <v>1104</v>
      </c>
      <c r="C60" s="19" t="s">
        <v>41</v>
      </c>
      <c r="D60" s="21" t="s">
        <v>1140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1141</v>
      </c>
      <c r="B61" s="12" t="s">
        <v>1104</v>
      </c>
      <c r="C61" s="19" t="s">
        <v>41</v>
      </c>
      <c r="D61" s="21" t="s">
        <v>1142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1143</v>
      </c>
      <c r="B62" s="12" t="s">
        <v>1144</v>
      </c>
      <c r="C62" s="19" t="s">
        <v>38</v>
      </c>
      <c r="D62" s="21" t="s">
        <v>1145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1146</v>
      </c>
      <c r="B63" s="12" t="s">
        <v>1144</v>
      </c>
      <c r="C63" s="19" t="s">
        <v>41</v>
      </c>
      <c r="D63" s="21" t="s">
        <v>1147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1148</v>
      </c>
      <c r="B64" s="12" t="s">
        <v>1144</v>
      </c>
      <c r="C64" s="19" t="s">
        <v>41</v>
      </c>
      <c r="D64" s="21" t="s">
        <v>1149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1150</v>
      </c>
      <c r="B65" s="12" t="s">
        <v>1144</v>
      </c>
      <c r="C65" s="19" t="s">
        <v>41</v>
      </c>
      <c r="D65" s="21" t="s">
        <v>1151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1152</v>
      </c>
      <c r="B66" s="12" t="s">
        <v>1144</v>
      </c>
      <c r="C66" s="19" t="s">
        <v>41</v>
      </c>
      <c r="D66" s="21" t="s">
        <v>1153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1154</v>
      </c>
      <c r="B67" s="12" t="s">
        <v>1144</v>
      </c>
      <c r="C67" s="19" t="s">
        <v>41</v>
      </c>
      <c r="D67" s="21" t="s">
        <v>1155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1156</v>
      </c>
      <c r="B68" s="12" t="s">
        <v>1144</v>
      </c>
      <c r="C68" s="19" t="s">
        <v>41</v>
      </c>
      <c r="D68" s="21" t="s">
        <v>1157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1158</v>
      </c>
      <c r="B69" s="12" t="s">
        <v>1144</v>
      </c>
      <c r="C69" s="19" t="s">
        <v>41</v>
      </c>
      <c r="D69" s="21" t="s">
        <v>1159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1160</v>
      </c>
      <c r="B70" s="12" t="s">
        <v>1144</v>
      </c>
      <c r="C70" s="19" t="s">
        <v>41</v>
      </c>
      <c r="D70" s="21" t="s">
        <v>1161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1162</v>
      </c>
      <c r="B71" s="12" t="s">
        <v>1144</v>
      </c>
      <c r="C71" s="19" t="s">
        <v>41</v>
      </c>
      <c r="D71" s="21" t="s">
        <v>1163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1164</v>
      </c>
      <c r="B72" s="12" t="s">
        <v>1144</v>
      </c>
      <c r="C72" s="19" t="s">
        <v>41</v>
      </c>
      <c r="D72" s="21" t="s">
        <v>1165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1166</v>
      </c>
      <c r="B73" s="12" t="s">
        <v>1144</v>
      </c>
      <c r="C73" s="19" t="s">
        <v>41</v>
      </c>
      <c r="D73" s="21" t="s">
        <v>1167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1168</v>
      </c>
      <c r="B74" s="12" t="s">
        <v>1144</v>
      </c>
      <c r="C74" s="19" t="s">
        <v>34</v>
      </c>
      <c r="D74" s="21" t="s">
        <v>1145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1169</v>
      </c>
      <c r="B75" s="12" t="s">
        <v>1144</v>
      </c>
      <c r="C75" s="19" t="s">
        <v>41</v>
      </c>
      <c r="D75" s="21" t="s">
        <v>1170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1171</v>
      </c>
      <c r="B76" s="12" t="s">
        <v>1144</v>
      </c>
      <c r="C76" s="19" t="s">
        <v>41</v>
      </c>
      <c r="D76" s="21" t="s">
        <v>1172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1173</v>
      </c>
      <c r="B77" s="12" t="s">
        <v>1144</v>
      </c>
      <c r="C77" s="19" t="s">
        <v>41</v>
      </c>
      <c r="D77" s="21" t="s">
        <v>1174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1175</v>
      </c>
      <c r="B78" s="12" t="s">
        <v>1144</v>
      </c>
      <c r="C78" s="19" t="s">
        <v>41</v>
      </c>
      <c r="D78" s="21" t="s">
        <v>1176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1177</v>
      </c>
      <c r="B79" s="12" t="s">
        <v>1144</v>
      </c>
      <c r="C79" s="19" t="s">
        <v>41</v>
      </c>
      <c r="D79" s="21" t="s">
        <v>1178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1179</v>
      </c>
      <c r="B80" s="12" t="s">
        <v>1144</v>
      </c>
      <c r="C80" s="19" t="s">
        <v>41</v>
      </c>
      <c r="D80" s="21" t="s">
        <v>1180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1181</v>
      </c>
      <c r="B81" s="12" t="s">
        <v>1144</v>
      </c>
      <c r="C81" s="19" t="s">
        <v>41</v>
      </c>
      <c r="D81" s="21" t="s">
        <v>1182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1183</v>
      </c>
      <c r="B2" s="12" t="s">
        <v>1184</v>
      </c>
      <c r="C2" s="19" t="s">
        <v>38</v>
      </c>
      <c r="D2" s="18" t="s">
        <v>1185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1186</v>
      </c>
      <c r="B3" s="12" t="s">
        <v>1184</v>
      </c>
      <c r="C3" s="19" t="s">
        <v>41</v>
      </c>
      <c r="D3" s="18" t="s">
        <v>1187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1188</v>
      </c>
      <c r="B4" s="12" t="s">
        <v>1184</v>
      </c>
      <c r="C4" s="19" t="s">
        <v>41</v>
      </c>
      <c r="D4" s="18" t="s">
        <v>1189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1190</v>
      </c>
      <c r="B5" s="12" t="s">
        <v>1184</v>
      </c>
      <c r="C5" s="19" t="s">
        <v>41</v>
      </c>
      <c r="D5" s="18" t="s">
        <v>1191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1192</v>
      </c>
      <c r="B6" s="12" t="s">
        <v>1184</v>
      </c>
      <c r="C6" s="19" t="s">
        <v>41</v>
      </c>
      <c r="D6" s="18" t="s">
        <v>1193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1194</v>
      </c>
      <c r="B7" s="12" t="s">
        <v>1184</v>
      </c>
      <c r="C7" s="19" t="s">
        <v>41</v>
      </c>
      <c r="D7" s="18" t="s">
        <v>1195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1196</v>
      </c>
      <c r="B8" s="12" t="s">
        <v>1184</v>
      </c>
      <c r="C8" s="19" t="s">
        <v>41</v>
      </c>
      <c r="D8" s="18" t="s">
        <v>1197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1198</v>
      </c>
      <c r="B9" s="12" t="s">
        <v>1184</v>
      </c>
      <c r="C9" s="19" t="s">
        <v>41</v>
      </c>
      <c r="D9" s="18" t="s">
        <v>1199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1200</v>
      </c>
      <c r="B10" s="12" t="s">
        <v>1184</v>
      </c>
      <c r="C10" s="19" t="s">
        <v>41</v>
      </c>
      <c r="D10" s="18" t="s">
        <v>1201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1202</v>
      </c>
      <c r="B11" s="12" t="s">
        <v>1184</v>
      </c>
      <c r="C11" s="19" t="s">
        <v>41</v>
      </c>
      <c r="D11" s="18" t="s">
        <v>1203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1204</v>
      </c>
      <c r="B12" s="12" t="s">
        <v>1184</v>
      </c>
      <c r="C12" s="19" t="s">
        <v>41</v>
      </c>
      <c r="D12" s="18" t="s">
        <v>1205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1206</v>
      </c>
      <c r="B13" s="12" t="s">
        <v>1184</v>
      </c>
      <c r="C13" s="19" t="s">
        <v>41</v>
      </c>
      <c r="D13" s="18" t="s">
        <v>1207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1208</v>
      </c>
      <c r="B14" s="12" t="s">
        <v>1184</v>
      </c>
      <c r="C14" s="19" t="s">
        <v>34</v>
      </c>
      <c r="D14" s="18" t="s">
        <v>1185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1209</v>
      </c>
      <c r="B15" s="12" t="s">
        <v>1184</v>
      </c>
      <c r="C15" s="19" t="s">
        <v>41</v>
      </c>
      <c r="D15" s="18" t="s">
        <v>1210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1211</v>
      </c>
      <c r="B16" s="12" t="s">
        <v>1184</v>
      </c>
      <c r="C16" s="19" t="s">
        <v>41</v>
      </c>
      <c r="D16" s="18" t="s">
        <v>1000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1212</v>
      </c>
      <c r="B17" s="12" t="s">
        <v>1184</v>
      </c>
      <c r="C17" s="19" t="s">
        <v>41</v>
      </c>
      <c r="D17" s="18" t="s">
        <v>1213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1214</v>
      </c>
      <c r="B18" s="12" t="s">
        <v>1184</v>
      </c>
      <c r="C18" s="19" t="s">
        <v>41</v>
      </c>
      <c r="D18" s="18" t="s">
        <v>1215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1216</v>
      </c>
      <c r="B19" s="12" t="s">
        <v>1184</v>
      </c>
      <c r="C19" s="19" t="s">
        <v>41</v>
      </c>
      <c r="D19" s="18" t="s">
        <v>1217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1218</v>
      </c>
      <c r="B20" s="12" t="s">
        <v>1184</v>
      </c>
      <c r="C20" s="19" t="s">
        <v>41</v>
      </c>
      <c r="D20" s="18" t="s">
        <v>1219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1220</v>
      </c>
      <c r="B21" s="12" t="s">
        <v>1184</v>
      </c>
      <c r="C21" s="19" t="s">
        <v>41</v>
      </c>
      <c r="D21" s="18" t="s">
        <v>1221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1222</v>
      </c>
      <c r="B22" s="12" t="s">
        <v>1223</v>
      </c>
      <c r="C22" s="19" t="s">
        <v>38</v>
      </c>
      <c r="D22" s="21" t="s">
        <v>1224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1225</v>
      </c>
      <c r="B23" s="12" t="s">
        <v>1223</v>
      </c>
      <c r="C23" s="19" t="s">
        <v>41</v>
      </c>
      <c r="D23" s="21" t="s">
        <v>1226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1227</v>
      </c>
      <c r="B24" s="12" t="s">
        <v>1223</v>
      </c>
      <c r="C24" s="19" t="s">
        <v>41</v>
      </c>
      <c r="D24" s="21" t="s">
        <v>1228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1229</v>
      </c>
      <c r="B25" s="12" t="s">
        <v>1223</v>
      </c>
      <c r="C25" s="19" t="s">
        <v>41</v>
      </c>
      <c r="D25" s="21" t="s">
        <v>1230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1231</v>
      </c>
      <c r="B26" s="12" t="s">
        <v>1223</v>
      </c>
      <c r="C26" s="19" t="s">
        <v>41</v>
      </c>
      <c r="D26" s="21" t="s">
        <v>1232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1233</v>
      </c>
      <c r="B27" s="12" t="s">
        <v>1223</v>
      </c>
      <c r="C27" s="19" t="s">
        <v>41</v>
      </c>
      <c r="D27" s="21" t="s">
        <v>1234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1235</v>
      </c>
      <c r="B28" s="12" t="s">
        <v>1223</v>
      </c>
      <c r="C28" s="19" t="s">
        <v>41</v>
      </c>
      <c r="D28" s="21" t="s">
        <v>1236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1237</v>
      </c>
      <c r="B29" s="12" t="s">
        <v>1223</v>
      </c>
      <c r="C29" s="19" t="s">
        <v>41</v>
      </c>
      <c r="D29" s="21" t="s">
        <v>1238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1239</v>
      </c>
      <c r="B30" s="12" t="s">
        <v>1223</v>
      </c>
      <c r="C30" s="19" t="s">
        <v>41</v>
      </c>
      <c r="D30" s="21" t="s">
        <v>1240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1241</v>
      </c>
      <c r="B31" s="12" t="s">
        <v>1223</v>
      </c>
      <c r="C31" s="19" t="s">
        <v>41</v>
      </c>
      <c r="D31" s="21" t="s">
        <v>1242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1243</v>
      </c>
      <c r="B32" s="12" t="s">
        <v>1223</v>
      </c>
      <c r="C32" s="19" t="s">
        <v>41</v>
      </c>
      <c r="D32" s="21" t="s">
        <v>1244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1245</v>
      </c>
      <c r="B33" s="12" t="s">
        <v>1223</v>
      </c>
      <c r="C33" s="19" t="s">
        <v>41</v>
      </c>
      <c r="D33" s="21" t="s">
        <v>1246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1247</v>
      </c>
      <c r="B34" s="12" t="s">
        <v>1223</v>
      </c>
      <c r="C34" s="19" t="s">
        <v>34</v>
      </c>
      <c r="D34" s="21" t="s">
        <v>1224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1248</v>
      </c>
      <c r="B35" s="12" t="s">
        <v>1223</v>
      </c>
      <c r="C35" s="19" t="s">
        <v>41</v>
      </c>
      <c r="D35" s="21" t="s">
        <v>1249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1250</v>
      </c>
      <c r="B36" s="12" t="s">
        <v>1223</v>
      </c>
      <c r="C36" s="19" t="s">
        <v>41</v>
      </c>
      <c r="D36" s="21" t="s">
        <v>1251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1252</v>
      </c>
      <c r="B37" s="12" t="s">
        <v>1223</v>
      </c>
      <c r="C37" s="19" t="s">
        <v>41</v>
      </c>
      <c r="D37" s="21" t="s">
        <v>1253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1254</v>
      </c>
      <c r="B38" s="12" t="s">
        <v>1223</v>
      </c>
      <c r="C38" s="19" t="s">
        <v>41</v>
      </c>
      <c r="D38" s="21" t="s">
        <v>1255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1256</v>
      </c>
      <c r="B39" s="12" t="s">
        <v>1223</v>
      </c>
      <c r="C39" s="19" t="s">
        <v>41</v>
      </c>
      <c r="D39" s="21" t="s">
        <v>1257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1258</v>
      </c>
      <c r="B40" s="12" t="s">
        <v>1223</v>
      </c>
      <c r="C40" s="19" t="s">
        <v>41</v>
      </c>
      <c r="D40" s="21" t="s">
        <v>1259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1260</v>
      </c>
      <c r="B41" s="12" t="s">
        <v>1223</v>
      </c>
      <c r="C41" s="19" t="s">
        <v>41</v>
      </c>
      <c r="D41" s="21" t="s">
        <v>1261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1262</v>
      </c>
      <c r="B42" s="12" t="s">
        <v>1263</v>
      </c>
      <c r="C42" s="19" t="s">
        <v>38</v>
      </c>
      <c r="D42" s="21" t="s">
        <v>1264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1265</v>
      </c>
      <c r="B43" s="12" t="s">
        <v>1263</v>
      </c>
      <c r="C43" s="19" t="s">
        <v>41</v>
      </c>
      <c r="D43" s="21" t="s">
        <v>1266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1267</v>
      </c>
      <c r="B44" s="12" t="s">
        <v>1263</v>
      </c>
      <c r="C44" s="19" t="s">
        <v>41</v>
      </c>
      <c r="D44" s="21" t="s">
        <v>1268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1269</v>
      </c>
      <c r="B45" s="12" t="s">
        <v>1263</v>
      </c>
      <c r="C45" s="19" t="s">
        <v>41</v>
      </c>
      <c r="D45" s="21" t="s">
        <v>1270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1271</v>
      </c>
      <c r="B46" s="12" t="s">
        <v>1263</v>
      </c>
      <c r="C46" s="19" t="s">
        <v>41</v>
      </c>
      <c r="D46" s="21" t="s">
        <v>1272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1273</v>
      </c>
      <c r="B47" s="12" t="s">
        <v>1263</v>
      </c>
      <c r="C47" s="19" t="s">
        <v>41</v>
      </c>
      <c r="D47" s="21" t="s">
        <v>1274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1275</v>
      </c>
      <c r="B48" s="12" t="s">
        <v>1263</v>
      </c>
      <c r="C48" s="19" t="s">
        <v>41</v>
      </c>
      <c r="D48" s="21" t="s">
        <v>1276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1277</v>
      </c>
      <c r="B49" s="12" t="s">
        <v>1263</v>
      </c>
      <c r="C49" s="19" t="s">
        <v>41</v>
      </c>
      <c r="D49" s="21" t="s">
        <v>1278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1279</v>
      </c>
      <c r="B50" s="12" t="s">
        <v>1263</v>
      </c>
      <c r="C50" s="19" t="s">
        <v>41</v>
      </c>
      <c r="D50" s="21" t="s">
        <v>1280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1281</v>
      </c>
      <c r="B51" s="12" t="s">
        <v>1263</v>
      </c>
      <c r="C51" s="19" t="s">
        <v>41</v>
      </c>
      <c r="D51" s="21" t="s">
        <v>1282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1283</v>
      </c>
      <c r="B52" s="12" t="s">
        <v>1263</v>
      </c>
      <c r="C52" s="19" t="s">
        <v>41</v>
      </c>
      <c r="D52" s="21" t="s">
        <v>1284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1285</v>
      </c>
      <c r="B53" s="12" t="s">
        <v>1263</v>
      </c>
      <c r="C53" s="19" t="s">
        <v>41</v>
      </c>
      <c r="D53" s="21" t="s">
        <v>1286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1287</v>
      </c>
      <c r="B54" s="12" t="s">
        <v>1263</v>
      </c>
      <c r="C54" s="19" t="s">
        <v>34</v>
      </c>
      <c r="D54" s="21" t="s">
        <v>1264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1288</v>
      </c>
      <c r="B55" s="12" t="s">
        <v>1263</v>
      </c>
      <c r="C55" s="19" t="s">
        <v>41</v>
      </c>
      <c r="D55" s="21" t="s">
        <v>1289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1290</v>
      </c>
      <c r="B56" s="12" t="s">
        <v>1263</v>
      </c>
      <c r="C56" s="19" t="s">
        <v>41</v>
      </c>
      <c r="D56" s="21" t="s">
        <v>1291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1292</v>
      </c>
      <c r="B57" s="12" t="s">
        <v>1263</v>
      </c>
      <c r="C57" s="19" t="s">
        <v>41</v>
      </c>
      <c r="D57" s="21" t="s">
        <v>1293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1294</v>
      </c>
      <c r="B58" s="12" t="s">
        <v>1263</v>
      </c>
      <c r="C58" s="19" t="s">
        <v>41</v>
      </c>
      <c r="D58" s="21" t="s">
        <v>1295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1296</v>
      </c>
      <c r="B59" s="12" t="s">
        <v>1263</v>
      </c>
      <c r="C59" s="19" t="s">
        <v>41</v>
      </c>
      <c r="D59" s="21" t="s">
        <v>1297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1298</v>
      </c>
      <c r="B60" s="12" t="s">
        <v>1263</v>
      </c>
      <c r="C60" s="19" t="s">
        <v>41</v>
      </c>
      <c r="D60" s="21" t="s">
        <v>1299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1300</v>
      </c>
      <c r="B61" s="12" t="s">
        <v>1263</v>
      </c>
      <c r="C61" s="19" t="s">
        <v>41</v>
      </c>
      <c r="D61" s="21" t="s">
        <v>1301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1302</v>
      </c>
      <c r="B62" s="12" t="s">
        <v>1303</v>
      </c>
      <c r="C62" s="19" t="s">
        <v>38</v>
      </c>
      <c r="D62" s="21" t="s">
        <v>1304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1305</v>
      </c>
      <c r="B63" s="12" t="s">
        <v>1303</v>
      </c>
      <c r="C63" s="19" t="s">
        <v>41</v>
      </c>
      <c r="D63" s="21" t="s">
        <v>1306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1307</v>
      </c>
      <c r="B64" s="12" t="s">
        <v>1303</v>
      </c>
      <c r="C64" s="19" t="s">
        <v>41</v>
      </c>
      <c r="D64" s="21" t="s">
        <v>1308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1309</v>
      </c>
      <c r="B65" s="12" t="s">
        <v>1303</v>
      </c>
      <c r="C65" s="19" t="s">
        <v>41</v>
      </c>
      <c r="D65" s="21" t="s">
        <v>1310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1311</v>
      </c>
      <c r="B66" s="12" t="s">
        <v>1303</v>
      </c>
      <c r="C66" s="19" t="s">
        <v>41</v>
      </c>
      <c r="D66" s="21" t="s">
        <v>1312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1313</v>
      </c>
      <c r="B67" s="12" t="s">
        <v>1303</v>
      </c>
      <c r="C67" s="19" t="s">
        <v>41</v>
      </c>
      <c r="D67" s="21" t="s">
        <v>1314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1315</v>
      </c>
      <c r="B68" s="12" t="s">
        <v>1303</v>
      </c>
      <c r="C68" s="19" t="s">
        <v>41</v>
      </c>
      <c r="D68" s="21" t="s">
        <v>1316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1317</v>
      </c>
      <c r="B69" s="12" t="s">
        <v>1303</v>
      </c>
      <c r="C69" s="19" t="s">
        <v>41</v>
      </c>
      <c r="D69" s="21" t="s">
        <v>1318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1319</v>
      </c>
      <c r="B70" s="12" t="s">
        <v>1303</v>
      </c>
      <c r="C70" s="19" t="s">
        <v>41</v>
      </c>
      <c r="D70" s="21" t="s">
        <v>1320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1321</v>
      </c>
      <c r="B71" s="12" t="s">
        <v>1303</v>
      </c>
      <c r="C71" s="19" t="s">
        <v>41</v>
      </c>
      <c r="D71" s="21" t="s">
        <v>1010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1322</v>
      </c>
      <c r="B72" s="12" t="s">
        <v>1303</v>
      </c>
      <c r="C72" s="19" t="s">
        <v>41</v>
      </c>
      <c r="D72" s="21" t="s">
        <v>1323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1324</v>
      </c>
      <c r="B73" s="12" t="s">
        <v>1303</v>
      </c>
      <c r="C73" s="19" t="s">
        <v>41</v>
      </c>
      <c r="D73" s="21" t="s">
        <v>1325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1326</v>
      </c>
      <c r="B74" s="12" t="s">
        <v>1303</v>
      </c>
      <c r="C74" s="19" t="s">
        <v>34</v>
      </c>
      <c r="D74" s="21" t="s">
        <v>1304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1327</v>
      </c>
      <c r="B75" s="12" t="s">
        <v>1303</v>
      </c>
      <c r="C75" s="19" t="s">
        <v>41</v>
      </c>
      <c r="D75" s="21" t="s">
        <v>1328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1329</v>
      </c>
      <c r="B76" s="12" t="s">
        <v>1303</v>
      </c>
      <c r="C76" s="19" t="s">
        <v>41</v>
      </c>
      <c r="D76" s="21" t="s">
        <v>1330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1331</v>
      </c>
      <c r="B77" s="12" t="s">
        <v>1303</v>
      </c>
      <c r="C77" s="19" t="s">
        <v>41</v>
      </c>
      <c r="D77" s="21" t="s">
        <v>1332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1333</v>
      </c>
      <c r="B78" s="12" t="s">
        <v>1303</v>
      </c>
      <c r="C78" s="19" t="s">
        <v>41</v>
      </c>
      <c r="D78" s="21" t="s">
        <v>1334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1335</v>
      </c>
      <c r="B79" s="12" t="s">
        <v>1303</v>
      </c>
      <c r="C79" s="19" t="s">
        <v>41</v>
      </c>
      <c r="D79" s="21" t="s">
        <v>1336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1337</v>
      </c>
      <c r="B80" s="12" t="s">
        <v>1303</v>
      </c>
      <c r="C80" s="19" t="s">
        <v>41</v>
      </c>
      <c r="D80" s="21" t="s">
        <v>1338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1339</v>
      </c>
      <c r="B81" s="12" t="s">
        <v>1303</v>
      </c>
      <c r="C81" s="19" t="s">
        <v>41</v>
      </c>
      <c r="D81" s="21" t="s">
        <v>1340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1341</v>
      </c>
      <c r="B2" s="12" t="s">
        <v>1342</v>
      </c>
      <c r="C2" s="19" t="s">
        <v>38</v>
      </c>
      <c r="D2" s="18" t="s">
        <v>1343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1344</v>
      </c>
      <c r="B3" s="12" t="s">
        <v>1342</v>
      </c>
      <c r="C3" s="19" t="s">
        <v>41</v>
      </c>
      <c r="D3" s="18" t="s">
        <v>1345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1346</v>
      </c>
      <c r="B4" s="12" t="s">
        <v>1342</v>
      </c>
      <c r="C4" s="19" t="s">
        <v>41</v>
      </c>
      <c r="D4" s="18" t="s">
        <v>1347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1348</v>
      </c>
      <c r="B5" s="12" t="s">
        <v>1342</v>
      </c>
      <c r="C5" s="19" t="s">
        <v>41</v>
      </c>
      <c r="D5" s="18" t="s">
        <v>1349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1350</v>
      </c>
      <c r="B6" s="12" t="s">
        <v>1342</v>
      </c>
      <c r="C6" s="19" t="s">
        <v>41</v>
      </c>
      <c r="D6" s="18" t="s">
        <v>1351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1352</v>
      </c>
      <c r="B7" s="12" t="s">
        <v>1342</v>
      </c>
      <c r="C7" s="19" t="s">
        <v>41</v>
      </c>
      <c r="D7" s="18" t="s">
        <v>1353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1354</v>
      </c>
      <c r="B8" s="12" t="s">
        <v>1342</v>
      </c>
      <c r="C8" s="19" t="s">
        <v>41</v>
      </c>
      <c r="D8" s="18" t="s">
        <v>1355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1356</v>
      </c>
      <c r="B9" s="12" t="s">
        <v>1342</v>
      </c>
      <c r="C9" s="19" t="s">
        <v>41</v>
      </c>
      <c r="D9" s="18" t="s">
        <v>1357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1358</v>
      </c>
      <c r="B10" s="12" t="s">
        <v>1342</v>
      </c>
      <c r="C10" s="19" t="s">
        <v>41</v>
      </c>
      <c r="D10" s="18" t="s">
        <v>1359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1360</v>
      </c>
      <c r="B11" s="12" t="s">
        <v>1342</v>
      </c>
      <c r="C11" s="19" t="s">
        <v>41</v>
      </c>
      <c r="D11" s="18" t="s">
        <v>1361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1362</v>
      </c>
      <c r="B12" s="12" t="s">
        <v>1342</v>
      </c>
      <c r="C12" s="19" t="s">
        <v>41</v>
      </c>
      <c r="D12" s="18" t="s">
        <v>1363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1364</v>
      </c>
      <c r="B13" s="12" t="s">
        <v>1342</v>
      </c>
      <c r="C13" s="19" t="s">
        <v>41</v>
      </c>
      <c r="D13" s="18" t="s">
        <v>1365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1366</v>
      </c>
      <c r="B14" s="12" t="s">
        <v>1342</v>
      </c>
      <c r="C14" s="19" t="s">
        <v>34</v>
      </c>
      <c r="D14" s="18" t="s">
        <v>1343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1367</v>
      </c>
      <c r="B15" s="12" t="s">
        <v>1342</v>
      </c>
      <c r="C15" s="19" t="s">
        <v>41</v>
      </c>
      <c r="D15" s="18" t="s">
        <v>1368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1369</v>
      </c>
      <c r="B16" s="12" t="s">
        <v>1342</v>
      </c>
      <c r="C16" s="19" t="s">
        <v>41</v>
      </c>
      <c r="D16" s="18" t="s">
        <v>1370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1371</v>
      </c>
      <c r="B17" s="12" t="s">
        <v>1342</v>
      </c>
      <c r="C17" s="19" t="s">
        <v>41</v>
      </c>
      <c r="D17" s="18" t="s">
        <v>1372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1373</v>
      </c>
      <c r="B18" s="12" t="s">
        <v>1342</v>
      </c>
      <c r="C18" s="19" t="s">
        <v>41</v>
      </c>
      <c r="D18" s="18" t="s">
        <v>1374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1375</v>
      </c>
      <c r="B19" s="12" t="s">
        <v>1342</v>
      </c>
      <c r="C19" s="19" t="s">
        <v>41</v>
      </c>
      <c r="D19" s="18" t="s">
        <v>1376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1377</v>
      </c>
      <c r="B20" s="12" t="s">
        <v>1342</v>
      </c>
      <c r="C20" s="19" t="s">
        <v>41</v>
      </c>
      <c r="D20" s="18" t="s">
        <v>1378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1379</v>
      </c>
      <c r="B21" s="12" t="s">
        <v>1342</v>
      </c>
      <c r="C21" s="19" t="s">
        <v>41</v>
      </c>
      <c r="D21" s="18" t="s">
        <v>1380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1381</v>
      </c>
      <c r="B22" s="12" t="s">
        <v>1382</v>
      </c>
      <c r="C22" s="19" t="s">
        <v>38</v>
      </c>
      <c r="D22" s="21" t="s">
        <v>1383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1384</v>
      </c>
      <c r="B23" s="12" t="s">
        <v>1382</v>
      </c>
      <c r="C23" s="19" t="s">
        <v>41</v>
      </c>
      <c r="D23" s="21" t="s">
        <v>1385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1386</v>
      </c>
      <c r="B24" s="12" t="s">
        <v>1382</v>
      </c>
      <c r="C24" s="19" t="s">
        <v>41</v>
      </c>
      <c r="D24" s="21" t="s">
        <v>1387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1388</v>
      </c>
      <c r="B25" s="12" t="s">
        <v>1382</v>
      </c>
      <c r="C25" s="19" t="s">
        <v>41</v>
      </c>
      <c r="D25" s="21" t="s">
        <v>1389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1390</v>
      </c>
      <c r="B26" s="12" t="s">
        <v>1382</v>
      </c>
      <c r="C26" s="19" t="s">
        <v>41</v>
      </c>
      <c r="D26" s="21" t="s">
        <v>1391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1392</v>
      </c>
      <c r="B27" s="12" t="s">
        <v>1382</v>
      </c>
      <c r="C27" s="19" t="s">
        <v>41</v>
      </c>
      <c r="D27" s="21" t="s">
        <v>1393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1394</v>
      </c>
      <c r="B28" s="12" t="s">
        <v>1382</v>
      </c>
      <c r="C28" s="19" t="s">
        <v>41</v>
      </c>
      <c r="D28" s="21" t="s">
        <v>1395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1396</v>
      </c>
      <c r="B29" s="12" t="s">
        <v>1382</v>
      </c>
      <c r="C29" s="19" t="s">
        <v>41</v>
      </c>
      <c r="D29" s="21" t="s">
        <v>1397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1398</v>
      </c>
      <c r="B30" s="12" t="s">
        <v>1382</v>
      </c>
      <c r="C30" s="19" t="s">
        <v>41</v>
      </c>
      <c r="D30" s="21" t="s">
        <v>1399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1400</v>
      </c>
      <c r="B31" s="12" t="s">
        <v>1382</v>
      </c>
      <c r="C31" s="19" t="s">
        <v>41</v>
      </c>
      <c r="D31" s="21" t="s">
        <v>1401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1402</v>
      </c>
      <c r="B32" s="12" t="s">
        <v>1382</v>
      </c>
      <c r="C32" s="19" t="s">
        <v>41</v>
      </c>
      <c r="D32" s="21" t="s">
        <v>1403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1404</v>
      </c>
      <c r="B33" s="12" t="s">
        <v>1382</v>
      </c>
      <c r="C33" s="19" t="s">
        <v>41</v>
      </c>
      <c r="D33" s="21" t="s">
        <v>1405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1406</v>
      </c>
      <c r="B34" s="12" t="s">
        <v>1382</v>
      </c>
      <c r="C34" s="19" t="s">
        <v>34</v>
      </c>
      <c r="D34" s="21" t="s">
        <v>1383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1407</v>
      </c>
      <c r="B35" s="12" t="s">
        <v>1382</v>
      </c>
      <c r="C35" s="19" t="s">
        <v>41</v>
      </c>
      <c r="D35" s="21" t="s">
        <v>1408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1409</v>
      </c>
      <c r="B36" s="12" t="s">
        <v>1382</v>
      </c>
      <c r="C36" s="19" t="s">
        <v>41</v>
      </c>
      <c r="D36" s="21" t="s">
        <v>1410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1411</v>
      </c>
      <c r="B37" s="12" t="s">
        <v>1382</v>
      </c>
      <c r="C37" s="19" t="s">
        <v>41</v>
      </c>
      <c r="D37" s="21" t="s">
        <v>1412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1413</v>
      </c>
      <c r="B38" s="12" t="s">
        <v>1382</v>
      </c>
      <c r="C38" s="19" t="s">
        <v>41</v>
      </c>
      <c r="D38" s="21" t="s">
        <v>1414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1415</v>
      </c>
      <c r="B39" s="12" t="s">
        <v>1382</v>
      </c>
      <c r="C39" s="19" t="s">
        <v>41</v>
      </c>
      <c r="D39" s="21" t="s">
        <v>1416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1417</v>
      </c>
      <c r="B40" s="12" t="s">
        <v>1382</v>
      </c>
      <c r="C40" s="19" t="s">
        <v>41</v>
      </c>
      <c r="D40" s="21" t="s">
        <v>1418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1419</v>
      </c>
      <c r="B41" s="12" t="s">
        <v>1382</v>
      </c>
      <c r="C41" s="19" t="s">
        <v>41</v>
      </c>
      <c r="D41" s="21" t="s">
        <v>1420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1421</v>
      </c>
      <c r="B42" s="12" t="s">
        <v>1422</v>
      </c>
      <c r="C42" s="19" t="s">
        <v>38</v>
      </c>
      <c r="D42" s="21" t="s">
        <v>1423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1424</v>
      </c>
      <c r="B43" s="12" t="s">
        <v>1422</v>
      </c>
      <c r="C43" s="19" t="s">
        <v>41</v>
      </c>
      <c r="D43" s="21" t="s">
        <v>1425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1426</v>
      </c>
      <c r="B44" s="12" t="s">
        <v>1422</v>
      </c>
      <c r="C44" s="19" t="s">
        <v>41</v>
      </c>
      <c r="D44" s="21" t="s">
        <v>1427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1428</v>
      </c>
      <c r="B45" s="12" t="s">
        <v>1422</v>
      </c>
      <c r="C45" s="19" t="s">
        <v>41</v>
      </c>
      <c r="D45" s="21" t="s">
        <v>1429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1430</v>
      </c>
      <c r="B46" s="12" t="s">
        <v>1422</v>
      </c>
      <c r="C46" s="19" t="s">
        <v>41</v>
      </c>
      <c r="D46" s="21" t="s">
        <v>1431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1432</v>
      </c>
      <c r="B47" s="12" t="s">
        <v>1422</v>
      </c>
      <c r="C47" s="19" t="s">
        <v>41</v>
      </c>
      <c r="D47" s="21" t="s">
        <v>1433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1434</v>
      </c>
      <c r="B48" s="12" t="s">
        <v>1422</v>
      </c>
      <c r="C48" s="19" t="s">
        <v>41</v>
      </c>
      <c r="D48" s="21" t="s">
        <v>1435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1436</v>
      </c>
      <c r="B49" s="12" t="s">
        <v>1422</v>
      </c>
      <c r="C49" s="19" t="s">
        <v>41</v>
      </c>
      <c r="D49" s="21" t="s">
        <v>1437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1438</v>
      </c>
      <c r="B50" s="12" t="s">
        <v>1422</v>
      </c>
      <c r="C50" s="19" t="s">
        <v>41</v>
      </c>
      <c r="D50" s="21" t="s">
        <v>1439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1440</v>
      </c>
      <c r="B51" s="12" t="s">
        <v>1422</v>
      </c>
      <c r="C51" s="19" t="s">
        <v>41</v>
      </c>
      <c r="D51" s="21" t="s">
        <v>1441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1442</v>
      </c>
      <c r="B52" s="12" t="s">
        <v>1422</v>
      </c>
      <c r="C52" s="19" t="s">
        <v>41</v>
      </c>
      <c r="D52" s="21" t="s">
        <v>1443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1444</v>
      </c>
      <c r="B53" s="12" t="s">
        <v>1422</v>
      </c>
      <c r="C53" s="19" t="s">
        <v>41</v>
      </c>
      <c r="D53" s="21" t="s">
        <v>1445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1446</v>
      </c>
      <c r="B54" s="12" t="s">
        <v>1422</v>
      </c>
      <c r="C54" s="19" t="s">
        <v>34</v>
      </c>
      <c r="D54" s="21" t="s">
        <v>1423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1447</v>
      </c>
      <c r="B55" s="12" t="s">
        <v>1422</v>
      </c>
      <c r="C55" s="19" t="s">
        <v>41</v>
      </c>
      <c r="D55" s="21" t="s">
        <v>1448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1449</v>
      </c>
      <c r="B56" s="12" t="s">
        <v>1422</v>
      </c>
      <c r="C56" s="19" t="s">
        <v>41</v>
      </c>
      <c r="D56" s="21" t="s">
        <v>1450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1451</v>
      </c>
      <c r="B57" s="12" t="s">
        <v>1422</v>
      </c>
      <c r="C57" s="19" t="s">
        <v>41</v>
      </c>
      <c r="D57" s="21" t="s">
        <v>1452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1453</v>
      </c>
      <c r="B58" s="12" t="s">
        <v>1422</v>
      </c>
      <c r="C58" s="19" t="s">
        <v>41</v>
      </c>
      <c r="D58" s="21" t="s">
        <v>1454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1455</v>
      </c>
      <c r="B59" s="12" t="s">
        <v>1422</v>
      </c>
      <c r="C59" s="19" t="s">
        <v>41</v>
      </c>
      <c r="D59" s="21" t="s">
        <v>1456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1457</v>
      </c>
      <c r="B60" s="12" t="s">
        <v>1422</v>
      </c>
      <c r="C60" s="19" t="s">
        <v>41</v>
      </c>
      <c r="D60" s="21" t="s">
        <v>1458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1459</v>
      </c>
      <c r="B61" s="12" t="s">
        <v>1422</v>
      </c>
      <c r="C61" s="19" t="s">
        <v>41</v>
      </c>
      <c r="D61" s="21" t="s">
        <v>1460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1461</v>
      </c>
      <c r="B62" s="12" t="s">
        <v>1462</v>
      </c>
      <c r="C62" s="19" t="s">
        <v>38</v>
      </c>
      <c r="D62" s="21" t="s">
        <v>1463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1464</v>
      </c>
      <c r="B63" s="12" t="s">
        <v>1462</v>
      </c>
      <c r="C63" s="19" t="s">
        <v>41</v>
      </c>
      <c r="D63" s="21" t="s">
        <v>1465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1466</v>
      </c>
      <c r="B64" s="12" t="s">
        <v>1462</v>
      </c>
      <c r="C64" s="19" t="s">
        <v>41</v>
      </c>
      <c r="D64" s="21" t="s">
        <v>1467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1468</v>
      </c>
      <c r="B65" s="12" t="s">
        <v>1462</v>
      </c>
      <c r="C65" s="19" t="s">
        <v>41</v>
      </c>
      <c r="D65" s="21" t="s">
        <v>1469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1470</v>
      </c>
      <c r="B66" s="12" t="s">
        <v>1462</v>
      </c>
      <c r="C66" s="19" t="s">
        <v>41</v>
      </c>
      <c r="D66" s="21" t="s">
        <v>1471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1472</v>
      </c>
      <c r="B67" s="12" t="s">
        <v>1462</v>
      </c>
      <c r="C67" s="19" t="s">
        <v>41</v>
      </c>
      <c r="D67" s="21" t="s">
        <v>1473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1474</v>
      </c>
      <c r="B68" s="12" t="s">
        <v>1462</v>
      </c>
      <c r="C68" s="19" t="s">
        <v>41</v>
      </c>
      <c r="D68" s="21" t="s">
        <v>1475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1476</v>
      </c>
      <c r="B69" s="12" t="s">
        <v>1462</v>
      </c>
      <c r="C69" s="19" t="s">
        <v>41</v>
      </c>
      <c r="D69" s="21" t="s">
        <v>1477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1478</v>
      </c>
      <c r="B70" s="12" t="s">
        <v>1462</v>
      </c>
      <c r="C70" s="19" t="s">
        <v>41</v>
      </c>
      <c r="D70" s="21" t="s">
        <v>1479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1480</v>
      </c>
      <c r="B71" s="12" t="s">
        <v>1462</v>
      </c>
      <c r="C71" s="19" t="s">
        <v>41</v>
      </c>
      <c r="D71" s="21" t="s">
        <v>1481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1482</v>
      </c>
      <c r="B72" s="12" t="s">
        <v>1462</v>
      </c>
      <c r="C72" s="19" t="s">
        <v>41</v>
      </c>
      <c r="D72" s="21" t="s">
        <v>1483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1484</v>
      </c>
      <c r="B73" s="12" t="s">
        <v>1462</v>
      </c>
      <c r="C73" s="19" t="s">
        <v>41</v>
      </c>
      <c r="D73" s="21" t="s">
        <v>1485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1486</v>
      </c>
      <c r="B74" s="12" t="s">
        <v>1462</v>
      </c>
      <c r="C74" s="19" t="s">
        <v>34</v>
      </c>
      <c r="D74" s="21" t="s">
        <v>1463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1487</v>
      </c>
      <c r="B75" s="12" t="s">
        <v>1462</v>
      </c>
      <c r="C75" s="19" t="s">
        <v>41</v>
      </c>
      <c r="D75" s="21" t="s">
        <v>1488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1489</v>
      </c>
      <c r="B76" s="12" t="s">
        <v>1462</v>
      </c>
      <c r="C76" s="19" t="s">
        <v>41</v>
      </c>
      <c r="D76" s="21" t="s">
        <v>1490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1491</v>
      </c>
      <c r="B77" s="12" t="s">
        <v>1462</v>
      </c>
      <c r="C77" s="19" t="s">
        <v>41</v>
      </c>
      <c r="D77" s="21" t="s">
        <v>1492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1493</v>
      </c>
      <c r="B78" s="12" t="s">
        <v>1462</v>
      </c>
      <c r="C78" s="19" t="s">
        <v>41</v>
      </c>
      <c r="D78" s="21" t="s">
        <v>1494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1495</v>
      </c>
      <c r="B79" s="12" t="s">
        <v>1462</v>
      </c>
      <c r="C79" s="19" t="s">
        <v>41</v>
      </c>
      <c r="D79" s="21" t="s">
        <v>1496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1497</v>
      </c>
      <c r="B80" s="12" t="s">
        <v>1462</v>
      </c>
      <c r="C80" s="19" t="s">
        <v>41</v>
      </c>
      <c r="D80" s="21" t="s">
        <v>1498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1499</v>
      </c>
      <c r="B81" s="12" t="s">
        <v>1462</v>
      </c>
      <c r="C81" s="19" t="s">
        <v>41</v>
      </c>
      <c r="D81" s="21" t="s">
        <v>1500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1501</v>
      </c>
      <c r="B2" s="12" t="s">
        <v>1502</v>
      </c>
      <c r="C2" s="19" t="s">
        <v>38</v>
      </c>
      <c r="D2" s="18" t="s">
        <v>1503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1504</v>
      </c>
      <c r="B3" s="12" t="s">
        <v>1502</v>
      </c>
      <c r="C3" s="19" t="s">
        <v>41</v>
      </c>
      <c r="D3" s="18" t="s">
        <v>1018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1505</v>
      </c>
      <c r="B4" s="12" t="s">
        <v>1502</v>
      </c>
      <c r="C4" s="19" t="s">
        <v>41</v>
      </c>
      <c r="D4" s="18" t="s">
        <v>1506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1507</v>
      </c>
      <c r="B5" s="12" t="s">
        <v>1502</v>
      </c>
      <c r="C5" s="19" t="s">
        <v>41</v>
      </c>
      <c r="D5" s="18" t="s">
        <v>1508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1509</v>
      </c>
      <c r="B6" s="12" t="s">
        <v>1502</v>
      </c>
      <c r="C6" s="19" t="s">
        <v>41</v>
      </c>
      <c r="D6" s="18" t="s">
        <v>1510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1511</v>
      </c>
      <c r="B7" s="12" t="s">
        <v>1502</v>
      </c>
      <c r="C7" s="19" t="s">
        <v>41</v>
      </c>
      <c r="D7" s="18" t="s">
        <v>1512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1513</v>
      </c>
      <c r="B8" s="12" t="s">
        <v>1502</v>
      </c>
      <c r="C8" s="19" t="s">
        <v>41</v>
      </c>
      <c r="D8" s="18" t="s">
        <v>1514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1515</v>
      </c>
      <c r="B9" s="12" t="s">
        <v>1502</v>
      </c>
      <c r="C9" s="19" t="s">
        <v>41</v>
      </c>
      <c r="D9" s="18" t="s">
        <v>1516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1517</v>
      </c>
      <c r="B10" s="12" t="s">
        <v>1502</v>
      </c>
      <c r="C10" s="19" t="s">
        <v>41</v>
      </c>
      <c r="D10" s="18" t="s">
        <v>1518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1519</v>
      </c>
      <c r="B11" s="12" t="s">
        <v>1502</v>
      </c>
      <c r="C11" s="19" t="s">
        <v>41</v>
      </c>
      <c r="D11" s="18" t="s">
        <v>1520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1521</v>
      </c>
      <c r="B12" s="12" t="s">
        <v>1502</v>
      </c>
      <c r="C12" s="19" t="s">
        <v>41</v>
      </c>
      <c r="D12" s="18" t="s">
        <v>1522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1523</v>
      </c>
      <c r="B13" s="12" t="s">
        <v>1502</v>
      </c>
      <c r="C13" s="19" t="s">
        <v>41</v>
      </c>
      <c r="D13" s="18" t="s">
        <v>1524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1525</v>
      </c>
      <c r="B14" s="12" t="s">
        <v>1502</v>
      </c>
      <c r="C14" s="19" t="s">
        <v>34</v>
      </c>
      <c r="D14" s="18" t="s">
        <v>1503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1526</v>
      </c>
      <c r="B15" s="12" t="s">
        <v>1502</v>
      </c>
      <c r="C15" s="19" t="s">
        <v>41</v>
      </c>
      <c r="D15" s="18" t="s">
        <v>1527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1528</v>
      </c>
      <c r="B16" s="12" t="s">
        <v>1502</v>
      </c>
      <c r="C16" s="19" t="s">
        <v>41</v>
      </c>
      <c r="D16" s="18" t="s">
        <v>1529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1530</v>
      </c>
      <c r="B17" s="12" t="s">
        <v>1502</v>
      </c>
      <c r="C17" s="19" t="s">
        <v>41</v>
      </c>
      <c r="D17" s="18" t="s">
        <v>1531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1532</v>
      </c>
      <c r="B18" s="12" t="s">
        <v>1502</v>
      </c>
      <c r="C18" s="19" t="s">
        <v>41</v>
      </c>
      <c r="D18" s="18" t="s">
        <v>1533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1534</v>
      </c>
      <c r="B19" s="12" t="s">
        <v>1502</v>
      </c>
      <c r="C19" s="19" t="s">
        <v>41</v>
      </c>
      <c r="D19" s="18" t="s">
        <v>1022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1535</v>
      </c>
      <c r="B20" s="12" t="s">
        <v>1502</v>
      </c>
      <c r="C20" s="19" t="s">
        <v>41</v>
      </c>
      <c r="D20" s="18" t="s">
        <v>1536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1537</v>
      </c>
      <c r="B21" s="12" t="s">
        <v>1502</v>
      </c>
      <c r="C21" s="19" t="s">
        <v>41</v>
      </c>
      <c r="D21" s="18" t="s">
        <v>1538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1539</v>
      </c>
      <c r="B22" s="12" t="s">
        <v>1540</v>
      </c>
      <c r="C22" s="19" t="s">
        <v>38</v>
      </c>
      <c r="D22" s="21" t="s">
        <v>1541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1542</v>
      </c>
      <c r="B23" s="12" t="s">
        <v>1540</v>
      </c>
      <c r="C23" s="19" t="s">
        <v>41</v>
      </c>
      <c r="D23" s="21" t="s">
        <v>1543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1544</v>
      </c>
      <c r="B24" s="12" t="s">
        <v>1540</v>
      </c>
      <c r="C24" s="19" t="s">
        <v>41</v>
      </c>
      <c r="D24" s="21" t="s">
        <v>1545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1546</v>
      </c>
      <c r="B25" s="12" t="s">
        <v>1540</v>
      </c>
      <c r="C25" s="19" t="s">
        <v>41</v>
      </c>
      <c r="D25" s="21" t="s">
        <v>1547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1548</v>
      </c>
      <c r="B26" s="12" t="s">
        <v>1540</v>
      </c>
      <c r="C26" s="19" t="s">
        <v>41</v>
      </c>
      <c r="D26" s="21" t="s">
        <v>1549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1550</v>
      </c>
      <c r="B27" s="12" t="s">
        <v>1540</v>
      </c>
      <c r="C27" s="19" t="s">
        <v>41</v>
      </c>
      <c r="D27" s="21" t="s">
        <v>1551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1552</v>
      </c>
      <c r="B28" s="12" t="s">
        <v>1540</v>
      </c>
      <c r="C28" s="19" t="s">
        <v>41</v>
      </c>
      <c r="D28" s="21" t="s">
        <v>1553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1554</v>
      </c>
      <c r="B29" s="12" t="s">
        <v>1540</v>
      </c>
      <c r="C29" s="19" t="s">
        <v>41</v>
      </c>
      <c r="D29" s="21" t="s">
        <v>1555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1556</v>
      </c>
      <c r="B30" s="12" t="s">
        <v>1540</v>
      </c>
      <c r="C30" s="19" t="s">
        <v>41</v>
      </c>
      <c r="D30" s="21" t="s">
        <v>1557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1558</v>
      </c>
      <c r="B31" s="12" t="s">
        <v>1540</v>
      </c>
      <c r="C31" s="19" t="s">
        <v>41</v>
      </c>
      <c r="D31" s="21" t="s">
        <v>1559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1560</v>
      </c>
      <c r="B32" s="12" t="s">
        <v>1540</v>
      </c>
      <c r="C32" s="19" t="s">
        <v>41</v>
      </c>
      <c r="D32" s="21" t="s">
        <v>1561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1562</v>
      </c>
      <c r="B33" s="12" t="s">
        <v>1540</v>
      </c>
      <c r="C33" s="19" t="s">
        <v>41</v>
      </c>
      <c r="D33" s="21" t="s">
        <v>1563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1564</v>
      </c>
      <c r="B34" s="12" t="s">
        <v>1540</v>
      </c>
      <c r="C34" s="19" t="s">
        <v>34</v>
      </c>
      <c r="D34" s="21" t="s">
        <v>1541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1565</v>
      </c>
      <c r="B35" s="12" t="s">
        <v>1540</v>
      </c>
      <c r="C35" s="19" t="s">
        <v>41</v>
      </c>
      <c r="D35" s="21" t="s">
        <v>1566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1567</v>
      </c>
      <c r="B36" s="12" t="s">
        <v>1540</v>
      </c>
      <c r="C36" s="19" t="s">
        <v>41</v>
      </c>
      <c r="D36" s="21" t="s">
        <v>1568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1569</v>
      </c>
      <c r="B37" s="12" t="s">
        <v>1540</v>
      </c>
      <c r="C37" s="19" t="s">
        <v>41</v>
      </c>
      <c r="D37" s="21" t="s">
        <v>1570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1571</v>
      </c>
      <c r="B38" s="12" t="s">
        <v>1540</v>
      </c>
      <c r="C38" s="19" t="s">
        <v>41</v>
      </c>
      <c r="D38" s="21" t="s">
        <v>1572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1573</v>
      </c>
      <c r="B39" s="12" t="s">
        <v>1540</v>
      </c>
      <c r="C39" s="19" t="s">
        <v>41</v>
      </c>
      <c r="D39" s="21" t="s">
        <v>1574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1575</v>
      </c>
      <c r="B40" s="12" t="s">
        <v>1540</v>
      </c>
      <c r="C40" s="19" t="s">
        <v>41</v>
      </c>
      <c r="D40" s="21" t="s">
        <v>1576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1577</v>
      </c>
      <c r="B41" s="12" t="s">
        <v>1540</v>
      </c>
      <c r="C41" s="19" t="s">
        <v>41</v>
      </c>
      <c r="D41" s="21" t="s">
        <v>1578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1579</v>
      </c>
      <c r="B42" s="12" t="s">
        <v>1580</v>
      </c>
      <c r="C42" s="19" t="s">
        <v>38</v>
      </c>
      <c r="D42" s="21" t="s">
        <v>1581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1582</v>
      </c>
      <c r="B43" s="12" t="s">
        <v>1580</v>
      </c>
      <c r="C43" s="19" t="s">
        <v>41</v>
      </c>
      <c r="D43" s="21" t="s">
        <v>1583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1584</v>
      </c>
      <c r="B44" s="12" t="s">
        <v>1580</v>
      </c>
      <c r="C44" s="19" t="s">
        <v>41</v>
      </c>
      <c r="D44" s="21" t="s">
        <v>1585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1586</v>
      </c>
      <c r="B45" s="12" t="s">
        <v>1580</v>
      </c>
      <c r="C45" s="19" t="s">
        <v>41</v>
      </c>
      <c r="D45" s="21" t="s">
        <v>1587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1588</v>
      </c>
      <c r="B46" s="12" t="s">
        <v>1580</v>
      </c>
      <c r="C46" s="19" t="s">
        <v>41</v>
      </c>
      <c r="D46" s="21" t="s">
        <v>1589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1590</v>
      </c>
      <c r="B47" s="12" t="s">
        <v>1580</v>
      </c>
      <c r="C47" s="19" t="s">
        <v>41</v>
      </c>
      <c r="D47" s="21" t="s">
        <v>1591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1592</v>
      </c>
      <c r="B48" s="12" t="s">
        <v>1580</v>
      </c>
      <c r="C48" s="19" t="s">
        <v>41</v>
      </c>
      <c r="D48" s="21" t="s">
        <v>1593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1594</v>
      </c>
      <c r="B49" s="12" t="s">
        <v>1580</v>
      </c>
      <c r="C49" s="19" t="s">
        <v>41</v>
      </c>
      <c r="D49" s="21" t="s">
        <v>1595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1596</v>
      </c>
      <c r="B50" s="12" t="s">
        <v>1580</v>
      </c>
      <c r="C50" s="19" t="s">
        <v>41</v>
      </c>
      <c r="D50" s="21" t="s">
        <v>1597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1598</v>
      </c>
      <c r="B51" s="12" t="s">
        <v>1580</v>
      </c>
      <c r="C51" s="19" t="s">
        <v>41</v>
      </c>
      <c r="D51" s="21" t="s">
        <v>1599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1600</v>
      </c>
      <c r="B52" s="12" t="s">
        <v>1580</v>
      </c>
      <c r="C52" s="19" t="s">
        <v>41</v>
      </c>
      <c r="D52" s="21" t="s">
        <v>1601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1602</v>
      </c>
      <c r="B53" s="12" t="s">
        <v>1580</v>
      </c>
      <c r="C53" s="19" t="s">
        <v>41</v>
      </c>
      <c r="D53" s="21" t="s">
        <v>1603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1604</v>
      </c>
      <c r="B54" s="12" t="s">
        <v>1580</v>
      </c>
      <c r="C54" s="19" t="s">
        <v>34</v>
      </c>
      <c r="D54" s="21" t="s">
        <v>1581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1605</v>
      </c>
      <c r="B55" s="12" t="s">
        <v>1580</v>
      </c>
      <c r="C55" s="19" t="s">
        <v>41</v>
      </c>
      <c r="D55" s="21" t="s">
        <v>1606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1607</v>
      </c>
      <c r="B56" s="12" t="s">
        <v>1580</v>
      </c>
      <c r="C56" s="19" t="s">
        <v>41</v>
      </c>
      <c r="D56" s="21" t="s">
        <v>1608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1609</v>
      </c>
      <c r="B57" s="12" t="s">
        <v>1580</v>
      </c>
      <c r="C57" s="19" t="s">
        <v>41</v>
      </c>
      <c r="D57" s="21" t="s">
        <v>1610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1611</v>
      </c>
      <c r="B58" s="12" t="s">
        <v>1580</v>
      </c>
      <c r="C58" s="19" t="s">
        <v>41</v>
      </c>
      <c r="D58" s="21" t="s">
        <v>1612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1613</v>
      </c>
      <c r="B59" s="12" t="s">
        <v>1580</v>
      </c>
      <c r="C59" s="19" t="s">
        <v>41</v>
      </c>
      <c r="D59" s="21" t="s">
        <v>1614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1615</v>
      </c>
      <c r="B60" s="12" t="s">
        <v>1580</v>
      </c>
      <c r="C60" s="19" t="s">
        <v>41</v>
      </c>
      <c r="D60" s="21" t="s">
        <v>1616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1617</v>
      </c>
      <c r="B61" s="12" t="s">
        <v>1580</v>
      </c>
      <c r="C61" s="19" t="s">
        <v>41</v>
      </c>
      <c r="D61" s="21" t="s">
        <v>1618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1619</v>
      </c>
      <c r="B62" s="12" t="s">
        <v>1620</v>
      </c>
      <c r="C62" s="19" t="s">
        <v>38</v>
      </c>
      <c r="D62" s="21" t="s">
        <v>1621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1622</v>
      </c>
      <c r="B63" s="12" t="s">
        <v>1620</v>
      </c>
      <c r="C63" s="19" t="s">
        <v>41</v>
      </c>
      <c r="D63" s="21" t="s">
        <v>1623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1624</v>
      </c>
      <c r="B64" s="12" t="s">
        <v>1620</v>
      </c>
      <c r="C64" s="19" t="s">
        <v>41</v>
      </c>
      <c r="D64" s="21" t="s">
        <v>1625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1626</v>
      </c>
      <c r="B65" s="12" t="s">
        <v>1620</v>
      </c>
      <c r="C65" s="19" t="s">
        <v>41</v>
      </c>
      <c r="D65" s="21" t="s">
        <v>1627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1628</v>
      </c>
      <c r="B66" s="12" t="s">
        <v>1620</v>
      </c>
      <c r="C66" s="19" t="s">
        <v>41</v>
      </c>
      <c r="D66" s="21" t="s">
        <v>1629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1630</v>
      </c>
      <c r="B67" s="12" t="s">
        <v>1620</v>
      </c>
      <c r="C67" s="19" t="s">
        <v>41</v>
      </c>
      <c r="D67" s="21" t="s">
        <v>1631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1632</v>
      </c>
      <c r="B68" s="12" t="s">
        <v>1620</v>
      </c>
      <c r="C68" s="19" t="s">
        <v>41</v>
      </c>
      <c r="D68" s="21" t="s">
        <v>1633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1634</v>
      </c>
      <c r="B69" s="12" t="s">
        <v>1620</v>
      </c>
      <c r="C69" s="19" t="s">
        <v>41</v>
      </c>
      <c r="D69" s="21" t="s">
        <v>1635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1636</v>
      </c>
      <c r="B70" s="12" t="s">
        <v>1620</v>
      </c>
      <c r="C70" s="19" t="s">
        <v>41</v>
      </c>
      <c r="D70" s="21" t="s">
        <v>1637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1638</v>
      </c>
      <c r="B71" s="12" t="s">
        <v>1620</v>
      </c>
      <c r="C71" s="19" t="s">
        <v>41</v>
      </c>
      <c r="D71" s="21" t="s">
        <v>1639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1640</v>
      </c>
      <c r="B72" s="12" t="s">
        <v>1620</v>
      </c>
      <c r="C72" s="19" t="s">
        <v>41</v>
      </c>
      <c r="D72" s="21" t="s">
        <v>1641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1642</v>
      </c>
      <c r="B73" s="12" t="s">
        <v>1620</v>
      </c>
      <c r="C73" s="19" t="s">
        <v>41</v>
      </c>
      <c r="D73" s="21" t="s">
        <v>1643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1644</v>
      </c>
      <c r="B74" s="12" t="s">
        <v>1620</v>
      </c>
      <c r="C74" s="19" t="s">
        <v>34</v>
      </c>
      <c r="D74" s="21" t="s">
        <v>1621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1645</v>
      </c>
      <c r="B75" s="12" t="s">
        <v>1620</v>
      </c>
      <c r="C75" s="19" t="s">
        <v>41</v>
      </c>
      <c r="D75" s="21" t="s">
        <v>1646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1647</v>
      </c>
      <c r="B76" s="12" t="s">
        <v>1620</v>
      </c>
      <c r="C76" s="19" t="s">
        <v>41</v>
      </c>
      <c r="D76" s="21" t="s">
        <v>1648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1649</v>
      </c>
      <c r="B77" s="12" t="s">
        <v>1620</v>
      </c>
      <c r="C77" s="19" t="s">
        <v>41</v>
      </c>
      <c r="D77" s="21" t="s">
        <v>1650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1651</v>
      </c>
      <c r="B78" s="12" t="s">
        <v>1620</v>
      </c>
      <c r="C78" s="19" t="s">
        <v>41</v>
      </c>
      <c r="D78" s="21" t="s">
        <v>1652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1653</v>
      </c>
      <c r="B79" s="12" t="s">
        <v>1620</v>
      </c>
      <c r="C79" s="19" t="s">
        <v>41</v>
      </c>
      <c r="D79" s="21" t="s">
        <v>1654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1655</v>
      </c>
      <c r="B80" s="12" t="s">
        <v>1620</v>
      </c>
      <c r="C80" s="19" t="s">
        <v>41</v>
      </c>
      <c r="D80" s="21" t="s">
        <v>1656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1657</v>
      </c>
      <c r="B81" s="12" t="s">
        <v>1620</v>
      </c>
      <c r="C81" s="19" t="s">
        <v>41</v>
      </c>
      <c r="D81" s="21" t="s">
        <v>1658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35.0"/>
    <col customWidth="1" min="3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1659</v>
      </c>
      <c r="B2" s="12" t="s">
        <v>1660</v>
      </c>
      <c r="C2" s="19" t="s">
        <v>38</v>
      </c>
      <c r="D2" s="18" t="s">
        <v>1661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1662</v>
      </c>
      <c r="B3" s="12" t="s">
        <v>1660</v>
      </c>
      <c r="C3" s="19" t="s">
        <v>41</v>
      </c>
      <c r="D3" s="18" t="s">
        <v>1663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1664</v>
      </c>
      <c r="B4" s="12" t="s">
        <v>1660</v>
      </c>
      <c r="C4" s="19" t="s">
        <v>41</v>
      </c>
      <c r="D4" s="18" t="s">
        <v>1665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1666</v>
      </c>
      <c r="B5" s="12" t="s">
        <v>1660</v>
      </c>
      <c r="C5" s="19" t="s">
        <v>41</v>
      </c>
      <c r="D5" s="18" t="s">
        <v>1667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1668</v>
      </c>
      <c r="B6" s="12" t="s">
        <v>1660</v>
      </c>
      <c r="C6" s="19" t="s">
        <v>41</v>
      </c>
      <c r="D6" s="18" t="s">
        <v>1669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1670</v>
      </c>
      <c r="B7" s="12" t="s">
        <v>1660</v>
      </c>
      <c r="C7" s="19" t="s">
        <v>41</v>
      </c>
      <c r="D7" s="18" t="s">
        <v>1671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1672</v>
      </c>
      <c r="B8" s="12" t="s">
        <v>1660</v>
      </c>
      <c r="C8" s="19" t="s">
        <v>41</v>
      </c>
      <c r="D8" s="18" t="s">
        <v>1673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1674</v>
      </c>
      <c r="B9" s="12" t="s">
        <v>1660</v>
      </c>
      <c r="C9" s="19" t="s">
        <v>41</v>
      </c>
      <c r="D9" s="18" t="s">
        <v>1675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1676</v>
      </c>
      <c r="B10" s="12" t="s">
        <v>1660</v>
      </c>
      <c r="C10" s="19" t="s">
        <v>41</v>
      </c>
      <c r="D10" s="18" t="s">
        <v>1677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1678</v>
      </c>
      <c r="B11" s="12" t="s">
        <v>1660</v>
      </c>
      <c r="C11" s="19" t="s">
        <v>41</v>
      </c>
      <c r="D11" s="18" t="s">
        <v>1679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1680</v>
      </c>
      <c r="B12" s="12" t="s">
        <v>1660</v>
      </c>
      <c r="C12" s="19" t="s">
        <v>41</v>
      </c>
      <c r="D12" s="18" t="s">
        <v>1681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1682</v>
      </c>
      <c r="B13" s="12" t="s">
        <v>1660</v>
      </c>
      <c r="C13" s="19" t="s">
        <v>41</v>
      </c>
      <c r="D13" s="18" t="s">
        <v>1683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1684</v>
      </c>
      <c r="B14" s="12" t="s">
        <v>1660</v>
      </c>
      <c r="C14" s="19" t="s">
        <v>34</v>
      </c>
      <c r="D14" s="18" t="s">
        <v>1661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1685</v>
      </c>
      <c r="B15" s="12" t="s">
        <v>1660</v>
      </c>
      <c r="C15" s="19" t="s">
        <v>41</v>
      </c>
      <c r="D15" s="18" t="s">
        <v>1681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1686</v>
      </c>
      <c r="B16" s="12" t="s">
        <v>1660</v>
      </c>
      <c r="C16" s="19" t="s">
        <v>41</v>
      </c>
      <c r="D16" s="18" t="s">
        <v>1687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1688</v>
      </c>
      <c r="B17" s="12" t="s">
        <v>1660</v>
      </c>
      <c r="C17" s="19" t="s">
        <v>41</v>
      </c>
      <c r="D17" s="18" t="s">
        <v>1689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1690</v>
      </c>
      <c r="B18" s="12" t="s">
        <v>1660</v>
      </c>
      <c r="C18" s="19" t="s">
        <v>41</v>
      </c>
      <c r="D18" s="18" t="s">
        <v>1691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1692</v>
      </c>
      <c r="B19" s="12" t="s">
        <v>1660</v>
      </c>
      <c r="C19" s="19" t="s">
        <v>41</v>
      </c>
      <c r="D19" s="18" t="s">
        <v>1693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1694</v>
      </c>
      <c r="B20" s="12" t="s">
        <v>1660</v>
      </c>
      <c r="C20" s="19" t="s">
        <v>41</v>
      </c>
      <c r="D20" s="18" t="s">
        <v>1695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1696</v>
      </c>
      <c r="B21" s="12" t="s">
        <v>1660</v>
      </c>
      <c r="C21" s="19" t="s">
        <v>41</v>
      </c>
      <c r="D21" s="18" t="s">
        <v>1697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1698</v>
      </c>
      <c r="B22" s="12" t="s">
        <v>1699</v>
      </c>
      <c r="C22" s="19" t="s">
        <v>38</v>
      </c>
      <c r="D22" s="21" t="s">
        <v>1700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1701</v>
      </c>
      <c r="B23" s="12" t="s">
        <v>1699</v>
      </c>
      <c r="C23" s="19" t="s">
        <v>41</v>
      </c>
      <c r="D23" s="21" t="s">
        <v>1702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1703</v>
      </c>
      <c r="B24" s="12" t="s">
        <v>1699</v>
      </c>
      <c r="C24" s="19" t="s">
        <v>41</v>
      </c>
      <c r="D24" s="21" t="s">
        <v>1704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1705</v>
      </c>
      <c r="B25" s="12" t="s">
        <v>1699</v>
      </c>
      <c r="C25" s="19" t="s">
        <v>41</v>
      </c>
      <c r="D25" s="21" t="s">
        <v>1706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1707</v>
      </c>
      <c r="B26" s="12" t="s">
        <v>1699</v>
      </c>
      <c r="C26" s="19" t="s">
        <v>41</v>
      </c>
      <c r="D26" s="21" t="s">
        <v>1708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1709</v>
      </c>
      <c r="B27" s="12" t="s">
        <v>1699</v>
      </c>
      <c r="C27" s="19" t="s">
        <v>41</v>
      </c>
      <c r="D27" s="21" t="s">
        <v>1710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1711</v>
      </c>
      <c r="B28" s="12" t="s">
        <v>1699</v>
      </c>
      <c r="C28" s="19" t="s">
        <v>41</v>
      </c>
      <c r="D28" s="21" t="s">
        <v>1712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1713</v>
      </c>
      <c r="B29" s="12" t="s">
        <v>1699</v>
      </c>
      <c r="C29" s="19" t="s">
        <v>41</v>
      </c>
      <c r="D29" s="21" t="s">
        <v>1714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1715</v>
      </c>
      <c r="B30" s="12" t="s">
        <v>1699</v>
      </c>
      <c r="C30" s="19" t="s">
        <v>41</v>
      </c>
      <c r="D30" s="21" t="s">
        <v>1716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1717</v>
      </c>
      <c r="B31" s="12" t="s">
        <v>1699</v>
      </c>
      <c r="C31" s="19" t="s">
        <v>41</v>
      </c>
      <c r="D31" s="21" t="s">
        <v>1718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1719</v>
      </c>
      <c r="B32" s="12" t="s">
        <v>1699</v>
      </c>
      <c r="C32" s="19" t="s">
        <v>41</v>
      </c>
      <c r="D32" s="21" t="s">
        <v>1720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1721</v>
      </c>
      <c r="B33" s="12" t="s">
        <v>1699</v>
      </c>
      <c r="C33" s="19" t="s">
        <v>41</v>
      </c>
      <c r="D33" s="21" t="s">
        <v>1722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1723</v>
      </c>
      <c r="B34" s="12" t="s">
        <v>1699</v>
      </c>
      <c r="C34" s="19" t="s">
        <v>34</v>
      </c>
      <c r="D34" s="21" t="s">
        <v>1700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1724</v>
      </c>
      <c r="B35" s="12" t="s">
        <v>1699</v>
      </c>
      <c r="C35" s="19" t="s">
        <v>41</v>
      </c>
      <c r="D35" s="21" t="s">
        <v>1725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1726</v>
      </c>
      <c r="B36" s="12" t="s">
        <v>1699</v>
      </c>
      <c r="C36" s="19" t="s">
        <v>41</v>
      </c>
      <c r="D36" s="21" t="s">
        <v>1727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1728</v>
      </c>
      <c r="B37" s="12" t="s">
        <v>1699</v>
      </c>
      <c r="C37" s="19" t="s">
        <v>41</v>
      </c>
      <c r="D37" s="21" t="s">
        <v>1729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1730</v>
      </c>
      <c r="B38" s="12" t="s">
        <v>1699</v>
      </c>
      <c r="C38" s="19" t="s">
        <v>41</v>
      </c>
      <c r="D38" s="21" t="s">
        <v>1731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1732</v>
      </c>
      <c r="B39" s="12" t="s">
        <v>1699</v>
      </c>
      <c r="C39" s="19" t="s">
        <v>41</v>
      </c>
      <c r="D39" s="21" t="s">
        <v>1733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1734</v>
      </c>
      <c r="B40" s="12" t="s">
        <v>1699</v>
      </c>
      <c r="C40" s="19" t="s">
        <v>41</v>
      </c>
      <c r="D40" s="21" t="s">
        <v>1735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1736</v>
      </c>
      <c r="B41" s="12" t="s">
        <v>1699</v>
      </c>
      <c r="C41" s="19" t="s">
        <v>41</v>
      </c>
      <c r="D41" s="21" t="s">
        <v>1737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1738</v>
      </c>
      <c r="B42" s="12" t="s">
        <v>1739</v>
      </c>
      <c r="C42" s="19" t="s">
        <v>38</v>
      </c>
      <c r="D42" s="21" t="s">
        <v>1740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1741</v>
      </c>
      <c r="B43" s="12" t="s">
        <v>1739</v>
      </c>
      <c r="C43" s="19" t="s">
        <v>41</v>
      </c>
      <c r="D43" s="21" t="s">
        <v>1742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1743</v>
      </c>
      <c r="B44" s="12" t="s">
        <v>1739</v>
      </c>
      <c r="C44" s="19" t="s">
        <v>41</v>
      </c>
      <c r="D44" s="21" t="s">
        <v>1744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1745</v>
      </c>
      <c r="B45" s="12" t="s">
        <v>1739</v>
      </c>
      <c r="C45" s="19" t="s">
        <v>41</v>
      </c>
      <c r="D45" s="21" t="s">
        <v>1746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1747</v>
      </c>
      <c r="B46" s="12" t="s">
        <v>1739</v>
      </c>
      <c r="C46" s="19" t="s">
        <v>41</v>
      </c>
      <c r="D46" s="21" t="s">
        <v>1748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1749</v>
      </c>
      <c r="B47" s="12" t="s">
        <v>1739</v>
      </c>
      <c r="C47" s="19" t="s">
        <v>41</v>
      </c>
      <c r="D47" s="21" t="s">
        <v>1750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1751</v>
      </c>
      <c r="B48" s="12" t="s">
        <v>1739</v>
      </c>
      <c r="C48" s="19" t="s">
        <v>41</v>
      </c>
      <c r="D48" s="21" t="s">
        <v>1752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1753</v>
      </c>
      <c r="B49" s="12" t="s">
        <v>1739</v>
      </c>
      <c r="C49" s="19" t="s">
        <v>41</v>
      </c>
      <c r="D49" s="21" t="s">
        <v>1754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1755</v>
      </c>
      <c r="B50" s="12" t="s">
        <v>1739</v>
      </c>
      <c r="C50" s="19" t="s">
        <v>41</v>
      </c>
      <c r="D50" s="21" t="s">
        <v>1756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1757</v>
      </c>
      <c r="B51" s="12" t="s">
        <v>1739</v>
      </c>
      <c r="C51" s="19" t="s">
        <v>41</v>
      </c>
      <c r="D51" s="21" t="s">
        <v>1758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1759</v>
      </c>
      <c r="B52" s="12" t="s">
        <v>1739</v>
      </c>
      <c r="C52" s="19" t="s">
        <v>41</v>
      </c>
      <c r="D52" s="21" t="s">
        <v>1760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1761</v>
      </c>
      <c r="B53" s="12" t="s">
        <v>1739</v>
      </c>
      <c r="C53" s="19" t="s">
        <v>41</v>
      </c>
      <c r="D53" s="21" t="s">
        <v>1762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1763</v>
      </c>
      <c r="B54" s="12" t="s">
        <v>1739</v>
      </c>
      <c r="C54" s="19" t="s">
        <v>34</v>
      </c>
      <c r="D54" s="21" t="s">
        <v>1740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1764</v>
      </c>
      <c r="B55" s="12" t="s">
        <v>1739</v>
      </c>
      <c r="C55" s="19" t="s">
        <v>41</v>
      </c>
      <c r="D55" s="21" t="s">
        <v>1765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1766</v>
      </c>
      <c r="B56" s="12" t="s">
        <v>1739</v>
      </c>
      <c r="C56" s="19" t="s">
        <v>41</v>
      </c>
      <c r="D56" s="21" t="s">
        <v>1767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1768</v>
      </c>
      <c r="B57" s="12" t="s">
        <v>1739</v>
      </c>
      <c r="C57" s="19" t="s">
        <v>41</v>
      </c>
      <c r="D57" s="21" t="s">
        <v>1769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1770</v>
      </c>
      <c r="B58" s="12" t="s">
        <v>1739</v>
      </c>
      <c r="C58" s="19" t="s">
        <v>41</v>
      </c>
      <c r="D58" s="21" t="s">
        <v>1771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1772</v>
      </c>
      <c r="B59" s="12" t="s">
        <v>1739</v>
      </c>
      <c r="C59" s="19" t="s">
        <v>41</v>
      </c>
      <c r="D59" s="21" t="s">
        <v>1773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1774</v>
      </c>
      <c r="B60" s="12" t="s">
        <v>1739</v>
      </c>
      <c r="C60" s="19" t="s">
        <v>41</v>
      </c>
      <c r="D60" s="21" t="s">
        <v>1775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1776</v>
      </c>
      <c r="B61" s="12" t="s">
        <v>1739</v>
      </c>
      <c r="C61" s="19" t="s">
        <v>41</v>
      </c>
      <c r="D61" s="21" t="s">
        <v>1777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1778</v>
      </c>
      <c r="B62" s="12" t="s">
        <v>1779</v>
      </c>
      <c r="C62" s="19" t="s">
        <v>38</v>
      </c>
      <c r="D62" s="21" t="s">
        <v>1780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1781</v>
      </c>
      <c r="B63" s="12" t="s">
        <v>1779</v>
      </c>
      <c r="C63" s="19" t="s">
        <v>41</v>
      </c>
      <c r="D63" s="21" t="s">
        <v>1782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1783</v>
      </c>
      <c r="B64" s="12" t="s">
        <v>1779</v>
      </c>
      <c r="C64" s="19" t="s">
        <v>41</v>
      </c>
      <c r="D64" s="21" t="s">
        <v>1784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1785</v>
      </c>
      <c r="B65" s="12" t="s">
        <v>1779</v>
      </c>
      <c r="C65" s="19" t="s">
        <v>41</v>
      </c>
      <c r="D65" s="21" t="s">
        <v>1786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1787</v>
      </c>
      <c r="B66" s="12" t="s">
        <v>1779</v>
      </c>
      <c r="C66" s="19" t="s">
        <v>41</v>
      </c>
      <c r="D66" s="21" t="s">
        <v>1788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1789</v>
      </c>
      <c r="B67" s="12" t="s">
        <v>1779</v>
      </c>
      <c r="C67" s="19" t="s">
        <v>41</v>
      </c>
      <c r="D67" s="21" t="s">
        <v>1790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1791</v>
      </c>
      <c r="B68" s="12" t="s">
        <v>1779</v>
      </c>
      <c r="C68" s="19" t="s">
        <v>41</v>
      </c>
      <c r="D68" s="21" t="s">
        <v>1792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1793</v>
      </c>
      <c r="B69" s="12" t="s">
        <v>1779</v>
      </c>
      <c r="C69" s="19" t="s">
        <v>41</v>
      </c>
      <c r="D69" s="21" t="s">
        <v>1794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1795</v>
      </c>
      <c r="B70" s="12" t="s">
        <v>1779</v>
      </c>
      <c r="C70" s="19" t="s">
        <v>41</v>
      </c>
      <c r="D70" s="21" t="s">
        <v>1796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1797</v>
      </c>
      <c r="B71" s="12" t="s">
        <v>1779</v>
      </c>
      <c r="C71" s="19" t="s">
        <v>41</v>
      </c>
      <c r="D71" s="21" t="s">
        <v>1012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1798</v>
      </c>
      <c r="B72" s="12" t="s">
        <v>1779</v>
      </c>
      <c r="C72" s="19" t="s">
        <v>41</v>
      </c>
      <c r="D72" s="21" t="s">
        <v>1799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1800</v>
      </c>
      <c r="B73" s="12" t="s">
        <v>1779</v>
      </c>
      <c r="C73" s="19" t="s">
        <v>41</v>
      </c>
      <c r="D73" s="21" t="s">
        <v>1801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1802</v>
      </c>
      <c r="B74" s="12" t="s">
        <v>1779</v>
      </c>
      <c r="C74" s="19" t="s">
        <v>34</v>
      </c>
      <c r="D74" s="21" t="s">
        <v>1780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1803</v>
      </c>
      <c r="B75" s="12" t="s">
        <v>1779</v>
      </c>
      <c r="C75" s="19" t="s">
        <v>41</v>
      </c>
      <c r="D75" s="21" t="s">
        <v>1804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1805</v>
      </c>
      <c r="B76" s="12" t="s">
        <v>1779</v>
      </c>
      <c r="C76" s="19" t="s">
        <v>41</v>
      </c>
      <c r="D76" s="21" t="s">
        <v>1806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1807</v>
      </c>
      <c r="B77" s="12" t="s">
        <v>1779</v>
      </c>
      <c r="C77" s="19" t="s">
        <v>41</v>
      </c>
      <c r="D77" s="21" t="s">
        <v>1808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1809</v>
      </c>
      <c r="B78" s="12" t="s">
        <v>1779</v>
      </c>
      <c r="C78" s="19" t="s">
        <v>41</v>
      </c>
      <c r="D78" s="21" t="s">
        <v>1810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1811</v>
      </c>
      <c r="B79" s="12" t="s">
        <v>1779</v>
      </c>
      <c r="C79" s="19" t="s">
        <v>41</v>
      </c>
      <c r="D79" s="21" t="s">
        <v>1812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1813</v>
      </c>
      <c r="B80" s="12" t="s">
        <v>1779</v>
      </c>
      <c r="C80" s="19" t="s">
        <v>41</v>
      </c>
      <c r="D80" s="21" t="s">
        <v>1814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1815</v>
      </c>
      <c r="B81" s="12" t="s">
        <v>1779</v>
      </c>
      <c r="C81" s="19" t="s">
        <v>41</v>
      </c>
      <c r="D81" s="21" t="s">
        <v>1816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35.0"/>
    <col customWidth="1" min="3" max="3" width="18.75"/>
    <col customWidth="1" min="4" max="4" width="39.88"/>
    <col customWidth="1" min="5" max="6" width="15.5"/>
  </cols>
  <sheetData>
    <row r="1" ht="22.5" customHeight="1">
      <c r="A1" s="14" t="s">
        <v>7</v>
      </c>
      <c r="B1" s="15" t="s">
        <v>34</v>
      </c>
      <c r="C1" s="14" t="s">
        <v>9</v>
      </c>
      <c r="D1" s="14" t="s">
        <v>35</v>
      </c>
      <c r="E1" s="16" t="s">
        <v>11</v>
      </c>
      <c r="F1" s="16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ht="22.5" customHeight="1">
      <c r="A2" s="12" t="s">
        <v>1817</v>
      </c>
      <c r="B2" s="12" t="s">
        <v>1818</v>
      </c>
      <c r="C2" s="19" t="s">
        <v>38</v>
      </c>
      <c r="D2" s="18" t="s">
        <v>1819</v>
      </c>
      <c r="E2" s="18">
        <v>0.0</v>
      </c>
      <c r="F2" s="18">
        <v>0.0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22.5" customHeight="1">
      <c r="A3" s="12" t="s">
        <v>1820</v>
      </c>
      <c r="B3" s="12" t="s">
        <v>1818</v>
      </c>
      <c r="C3" s="19" t="s">
        <v>41</v>
      </c>
      <c r="D3" s="18" t="s">
        <v>1821</v>
      </c>
      <c r="E3" s="18">
        <v>0.0</v>
      </c>
      <c r="F3" s="18">
        <v>0.0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22.5" customHeight="1">
      <c r="A4" s="12" t="s">
        <v>1822</v>
      </c>
      <c r="B4" s="12" t="s">
        <v>1818</v>
      </c>
      <c r="C4" s="19" t="s">
        <v>41</v>
      </c>
      <c r="D4" s="18" t="s">
        <v>1823</v>
      </c>
      <c r="E4" s="18">
        <v>0.0</v>
      </c>
      <c r="F4" s="18">
        <v>0.0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22.5" customHeight="1">
      <c r="A5" s="12" t="s">
        <v>1824</v>
      </c>
      <c r="B5" s="12" t="s">
        <v>1818</v>
      </c>
      <c r="C5" s="19" t="s">
        <v>41</v>
      </c>
      <c r="D5" s="18" t="s">
        <v>1825</v>
      </c>
      <c r="E5" s="18">
        <v>0.0</v>
      </c>
      <c r="F5" s="18">
        <v>0.0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22.5" customHeight="1">
      <c r="A6" s="12" t="s">
        <v>1826</v>
      </c>
      <c r="B6" s="12" t="s">
        <v>1818</v>
      </c>
      <c r="C6" s="19" t="s">
        <v>41</v>
      </c>
      <c r="D6" s="18" t="s">
        <v>1827</v>
      </c>
      <c r="E6" s="18">
        <v>0.0</v>
      </c>
      <c r="F6" s="18">
        <v>0.0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22.5" customHeight="1">
      <c r="A7" s="12" t="s">
        <v>1828</v>
      </c>
      <c r="B7" s="12" t="s">
        <v>1818</v>
      </c>
      <c r="C7" s="19" t="s">
        <v>41</v>
      </c>
      <c r="D7" s="18" t="s">
        <v>1829</v>
      </c>
      <c r="E7" s="18">
        <v>0.0</v>
      </c>
      <c r="F7" s="18">
        <v>0.0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22.5" customHeight="1">
      <c r="A8" s="12" t="s">
        <v>1830</v>
      </c>
      <c r="B8" s="12" t="s">
        <v>1818</v>
      </c>
      <c r="C8" s="19" t="s">
        <v>41</v>
      </c>
      <c r="D8" s="18" t="s">
        <v>1831</v>
      </c>
      <c r="E8" s="18">
        <v>0.0</v>
      </c>
      <c r="F8" s="18">
        <v>0.0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22.5" customHeight="1">
      <c r="A9" s="12" t="s">
        <v>1832</v>
      </c>
      <c r="B9" s="12" t="s">
        <v>1818</v>
      </c>
      <c r="C9" s="19" t="s">
        <v>41</v>
      </c>
      <c r="D9" s="18" t="s">
        <v>1833</v>
      </c>
      <c r="E9" s="18">
        <v>0.0</v>
      </c>
      <c r="F9" s="18">
        <v>0.0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22.5" customHeight="1">
      <c r="A10" s="12" t="s">
        <v>1834</v>
      </c>
      <c r="B10" s="12" t="s">
        <v>1818</v>
      </c>
      <c r="C10" s="19" t="s">
        <v>41</v>
      </c>
      <c r="D10" s="18" t="s">
        <v>1835</v>
      </c>
      <c r="E10" s="18">
        <v>0.0</v>
      </c>
      <c r="F10" s="18">
        <v>0.0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22.5" customHeight="1">
      <c r="A11" s="12" t="s">
        <v>1836</v>
      </c>
      <c r="B11" s="12" t="s">
        <v>1818</v>
      </c>
      <c r="C11" s="19" t="s">
        <v>41</v>
      </c>
      <c r="D11" s="18" t="s">
        <v>1837</v>
      </c>
      <c r="E11" s="18">
        <v>0.0</v>
      </c>
      <c r="F11" s="18">
        <v>0.0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22.5" customHeight="1">
      <c r="A12" s="12" t="s">
        <v>1838</v>
      </c>
      <c r="B12" s="12" t="s">
        <v>1818</v>
      </c>
      <c r="C12" s="19" t="s">
        <v>41</v>
      </c>
      <c r="D12" s="18" t="s">
        <v>1839</v>
      </c>
      <c r="E12" s="18">
        <v>0.0</v>
      </c>
      <c r="F12" s="18">
        <v>0.0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22.5" customHeight="1">
      <c r="A13" s="12" t="s">
        <v>1840</v>
      </c>
      <c r="B13" s="12" t="s">
        <v>1818</v>
      </c>
      <c r="C13" s="19" t="s">
        <v>41</v>
      </c>
      <c r="D13" s="18" t="s">
        <v>1841</v>
      </c>
      <c r="E13" s="18">
        <v>0.0</v>
      </c>
      <c r="F13" s="18">
        <v>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22.5" customHeight="1">
      <c r="A14" s="12" t="s">
        <v>1842</v>
      </c>
      <c r="B14" s="12" t="s">
        <v>1818</v>
      </c>
      <c r="C14" s="19" t="s">
        <v>34</v>
      </c>
      <c r="D14" s="18" t="s">
        <v>1819</v>
      </c>
      <c r="E14" s="18">
        <v>0.0</v>
      </c>
      <c r="F14" s="18">
        <v>0.0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22.5" customHeight="1">
      <c r="A15" s="12" t="s">
        <v>1843</v>
      </c>
      <c r="B15" s="12" t="s">
        <v>1818</v>
      </c>
      <c r="C15" s="19" t="s">
        <v>41</v>
      </c>
      <c r="D15" s="18" t="s">
        <v>1844</v>
      </c>
      <c r="E15" s="18">
        <v>0.0</v>
      </c>
      <c r="F15" s="18">
        <v>0.0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22.5" customHeight="1">
      <c r="A16" s="12" t="s">
        <v>1845</v>
      </c>
      <c r="B16" s="12" t="s">
        <v>1818</v>
      </c>
      <c r="C16" s="19" t="s">
        <v>41</v>
      </c>
      <c r="D16" s="18" t="s">
        <v>1846</v>
      </c>
      <c r="E16" s="18">
        <v>0.0</v>
      </c>
      <c r="F16" s="18">
        <v>0.0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22.5" customHeight="1">
      <c r="A17" s="12" t="s">
        <v>1847</v>
      </c>
      <c r="B17" s="12" t="s">
        <v>1818</v>
      </c>
      <c r="C17" s="19" t="s">
        <v>41</v>
      </c>
      <c r="D17" s="18" t="s">
        <v>1848</v>
      </c>
      <c r="E17" s="18">
        <v>0.0</v>
      </c>
      <c r="F17" s="18">
        <v>0.0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22.5" customHeight="1">
      <c r="A18" s="12" t="s">
        <v>1849</v>
      </c>
      <c r="B18" s="12" t="s">
        <v>1818</v>
      </c>
      <c r="C18" s="19" t="s">
        <v>41</v>
      </c>
      <c r="D18" s="18" t="s">
        <v>1850</v>
      </c>
      <c r="E18" s="18">
        <v>0.0</v>
      </c>
      <c r="F18" s="18">
        <v>0.0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22.5" customHeight="1">
      <c r="A19" s="12" t="s">
        <v>1851</v>
      </c>
      <c r="B19" s="12" t="s">
        <v>1818</v>
      </c>
      <c r="C19" s="19" t="s">
        <v>41</v>
      </c>
      <c r="D19" s="18" t="s">
        <v>1004</v>
      </c>
      <c r="E19" s="18">
        <v>0.0</v>
      </c>
      <c r="F19" s="18">
        <v>0.0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22.5" customHeight="1">
      <c r="A20" s="12" t="s">
        <v>1852</v>
      </c>
      <c r="B20" s="12" t="s">
        <v>1818</v>
      </c>
      <c r="C20" s="19" t="s">
        <v>41</v>
      </c>
      <c r="D20" s="18" t="s">
        <v>1853</v>
      </c>
      <c r="E20" s="18">
        <v>0.0</v>
      </c>
      <c r="F20" s="18">
        <v>0.0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22.5" customHeight="1">
      <c r="A21" s="12" t="s">
        <v>1854</v>
      </c>
      <c r="B21" s="12" t="s">
        <v>1818</v>
      </c>
      <c r="C21" s="19" t="s">
        <v>41</v>
      </c>
      <c r="D21" s="18" t="s">
        <v>1855</v>
      </c>
      <c r="E21" s="18">
        <v>0.0</v>
      </c>
      <c r="F21" s="18">
        <v>0.0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22.5" customHeight="1">
      <c r="A22" s="24" t="s">
        <v>1856</v>
      </c>
      <c r="B22" s="12" t="s">
        <v>1857</v>
      </c>
      <c r="C22" s="19" t="s">
        <v>38</v>
      </c>
      <c r="D22" s="21" t="s">
        <v>1858</v>
      </c>
      <c r="E22" s="18">
        <v>0.0</v>
      </c>
      <c r="F22" s="18">
        <v>0.0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22.5" customHeight="1">
      <c r="A23" s="24" t="s">
        <v>1859</v>
      </c>
      <c r="B23" s="12" t="s">
        <v>1857</v>
      </c>
      <c r="C23" s="19" t="s">
        <v>41</v>
      </c>
      <c r="D23" s="21" t="s">
        <v>1860</v>
      </c>
      <c r="E23" s="18">
        <v>0.0</v>
      </c>
      <c r="F23" s="18">
        <v>0.0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22.5" customHeight="1">
      <c r="A24" s="24" t="s">
        <v>1861</v>
      </c>
      <c r="B24" s="12" t="s">
        <v>1857</v>
      </c>
      <c r="C24" s="19" t="s">
        <v>41</v>
      </c>
      <c r="D24" s="21" t="s">
        <v>1862</v>
      </c>
      <c r="E24" s="18">
        <v>0.0</v>
      </c>
      <c r="F24" s="18">
        <v>0.0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22.5" customHeight="1">
      <c r="A25" s="24" t="s">
        <v>1863</v>
      </c>
      <c r="B25" s="12" t="s">
        <v>1857</v>
      </c>
      <c r="C25" s="19" t="s">
        <v>41</v>
      </c>
      <c r="D25" s="21" t="s">
        <v>1008</v>
      </c>
      <c r="E25" s="18">
        <v>0.0</v>
      </c>
      <c r="F25" s="18">
        <v>0.0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22.5" customHeight="1">
      <c r="A26" s="24" t="s">
        <v>1864</v>
      </c>
      <c r="B26" s="12" t="s">
        <v>1857</v>
      </c>
      <c r="C26" s="19" t="s">
        <v>41</v>
      </c>
      <c r="D26" s="21" t="s">
        <v>1865</v>
      </c>
      <c r="E26" s="18">
        <v>0.0</v>
      </c>
      <c r="F26" s="18">
        <v>0.0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22.5" customHeight="1">
      <c r="A27" s="24" t="s">
        <v>1866</v>
      </c>
      <c r="B27" s="12" t="s">
        <v>1857</v>
      </c>
      <c r="C27" s="19" t="s">
        <v>41</v>
      </c>
      <c r="D27" s="21" t="s">
        <v>1867</v>
      </c>
      <c r="E27" s="18">
        <v>0.0</v>
      </c>
      <c r="F27" s="18">
        <v>0.0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22.5" customHeight="1">
      <c r="A28" s="24" t="s">
        <v>1868</v>
      </c>
      <c r="B28" s="12" t="s">
        <v>1857</v>
      </c>
      <c r="C28" s="19" t="s">
        <v>41</v>
      </c>
      <c r="D28" s="21" t="s">
        <v>1869</v>
      </c>
      <c r="E28" s="18">
        <v>0.0</v>
      </c>
      <c r="F28" s="18">
        <v>0.0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22.5" customHeight="1">
      <c r="A29" s="24" t="s">
        <v>1870</v>
      </c>
      <c r="B29" s="12" t="s">
        <v>1857</v>
      </c>
      <c r="C29" s="19" t="s">
        <v>41</v>
      </c>
      <c r="D29" s="21" t="s">
        <v>1871</v>
      </c>
      <c r="E29" s="18">
        <v>0.0</v>
      </c>
      <c r="F29" s="18">
        <v>0.0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22.5" customHeight="1">
      <c r="A30" s="24" t="s">
        <v>1872</v>
      </c>
      <c r="B30" s="12" t="s">
        <v>1857</v>
      </c>
      <c r="C30" s="19" t="s">
        <v>41</v>
      </c>
      <c r="D30" s="21" t="s">
        <v>1873</v>
      </c>
      <c r="E30" s="18">
        <v>0.0</v>
      </c>
      <c r="F30" s="18">
        <v>0.0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22.5" customHeight="1">
      <c r="A31" s="24" t="s">
        <v>1874</v>
      </c>
      <c r="B31" s="12" t="s">
        <v>1857</v>
      </c>
      <c r="C31" s="19" t="s">
        <v>41</v>
      </c>
      <c r="D31" s="21" t="s">
        <v>1875</v>
      </c>
      <c r="E31" s="18">
        <v>0.0</v>
      </c>
      <c r="F31" s="18">
        <v>0.0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22.5" customHeight="1">
      <c r="A32" s="24" t="s">
        <v>1876</v>
      </c>
      <c r="B32" s="12" t="s">
        <v>1857</v>
      </c>
      <c r="C32" s="19" t="s">
        <v>41</v>
      </c>
      <c r="D32" s="21" t="s">
        <v>1877</v>
      </c>
      <c r="E32" s="18">
        <v>0.0</v>
      </c>
      <c r="F32" s="18">
        <v>0.0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22.5" customHeight="1">
      <c r="A33" s="24" t="s">
        <v>1878</v>
      </c>
      <c r="B33" s="12" t="s">
        <v>1857</v>
      </c>
      <c r="C33" s="19" t="s">
        <v>41</v>
      </c>
      <c r="D33" s="21" t="s">
        <v>1879</v>
      </c>
      <c r="E33" s="18">
        <v>0.0</v>
      </c>
      <c r="F33" s="18">
        <v>0.0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22.5" customHeight="1">
      <c r="A34" s="24" t="s">
        <v>1880</v>
      </c>
      <c r="B34" s="12" t="s">
        <v>1857</v>
      </c>
      <c r="C34" s="19" t="s">
        <v>34</v>
      </c>
      <c r="D34" s="21" t="s">
        <v>1858</v>
      </c>
      <c r="E34" s="18">
        <v>0.0</v>
      </c>
      <c r="F34" s="18">
        <v>0.0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22.5" customHeight="1">
      <c r="A35" s="24" t="s">
        <v>1881</v>
      </c>
      <c r="B35" s="12" t="s">
        <v>1857</v>
      </c>
      <c r="C35" s="19" t="s">
        <v>41</v>
      </c>
      <c r="D35" s="21" t="s">
        <v>1882</v>
      </c>
      <c r="E35" s="18">
        <v>0.0</v>
      </c>
      <c r="F35" s="18">
        <v>0.0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22.5" customHeight="1">
      <c r="A36" s="24" t="s">
        <v>1883</v>
      </c>
      <c r="B36" s="12" t="s">
        <v>1857</v>
      </c>
      <c r="C36" s="19" t="s">
        <v>41</v>
      </c>
      <c r="D36" s="21" t="s">
        <v>1884</v>
      </c>
      <c r="E36" s="18">
        <v>0.0</v>
      </c>
      <c r="F36" s="18">
        <v>0.0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22.5" customHeight="1">
      <c r="A37" s="24" t="s">
        <v>1885</v>
      </c>
      <c r="B37" s="12" t="s">
        <v>1857</v>
      </c>
      <c r="C37" s="19" t="s">
        <v>41</v>
      </c>
      <c r="D37" s="21" t="s">
        <v>1886</v>
      </c>
      <c r="E37" s="18">
        <v>0.0</v>
      </c>
      <c r="F37" s="18">
        <v>0.0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22.5" customHeight="1">
      <c r="A38" s="24" t="s">
        <v>1887</v>
      </c>
      <c r="B38" s="12" t="s">
        <v>1857</v>
      </c>
      <c r="C38" s="19" t="s">
        <v>41</v>
      </c>
      <c r="D38" s="21" t="s">
        <v>1888</v>
      </c>
      <c r="E38" s="18">
        <v>0.0</v>
      </c>
      <c r="F38" s="18">
        <v>0.0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22.5" customHeight="1">
      <c r="A39" s="24" t="s">
        <v>1889</v>
      </c>
      <c r="B39" s="12" t="s">
        <v>1857</v>
      </c>
      <c r="C39" s="19" t="s">
        <v>41</v>
      </c>
      <c r="D39" s="21" t="s">
        <v>1890</v>
      </c>
      <c r="E39" s="18">
        <v>0.0</v>
      </c>
      <c r="F39" s="18">
        <v>0.0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22.5" customHeight="1">
      <c r="A40" s="24" t="s">
        <v>1891</v>
      </c>
      <c r="B40" s="12" t="s">
        <v>1857</v>
      </c>
      <c r="C40" s="19" t="s">
        <v>41</v>
      </c>
      <c r="D40" s="21" t="s">
        <v>1892</v>
      </c>
      <c r="E40" s="18">
        <v>0.0</v>
      </c>
      <c r="F40" s="18">
        <v>0.0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22.5" customHeight="1">
      <c r="A41" s="24" t="s">
        <v>1893</v>
      </c>
      <c r="B41" s="12" t="s">
        <v>1857</v>
      </c>
      <c r="C41" s="19" t="s">
        <v>41</v>
      </c>
      <c r="D41" s="21" t="s">
        <v>1894</v>
      </c>
      <c r="E41" s="18">
        <v>0.0</v>
      </c>
      <c r="F41" s="18">
        <v>0.0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22.5" customHeight="1">
      <c r="A42" s="25" t="s">
        <v>1895</v>
      </c>
      <c r="B42" s="12" t="s">
        <v>1896</v>
      </c>
      <c r="C42" s="19" t="s">
        <v>38</v>
      </c>
      <c r="D42" s="21" t="s">
        <v>1897</v>
      </c>
      <c r="E42" s="18">
        <v>0.0</v>
      </c>
      <c r="F42" s="18">
        <v>0.0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22.5" customHeight="1">
      <c r="A43" s="25" t="s">
        <v>1898</v>
      </c>
      <c r="B43" s="12" t="s">
        <v>1896</v>
      </c>
      <c r="C43" s="19" t="s">
        <v>41</v>
      </c>
      <c r="D43" s="21" t="s">
        <v>1899</v>
      </c>
      <c r="E43" s="18">
        <v>0.0</v>
      </c>
      <c r="F43" s="18">
        <v>0.0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22.5" customHeight="1">
      <c r="A44" s="25" t="s">
        <v>1900</v>
      </c>
      <c r="B44" s="12" t="s">
        <v>1896</v>
      </c>
      <c r="C44" s="19" t="s">
        <v>41</v>
      </c>
      <c r="D44" s="21" t="s">
        <v>1901</v>
      </c>
      <c r="E44" s="18">
        <v>0.0</v>
      </c>
      <c r="F44" s="18">
        <v>0.0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22.5" customHeight="1">
      <c r="A45" s="25" t="s">
        <v>1902</v>
      </c>
      <c r="B45" s="12" t="s">
        <v>1896</v>
      </c>
      <c r="C45" s="19" t="s">
        <v>41</v>
      </c>
      <c r="D45" s="21" t="s">
        <v>1903</v>
      </c>
      <c r="E45" s="18">
        <v>0.0</v>
      </c>
      <c r="F45" s="18">
        <v>0.0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22.5" customHeight="1">
      <c r="A46" s="25" t="s">
        <v>1904</v>
      </c>
      <c r="B46" s="12" t="s">
        <v>1896</v>
      </c>
      <c r="C46" s="19" t="s">
        <v>41</v>
      </c>
      <c r="D46" s="21" t="s">
        <v>1905</v>
      </c>
      <c r="E46" s="18">
        <v>0.0</v>
      </c>
      <c r="F46" s="18">
        <v>0.0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22.5" customHeight="1">
      <c r="A47" s="25" t="s">
        <v>1906</v>
      </c>
      <c r="B47" s="12" t="s">
        <v>1896</v>
      </c>
      <c r="C47" s="19" t="s">
        <v>41</v>
      </c>
      <c r="D47" s="21" t="s">
        <v>1907</v>
      </c>
      <c r="E47" s="18">
        <v>0.0</v>
      </c>
      <c r="F47" s="18">
        <v>0.0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22.5" customHeight="1">
      <c r="A48" s="25" t="s">
        <v>1908</v>
      </c>
      <c r="B48" s="12" t="s">
        <v>1896</v>
      </c>
      <c r="C48" s="19" t="s">
        <v>41</v>
      </c>
      <c r="D48" s="21" t="s">
        <v>1909</v>
      </c>
      <c r="E48" s="18">
        <v>0.0</v>
      </c>
      <c r="F48" s="18">
        <v>0.0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22.5" customHeight="1">
      <c r="A49" s="25" t="s">
        <v>1910</v>
      </c>
      <c r="B49" s="12" t="s">
        <v>1896</v>
      </c>
      <c r="C49" s="19" t="s">
        <v>41</v>
      </c>
      <c r="D49" s="21" t="s">
        <v>1911</v>
      </c>
      <c r="E49" s="18">
        <v>0.0</v>
      </c>
      <c r="F49" s="18">
        <v>0.0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22.5" customHeight="1">
      <c r="A50" s="25" t="s">
        <v>1912</v>
      </c>
      <c r="B50" s="12" t="s">
        <v>1896</v>
      </c>
      <c r="C50" s="19" t="s">
        <v>41</v>
      </c>
      <c r="D50" s="21" t="s">
        <v>1913</v>
      </c>
      <c r="E50" s="18">
        <v>0.0</v>
      </c>
      <c r="F50" s="18">
        <v>0.0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22.5" customHeight="1">
      <c r="A51" s="25" t="s">
        <v>1914</v>
      </c>
      <c r="B51" s="12" t="s">
        <v>1896</v>
      </c>
      <c r="C51" s="19" t="s">
        <v>41</v>
      </c>
      <c r="D51" s="21" t="s">
        <v>1915</v>
      </c>
      <c r="E51" s="18">
        <v>0.0</v>
      </c>
      <c r="F51" s="18">
        <v>0.0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22.5" customHeight="1">
      <c r="A52" s="25" t="s">
        <v>1916</v>
      </c>
      <c r="B52" s="12" t="s">
        <v>1896</v>
      </c>
      <c r="C52" s="19" t="s">
        <v>41</v>
      </c>
      <c r="D52" s="21" t="s">
        <v>1917</v>
      </c>
      <c r="E52" s="18">
        <v>0.0</v>
      </c>
      <c r="F52" s="18">
        <v>0.0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22.5" customHeight="1">
      <c r="A53" s="25" t="s">
        <v>1918</v>
      </c>
      <c r="B53" s="12" t="s">
        <v>1896</v>
      </c>
      <c r="C53" s="19" t="s">
        <v>41</v>
      </c>
      <c r="D53" s="21" t="s">
        <v>1919</v>
      </c>
      <c r="E53" s="18">
        <v>0.0</v>
      </c>
      <c r="F53" s="18">
        <v>0.0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22.5" customHeight="1">
      <c r="A54" s="25" t="s">
        <v>1920</v>
      </c>
      <c r="B54" s="12" t="s">
        <v>1896</v>
      </c>
      <c r="C54" s="19" t="s">
        <v>34</v>
      </c>
      <c r="D54" s="21" t="s">
        <v>1897</v>
      </c>
      <c r="E54" s="18">
        <v>0.0</v>
      </c>
      <c r="F54" s="18">
        <v>0.0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22.5" customHeight="1">
      <c r="A55" s="25" t="s">
        <v>1921</v>
      </c>
      <c r="B55" s="12" t="s">
        <v>1896</v>
      </c>
      <c r="C55" s="19" t="s">
        <v>41</v>
      </c>
      <c r="D55" s="21" t="s">
        <v>1922</v>
      </c>
      <c r="E55" s="18">
        <v>0.0</v>
      </c>
      <c r="F55" s="18">
        <v>0.0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22.5" customHeight="1">
      <c r="A56" s="25" t="s">
        <v>1923</v>
      </c>
      <c r="B56" s="12" t="s">
        <v>1896</v>
      </c>
      <c r="C56" s="19" t="s">
        <v>41</v>
      </c>
      <c r="D56" s="21" t="s">
        <v>1924</v>
      </c>
      <c r="E56" s="18">
        <v>0.0</v>
      </c>
      <c r="F56" s="18">
        <v>0.0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22.5" customHeight="1">
      <c r="A57" s="25" t="s">
        <v>1925</v>
      </c>
      <c r="B57" s="12" t="s">
        <v>1896</v>
      </c>
      <c r="C57" s="19" t="s">
        <v>41</v>
      </c>
      <c r="D57" s="21" t="s">
        <v>1926</v>
      </c>
      <c r="E57" s="18">
        <v>0.0</v>
      </c>
      <c r="F57" s="18">
        <v>0.0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22.5" customHeight="1">
      <c r="A58" s="25" t="s">
        <v>1927</v>
      </c>
      <c r="B58" s="12" t="s">
        <v>1896</v>
      </c>
      <c r="C58" s="19" t="s">
        <v>41</v>
      </c>
      <c r="D58" s="21" t="s">
        <v>1928</v>
      </c>
      <c r="E58" s="18">
        <v>0.0</v>
      </c>
      <c r="F58" s="18">
        <v>0.0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22.5" customHeight="1">
      <c r="A59" s="25" t="s">
        <v>1929</v>
      </c>
      <c r="B59" s="12" t="s">
        <v>1896</v>
      </c>
      <c r="C59" s="19" t="s">
        <v>41</v>
      </c>
      <c r="D59" s="21" t="s">
        <v>1930</v>
      </c>
      <c r="E59" s="18">
        <v>0.0</v>
      </c>
      <c r="F59" s="18">
        <v>0.0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22.5" customHeight="1">
      <c r="A60" s="25" t="s">
        <v>1931</v>
      </c>
      <c r="B60" s="12" t="s">
        <v>1896</v>
      </c>
      <c r="C60" s="19" t="s">
        <v>41</v>
      </c>
      <c r="D60" s="21" t="s">
        <v>1932</v>
      </c>
      <c r="E60" s="18">
        <v>0.0</v>
      </c>
      <c r="F60" s="18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22.5" customHeight="1">
      <c r="A61" s="25" t="s">
        <v>1933</v>
      </c>
      <c r="B61" s="12" t="s">
        <v>1896</v>
      </c>
      <c r="C61" s="19" t="s">
        <v>41</v>
      </c>
      <c r="D61" s="21" t="s">
        <v>1934</v>
      </c>
      <c r="E61" s="18">
        <v>0.0</v>
      </c>
      <c r="F61" s="18">
        <v>0.0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22.5" customHeight="1">
      <c r="A62" s="25" t="s">
        <v>1935</v>
      </c>
      <c r="B62" s="12" t="s">
        <v>1936</v>
      </c>
      <c r="C62" s="19" t="s">
        <v>38</v>
      </c>
      <c r="D62" s="21" t="s">
        <v>1937</v>
      </c>
      <c r="E62" s="18">
        <v>0.0</v>
      </c>
      <c r="F62" s="18">
        <v>0.0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22.5" customHeight="1">
      <c r="A63" s="25" t="s">
        <v>1938</v>
      </c>
      <c r="B63" s="12" t="s">
        <v>1936</v>
      </c>
      <c r="C63" s="19" t="s">
        <v>41</v>
      </c>
      <c r="D63" s="21" t="s">
        <v>1939</v>
      </c>
      <c r="E63" s="18">
        <v>0.0</v>
      </c>
      <c r="F63" s="18">
        <v>0.0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22.5" customHeight="1">
      <c r="A64" s="25" t="s">
        <v>1940</v>
      </c>
      <c r="B64" s="12" t="s">
        <v>1936</v>
      </c>
      <c r="C64" s="19" t="s">
        <v>41</v>
      </c>
      <c r="D64" s="21" t="s">
        <v>1941</v>
      </c>
      <c r="E64" s="18">
        <v>0.0</v>
      </c>
      <c r="F64" s="18">
        <v>0.0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22.5" customHeight="1">
      <c r="A65" s="25" t="s">
        <v>1942</v>
      </c>
      <c r="B65" s="12" t="s">
        <v>1936</v>
      </c>
      <c r="C65" s="19" t="s">
        <v>41</v>
      </c>
      <c r="D65" s="21" t="s">
        <v>1943</v>
      </c>
      <c r="E65" s="18">
        <v>0.0</v>
      </c>
      <c r="F65" s="18">
        <v>0.0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22.5" customHeight="1">
      <c r="A66" s="25" t="s">
        <v>1944</v>
      </c>
      <c r="B66" s="12" t="s">
        <v>1936</v>
      </c>
      <c r="C66" s="19" t="s">
        <v>41</v>
      </c>
      <c r="D66" s="21" t="s">
        <v>1945</v>
      </c>
      <c r="E66" s="18">
        <v>0.0</v>
      </c>
      <c r="F66" s="18">
        <v>0.0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22.5" customHeight="1">
      <c r="A67" s="25" t="s">
        <v>1946</v>
      </c>
      <c r="B67" s="12" t="s">
        <v>1936</v>
      </c>
      <c r="C67" s="19" t="s">
        <v>41</v>
      </c>
      <c r="D67" s="21" t="s">
        <v>1947</v>
      </c>
      <c r="E67" s="18">
        <v>0.0</v>
      </c>
      <c r="F67" s="18">
        <v>0.0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22.5" customHeight="1">
      <c r="A68" s="25" t="s">
        <v>1948</v>
      </c>
      <c r="B68" s="12" t="s">
        <v>1936</v>
      </c>
      <c r="C68" s="19" t="s">
        <v>41</v>
      </c>
      <c r="D68" s="21" t="s">
        <v>1949</v>
      </c>
      <c r="E68" s="18">
        <v>0.0</v>
      </c>
      <c r="F68" s="18">
        <v>0.0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22.5" customHeight="1">
      <c r="A69" s="25" t="s">
        <v>1950</v>
      </c>
      <c r="B69" s="12" t="s">
        <v>1936</v>
      </c>
      <c r="C69" s="19" t="s">
        <v>41</v>
      </c>
      <c r="D69" s="21" t="s">
        <v>1951</v>
      </c>
      <c r="E69" s="18">
        <v>0.0</v>
      </c>
      <c r="F69" s="18">
        <v>0.0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22.5" customHeight="1">
      <c r="A70" s="25" t="s">
        <v>1952</v>
      </c>
      <c r="B70" s="12" t="s">
        <v>1936</v>
      </c>
      <c r="C70" s="19" t="s">
        <v>41</v>
      </c>
      <c r="D70" s="21" t="s">
        <v>1953</v>
      </c>
      <c r="E70" s="18">
        <v>0.0</v>
      </c>
      <c r="F70" s="18">
        <v>0.0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22.5" customHeight="1">
      <c r="A71" s="25" t="s">
        <v>1954</v>
      </c>
      <c r="B71" s="12" t="s">
        <v>1936</v>
      </c>
      <c r="C71" s="19" t="s">
        <v>41</v>
      </c>
      <c r="D71" s="21" t="s">
        <v>1955</v>
      </c>
      <c r="E71" s="18">
        <v>0.0</v>
      </c>
      <c r="F71" s="18">
        <v>0.0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22.5" customHeight="1">
      <c r="A72" s="25" t="s">
        <v>1956</v>
      </c>
      <c r="B72" s="12" t="s">
        <v>1936</v>
      </c>
      <c r="C72" s="19" t="s">
        <v>41</v>
      </c>
      <c r="D72" s="21" t="s">
        <v>1957</v>
      </c>
      <c r="E72" s="18">
        <v>0.0</v>
      </c>
      <c r="F72" s="18">
        <v>0.0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22.5" customHeight="1">
      <c r="A73" s="25" t="s">
        <v>1958</v>
      </c>
      <c r="B73" s="12" t="s">
        <v>1936</v>
      </c>
      <c r="C73" s="19" t="s">
        <v>41</v>
      </c>
      <c r="D73" s="21" t="s">
        <v>1959</v>
      </c>
      <c r="E73" s="18">
        <v>0.0</v>
      </c>
      <c r="F73" s="18">
        <v>0.0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22.5" customHeight="1">
      <c r="A74" s="25" t="s">
        <v>1960</v>
      </c>
      <c r="B74" s="12" t="s">
        <v>1936</v>
      </c>
      <c r="C74" s="19" t="s">
        <v>34</v>
      </c>
      <c r="D74" s="21" t="s">
        <v>1937</v>
      </c>
      <c r="E74" s="18">
        <v>0.0</v>
      </c>
      <c r="F74" s="18">
        <v>0.0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22.5" customHeight="1">
      <c r="A75" s="25" t="s">
        <v>1961</v>
      </c>
      <c r="B75" s="12" t="s">
        <v>1936</v>
      </c>
      <c r="C75" s="19" t="s">
        <v>41</v>
      </c>
      <c r="D75" s="21" t="s">
        <v>1962</v>
      </c>
      <c r="E75" s="18">
        <v>0.0</v>
      </c>
      <c r="F75" s="18">
        <v>0.0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22.5" customHeight="1">
      <c r="A76" s="25" t="s">
        <v>1963</v>
      </c>
      <c r="B76" s="12" t="s">
        <v>1936</v>
      </c>
      <c r="C76" s="19" t="s">
        <v>41</v>
      </c>
      <c r="D76" s="21" t="s">
        <v>1964</v>
      </c>
      <c r="E76" s="18">
        <v>0.0</v>
      </c>
      <c r="F76" s="18">
        <v>0.0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22.5" customHeight="1">
      <c r="A77" s="25" t="s">
        <v>1965</v>
      </c>
      <c r="B77" s="12" t="s">
        <v>1936</v>
      </c>
      <c r="C77" s="19" t="s">
        <v>41</v>
      </c>
      <c r="D77" s="21" t="s">
        <v>1966</v>
      </c>
      <c r="E77" s="18">
        <v>0.0</v>
      </c>
      <c r="F77" s="18">
        <v>0.0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22.5" customHeight="1">
      <c r="A78" s="25" t="s">
        <v>1967</v>
      </c>
      <c r="B78" s="12" t="s">
        <v>1936</v>
      </c>
      <c r="C78" s="19" t="s">
        <v>41</v>
      </c>
      <c r="D78" s="21" t="s">
        <v>1968</v>
      </c>
      <c r="E78" s="18">
        <v>0.0</v>
      </c>
      <c r="F78" s="18">
        <v>0.0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22.5" customHeight="1">
      <c r="A79" s="25" t="s">
        <v>1969</v>
      </c>
      <c r="B79" s="12" t="s">
        <v>1936</v>
      </c>
      <c r="C79" s="19" t="s">
        <v>41</v>
      </c>
      <c r="D79" s="21" t="s">
        <v>1970</v>
      </c>
      <c r="E79" s="18">
        <v>0.0</v>
      </c>
      <c r="F79" s="18">
        <v>0.0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22.5" customHeight="1">
      <c r="A80" s="25" t="s">
        <v>1971</v>
      </c>
      <c r="B80" s="12" t="s">
        <v>1936</v>
      </c>
      <c r="C80" s="19" t="s">
        <v>41</v>
      </c>
      <c r="D80" s="21" t="s">
        <v>1972</v>
      </c>
      <c r="E80" s="18">
        <v>0.0</v>
      </c>
      <c r="F80" s="18">
        <v>0.0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22.5" customHeight="1">
      <c r="A81" s="25" t="s">
        <v>1973</v>
      </c>
      <c r="B81" s="12" t="s">
        <v>1936</v>
      </c>
      <c r="C81" s="19" t="s">
        <v>41</v>
      </c>
      <c r="D81" s="21" t="s">
        <v>1974</v>
      </c>
      <c r="E81" s="18">
        <v>0.0</v>
      </c>
      <c r="F81" s="18">
        <v>0.0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22.5" customHeight="1">
      <c r="A82" s="24"/>
      <c r="B82" s="22"/>
      <c r="C82" s="23"/>
      <c r="D82" s="21"/>
      <c r="E82" s="18"/>
      <c r="F82" s="1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22.5" customHeight="1">
      <c r="A83" s="24"/>
      <c r="B83" s="22"/>
      <c r="C83" s="23"/>
      <c r="D83" s="21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22.5" customHeight="1">
      <c r="A84" s="24"/>
      <c r="B84" s="22"/>
      <c r="C84" s="23"/>
      <c r="D84" s="21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22.5" customHeight="1">
      <c r="A85" s="24"/>
      <c r="B85" s="22"/>
      <c r="C85" s="23"/>
      <c r="D85" s="21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22.5" customHeight="1">
      <c r="A86" s="24"/>
      <c r="B86" s="22"/>
      <c r="C86" s="23"/>
      <c r="D86" s="21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22.5" customHeight="1">
      <c r="A87" s="24"/>
      <c r="B87" s="22"/>
      <c r="C87" s="23"/>
      <c r="D87" s="21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22.5" customHeight="1">
      <c r="A88" s="24"/>
      <c r="B88" s="22"/>
      <c r="C88" s="23"/>
      <c r="D88" s="21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22.5" customHeight="1">
      <c r="A89" s="24"/>
      <c r="B89" s="22"/>
      <c r="C89" s="23"/>
      <c r="D89" s="21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22.5" customHeight="1">
      <c r="A90" s="24"/>
      <c r="B90" s="22"/>
      <c r="C90" s="23"/>
      <c r="D90" s="21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22.5" customHeight="1">
      <c r="A91" s="24"/>
      <c r="B91" s="22"/>
      <c r="C91" s="23"/>
      <c r="D91" s="21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22.5" customHeight="1">
      <c r="A92" s="24"/>
      <c r="B92" s="22"/>
      <c r="C92" s="23"/>
      <c r="D92" s="21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22.5" customHeight="1">
      <c r="A93" s="24"/>
      <c r="B93" s="22"/>
      <c r="C93" s="23"/>
      <c r="D93" s="21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22.5" customHeight="1">
      <c r="A94" s="24"/>
      <c r="B94" s="22"/>
      <c r="C94" s="23"/>
      <c r="D94" s="21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22.5" customHeight="1">
      <c r="A95" s="24"/>
      <c r="B95" s="22"/>
      <c r="C95" s="23"/>
      <c r="D95" s="21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22.5" customHeight="1">
      <c r="A96" s="24"/>
      <c r="B96" s="22"/>
      <c r="C96" s="23"/>
      <c r="D96" s="21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22.5" customHeight="1">
      <c r="A97" s="24"/>
      <c r="B97" s="22"/>
      <c r="C97" s="23"/>
      <c r="D97" s="21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22.5" customHeight="1">
      <c r="A98" s="24"/>
      <c r="B98" s="22"/>
      <c r="C98" s="23"/>
      <c r="D98" s="21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22.5" customHeight="1">
      <c r="A99" s="24"/>
      <c r="B99" s="22"/>
      <c r="C99" s="23"/>
      <c r="D99" s="21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22.5" customHeight="1">
      <c r="A100" s="24"/>
      <c r="B100" s="22"/>
      <c r="C100" s="23"/>
      <c r="D100" s="21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22.5" customHeight="1">
      <c r="A101" s="24"/>
      <c r="B101" s="22"/>
      <c r="C101" s="23"/>
      <c r="D101" s="21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22.5" customHeight="1">
      <c r="A102" s="24"/>
      <c r="B102" s="22"/>
      <c r="C102" s="23"/>
      <c r="D102" s="21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22.5" customHeight="1">
      <c r="A103" s="24"/>
      <c r="B103" s="22"/>
      <c r="C103" s="23"/>
      <c r="D103" s="21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22.5" customHeight="1">
      <c r="A104" s="24"/>
      <c r="B104" s="22"/>
      <c r="C104" s="23"/>
      <c r="D104" s="21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22.5" customHeight="1">
      <c r="A105" s="24"/>
      <c r="B105" s="22"/>
      <c r="C105" s="23"/>
      <c r="D105" s="21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22.5" customHeight="1">
      <c r="A106" s="24"/>
      <c r="B106" s="22"/>
      <c r="C106" s="23"/>
      <c r="D106" s="21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22.5" customHeight="1">
      <c r="A107" s="24"/>
      <c r="B107" s="22"/>
      <c r="C107" s="23"/>
      <c r="D107" s="21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22.5" customHeight="1">
      <c r="A108" s="24"/>
      <c r="B108" s="22"/>
      <c r="C108" s="23"/>
      <c r="D108" s="21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22.5" customHeight="1">
      <c r="A109" s="24"/>
      <c r="B109" s="22"/>
      <c r="C109" s="23"/>
      <c r="D109" s="21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22.5" customHeight="1">
      <c r="A110" s="24"/>
      <c r="B110" s="22"/>
      <c r="C110" s="23"/>
      <c r="D110" s="21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22.5" customHeight="1">
      <c r="A111" s="24"/>
      <c r="B111" s="22"/>
      <c r="C111" s="23"/>
      <c r="D111" s="21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22.5" customHeight="1">
      <c r="A112" s="24"/>
      <c r="B112" s="22"/>
      <c r="C112" s="23"/>
      <c r="D112" s="21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22.5" customHeight="1">
      <c r="A113" s="24"/>
      <c r="B113" s="22"/>
      <c r="C113" s="23"/>
      <c r="D113" s="21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22.5" customHeight="1">
      <c r="A114" s="24"/>
      <c r="B114" s="22"/>
      <c r="C114" s="23"/>
      <c r="D114" s="21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22.5" customHeight="1">
      <c r="A115" s="24"/>
      <c r="B115" s="22"/>
      <c r="C115" s="23"/>
      <c r="D115" s="21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22.5" customHeight="1">
      <c r="A116" s="24"/>
      <c r="B116" s="22"/>
      <c r="C116" s="23"/>
      <c r="D116" s="21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22.5" customHeight="1">
      <c r="A117" s="24"/>
      <c r="B117" s="22"/>
      <c r="C117" s="23"/>
      <c r="D117" s="21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22.5" customHeight="1">
      <c r="A118" s="24"/>
      <c r="B118" s="22"/>
      <c r="C118" s="23"/>
      <c r="D118" s="21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22.5" customHeight="1">
      <c r="A119" s="24"/>
      <c r="B119" s="22"/>
      <c r="C119" s="23"/>
      <c r="D119" s="21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22.5" customHeight="1">
      <c r="A120" s="24"/>
      <c r="B120" s="22"/>
      <c r="C120" s="23"/>
      <c r="D120" s="21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22.5" customHeight="1">
      <c r="A121" s="24"/>
      <c r="B121" s="22"/>
      <c r="C121" s="23"/>
      <c r="D121" s="21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22.5" customHeight="1">
      <c r="A122" s="24"/>
      <c r="B122" s="22"/>
      <c r="C122" s="23"/>
      <c r="D122" s="21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22.5" customHeight="1">
      <c r="A123" s="24"/>
      <c r="B123" s="22"/>
      <c r="C123" s="23"/>
      <c r="D123" s="21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22.5" customHeight="1">
      <c r="A124" s="24"/>
      <c r="B124" s="22"/>
      <c r="C124" s="23"/>
      <c r="D124" s="21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22.5" customHeight="1">
      <c r="A125" s="24"/>
      <c r="B125" s="22"/>
      <c r="C125" s="23"/>
      <c r="D125" s="21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22.5" customHeight="1">
      <c r="A126" s="24"/>
      <c r="B126" s="22"/>
      <c r="C126" s="23"/>
      <c r="D126" s="21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22.5" customHeight="1">
      <c r="A127" s="24"/>
      <c r="B127" s="22"/>
      <c r="C127" s="23"/>
      <c r="D127" s="21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22.5" customHeight="1">
      <c r="A128" s="24"/>
      <c r="B128" s="22"/>
      <c r="C128" s="23"/>
      <c r="D128" s="21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22.5" customHeight="1">
      <c r="A129" s="24"/>
      <c r="B129" s="22"/>
      <c r="C129" s="23"/>
      <c r="D129" s="21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22.5" customHeight="1">
      <c r="A130" s="24"/>
      <c r="B130" s="22"/>
      <c r="C130" s="23"/>
      <c r="D130" s="21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22.5" customHeight="1">
      <c r="A131" s="24"/>
      <c r="B131" s="22"/>
      <c r="C131" s="23"/>
      <c r="D131" s="21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22.5" customHeight="1">
      <c r="A132" s="24"/>
      <c r="B132" s="22"/>
      <c r="C132" s="23"/>
      <c r="D132" s="21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22.5" customHeight="1">
      <c r="A133" s="24"/>
      <c r="B133" s="22"/>
      <c r="C133" s="23"/>
      <c r="D133" s="21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22.5" customHeight="1">
      <c r="A134" s="24"/>
      <c r="B134" s="22"/>
      <c r="C134" s="23"/>
      <c r="D134" s="21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22.5" customHeight="1">
      <c r="A135" s="24"/>
      <c r="B135" s="22"/>
      <c r="C135" s="23"/>
      <c r="D135" s="21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22.5" customHeight="1">
      <c r="A136" s="24"/>
      <c r="B136" s="22"/>
      <c r="C136" s="23"/>
      <c r="D136" s="21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22.5" customHeight="1">
      <c r="A137" s="24"/>
      <c r="B137" s="22"/>
      <c r="C137" s="23"/>
      <c r="D137" s="21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22.5" customHeight="1">
      <c r="A138" s="24"/>
      <c r="B138" s="22"/>
      <c r="C138" s="23"/>
      <c r="D138" s="21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22.5" customHeight="1">
      <c r="A139" s="24"/>
      <c r="B139" s="22"/>
      <c r="C139" s="23"/>
      <c r="D139" s="21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22.5" customHeight="1">
      <c r="A140" s="24"/>
      <c r="B140" s="22"/>
      <c r="C140" s="23"/>
      <c r="D140" s="21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22.5" customHeight="1">
      <c r="A141" s="24"/>
      <c r="B141" s="22"/>
      <c r="C141" s="23"/>
      <c r="D141" s="21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22.5" customHeight="1">
      <c r="A142" s="24"/>
      <c r="B142" s="22"/>
      <c r="C142" s="23"/>
      <c r="D142" s="21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22.5" customHeight="1">
      <c r="A143" s="24"/>
      <c r="B143" s="22"/>
      <c r="C143" s="23"/>
      <c r="D143" s="21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22.5" customHeight="1">
      <c r="A144" s="24"/>
      <c r="B144" s="22"/>
      <c r="C144" s="23"/>
      <c r="D144" s="21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22.5" customHeight="1">
      <c r="A145" s="24"/>
      <c r="B145" s="22"/>
      <c r="C145" s="23"/>
      <c r="D145" s="21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22.5" customHeight="1">
      <c r="A146" s="24"/>
      <c r="B146" s="22"/>
      <c r="C146" s="23"/>
      <c r="D146" s="21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22.5" customHeight="1">
      <c r="A147" s="24"/>
      <c r="B147" s="22"/>
      <c r="C147" s="23"/>
      <c r="D147" s="21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22.5" customHeight="1">
      <c r="A148" s="24"/>
      <c r="B148" s="22"/>
      <c r="C148" s="23"/>
      <c r="D148" s="21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22.5" customHeight="1">
      <c r="A149" s="24"/>
      <c r="B149" s="22"/>
      <c r="C149" s="23"/>
      <c r="D149" s="21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22.5" customHeight="1">
      <c r="A150" s="24"/>
      <c r="B150" s="22"/>
      <c r="C150" s="23"/>
      <c r="D150" s="21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22.5" customHeight="1">
      <c r="A151" s="24"/>
      <c r="B151" s="22"/>
      <c r="C151" s="23"/>
      <c r="D151" s="21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22.5" customHeight="1">
      <c r="A152" s="24"/>
      <c r="B152" s="22"/>
      <c r="C152" s="23"/>
      <c r="D152" s="21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22.5" customHeight="1">
      <c r="A153" s="24"/>
      <c r="B153" s="22"/>
      <c r="C153" s="23"/>
      <c r="D153" s="21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22.5" customHeight="1">
      <c r="A154" s="24"/>
      <c r="B154" s="22"/>
      <c r="C154" s="23"/>
      <c r="D154" s="21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22.5" customHeight="1">
      <c r="A155" s="24"/>
      <c r="B155" s="22"/>
      <c r="C155" s="23"/>
      <c r="D155" s="21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22.5" customHeight="1">
      <c r="A156" s="24"/>
      <c r="B156" s="22"/>
      <c r="C156" s="23"/>
      <c r="D156" s="21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22.5" customHeight="1">
      <c r="A157" s="24"/>
      <c r="B157" s="22"/>
      <c r="C157" s="23"/>
      <c r="D157" s="21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22.5" customHeight="1">
      <c r="A158" s="24"/>
      <c r="B158" s="22"/>
      <c r="C158" s="23"/>
      <c r="D158" s="21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22.5" customHeight="1">
      <c r="A159" s="24"/>
      <c r="B159" s="22"/>
      <c r="C159" s="23"/>
      <c r="D159" s="21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22.5" customHeight="1">
      <c r="A160" s="24"/>
      <c r="B160" s="22"/>
      <c r="C160" s="23"/>
      <c r="D160" s="21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22.5" customHeight="1">
      <c r="A161" s="24"/>
      <c r="B161" s="22"/>
      <c r="C161" s="23"/>
      <c r="D161" s="21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22.5" customHeight="1">
      <c r="A162" s="24"/>
      <c r="B162" s="22"/>
      <c r="C162" s="23"/>
      <c r="D162" s="21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22.5" customHeight="1">
      <c r="A163" s="24"/>
      <c r="B163" s="22"/>
      <c r="C163" s="23"/>
      <c r="D163" s="21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22.5" customHeight="1">
      <c r="A164" s="24"/>
      <c r="B164" s="22"/>
      <c r="C164" s="23"/>
      <c r="D164" s="21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22.5" customHeight="1">
      <c r="A165" s="24"/>
      <c r="B165" s="22"/>
      <c r="C165" s="23"/>
      <c r="D165" s="21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22.5" customHeight="1">
      <c r="A166" s="24"/>
      <c r="B166" s="22"/>
      <c r="C166" s="23"/>
      <c r="D166" s="21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22.5" customHeight="1">
      <c r="A167" s="24"/>
      <c r="B167" s="22"/>
      <c r="C167" s="23"/>
      <c r="D167" s="21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22.5" customHeight="1">
      <c r="A168" s="24"/>
      <c r="B168" s="22"/>
      <c r="C168" s="23"/>
      <c r="D168" s="21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22.5" customHeight="1">
      <c r="A169" s="24"/>
      <c r="B169" s="22"/>
      <c r="C169" s="23"/>
      <c r="D169" s="21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22.5" customHeight="1">
      <c r="A170" s="24"/>
      <c r="B170" s="22"/>
      <c r="C170" s="23"/>
      <c r="D170" s="21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22.5" customHeight="1">
      <c r="A171" s="24"/>
      <c r="B171" s="22"/>
      <c r="C171" s="23"/>
      <c r="D171" s="21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22.5" customHeight="1">
      <c r="A172" s="24"/>
      <c r="B172" s="22"/>
      <c r="C172" s="23"/>
      <c r="D172" s="21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22.5" customHeight="1">
      <c r="A173" s="24"/>
      <c r="B173" s="22"/>
      <c r="C173" s="23"/>
      <c r="D173" s="21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22.5" customHeight="1">
      <c r="A174" s="24"/>
      <c r="B174" s="22"/>
      <c r="C174" s="23"/>
      <c r="D174" s="21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22.5" customHeight="1">
      <c r="A175" s="24"/>
      <c r="B175" s="22"/>
      <c r="C175" s="23"/>
      <c r="D175" s="21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22.5" customHeight="1">
      <c r="A176" s="24"/>
      <c r="B176" s="22"/>
      <c r="C176" s="23"/>
      <c r="D176" s="21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22.5" customHeight="1">
      <c r="A177" s="24"/>
      <c r="B177" s="22"/>
      <c r="C177" s="23"/>
      <c r="D177" s="21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22.5" customHeight="1">
      <c r="A178" s="24"/>
      <c r="B178" s="22"/>
      <c r="C178" s="23"/>
      <c r="D178" s="21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22.5" customHeight="1">
      <c r="A179" s="24"/>
      <c r="B179" s="22"/>
      <c r="C179" s="23"/>
      <c r="D179" s="21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22.5" customHeight="1">
      <c r="A180" s="24"/>
      <c r="B180" s="22"/>
      <c r="C180" s="23"/>
      <c r="D180" s="21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22.5" customHeight="1">
      <c r="A181" s="24"/>
      <c r="B181" s="22"/>
      <c r="C181" s="23"/>
      <c r="D181" s="21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22.5" customHeight="1">
      <c r="A182" s="24"/>
      <c r="B182" s="22"/>
      <c r="C182" s="23"/>
      <c r="D182" s="21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22.5" customHeight="1">
      <c r="A183" s="24"/>
      <c r="B183" s="22"/>
      <c r="C183" s="23"/>
      <c r="D183" s="21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22.5" customHeight="1">
      <c r="A184" s="24"/>
      <c r="B184" s="22"/>
      <c r="C184" s="23"/>
      <c r="D184" s="21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22.5" customHeight="1">
      <c r="A185" s="24"/>
      <c r="B185" s="22"/>
      <c r="C185" s="23"/>
      <c r="D185" s="21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22.5" customHeight="1">
      <c r="A186" s="24"/>
      <c r="B186" s="22"/>
      <c r="C186" s="23"/>
      <c r="D186" s="21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22.5" customHeight="1">
      <c r="A187" s="24"/>
      <c r="B187" s="22"/>
      <c r="C187" s="23"/>
      <c r="D187" s="21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22.5" customHeight="1">
      <c r="A188" s="24"/>
      <c r="B188" s="22"/>
      <c r="C188" s="23"/>
      <c r="D188" s="21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22.5" customHeight="1">
      <c r="A189" s="24"/>
      <c r="B189" s="22"/>
      <c r="C189" s="23"/>
      <c r="D189" s="21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22.5" customHeight="1">
      <c r="A190" s="24"/>
      <c r="B190" s="22"/>
      <c r="C190" s="23"/>
      <c r="D190" s="21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22.5" customHeight="1">
      <c r="A191" s="24"/>
      <c r="B191" s="22"/>
      <c r="C191" s="23"/>
      <c r="D191" s="21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22.5" customHeight="1">
      <c r="A192" s="24"/>
      <c r="B192" s="22"/>
      <c r="C192" s="23"/>
      <c r="D192" s="21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22.5" customHeight="1">
      <c r="A193" s="24"/>
      <c r="B193" s="22"/>
      <c r="C193" s="23"/>
      <c r="D193" s="21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22.5" customHeight="1">
      <c r="A194" s="24"/>
      <c r="B194" s="22"/>
      <c r="C194" s="23"/>
      <c r="D194" s="21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22.5" customHeight="1">
      <c r="A195" s="24"/>
      <c r="B195" s="22"/>
      <c r="C195" s="23"/>
      <c r="D195" s="21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22.5" customHeight="1">
      <c r="A196" s="24"/>
      <c r="B196" s="22"/>
      <c r="C196" s="23"/>
      <c r="D196" s="21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22.5" customHeight="1">
      <c r="A197" s="24"/>
      <c r="B197" s="22"/>
      <c r="C197" s="23"/>
      <c r="D197" s="21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22.5" customHeight="1">
      <c r="A198" s="24"/>
      <c r="B198" s="22"/>
      <c r="C198" s="23"/>
      <c r="D198" s="21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22.5" customHeight="1">
      <c r="A199" s="24"/>
      <c r="B199" s="22"/>
      <c r="C199" s="23"/>
      <c r="D199" s="21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22.5" customHeight="1">
      <c r="A200" s="24"/>
      <c r="B200" s="22"/>
      <c r="C200" s="23"/>
      <c r="D200" s="21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22.5" customHeight="1">
      <c r="A201" s="24"/>
      <c r="B201" s="22"/>
      <c r="C201" s="23"/>
      <c r="D201" s="21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22.5" customHeight="1">
      <c r="A202" s="24"/>
      <c r="B202" s="22"/>
      <c r="C202" s="23"/>
      <c r="D202" s="21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22.5" customHeight="1">
      <c r="A203" s="24"/>
      <c r="B203" s="22"/>
      <c r="C203" s="23"/>
      <c r="D203" s="21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22.5" customHeight="1">
      <c r="A204" s="24"/>
      <c r="B204" s="22"/>
      <c r="C204" s="23"/>
      <c r="D204" s="21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22.5" customHeight="1">
      <c r="A205" s="24"/>
      <c r="B205" s="22"/>
      <c r="C205" s="23"/>
      <c r="D205" s="21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22.5" customHeight="1">
      <c r="A206" s="24"/>
      <c r="B206" s="22"/>
      <c r="C206" s="23"/>
      <c r="D206" s="21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22.5" customHeight="1">
      <c r="A207" s="24"/>
      <c r="B207" s="22"/>
      <c r="C207" s="23"/>
      <c r="D207" s="21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22.5" customHeight="1">
      <c r="A208" s="24"/>
      <c r="B208" s="22"/>
      <c r="C208" s="23"/>
      <c r="D208" s="21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22.5" customHeight="1">
      <c r="A209" s="24"/>
      <c r="B209" s="22"/>
      <c r="C209" s="23"/>
      <c r="D209" s="21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22.5" customHeight="1">
      <c r="A210" s="24"/>
      <c r="B210" s="22"/>
      <c r="C210" s="23"/>
      <c r="D210" s="21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22.5" customHeight="1">
      <c r="A211" s="24"/>
      <c r="B211" s="22"/>
      <c r="C211" s="23"/>
      <c r="D211" s="21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22.5" customHeight="1">
      <c r="A212" s="24"/>
      <c r="B212" s="22"/>
      <c r="C212" s="23"/>
      <c r="D212" s="21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22.5" customHeight="1">
      <c r="A213" s="24"/>
      <c r="B213" s="22"/>
      <c r="C213" s="23"/>
      <c r="D213" s="21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22.5" customHeight="1">
      <c r="A214" s="24"/>
      <c r="B214" s="22"/>
      <c r="C214" s="23"/>
      <c r="D214" s="21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22.5" customHeight="1">
      <c r="A215" s="24"/>
      <c r="B215" s="22"/>
      <c r="C215" s="23"/>
      <c r="D215" s="21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22.5" customHeight="1">
      <c r="A216" s="24"/>
      <c r="B216" s="22"/>
      <c r="C216" s="23"/>
      <c r="D216" s="21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22.5" customHeight="1">
      <c r="A217" s="24"/>
      <c r="B217" s="22"/>
      <c r="C217" s="23"/>
      <c r="D217" s="21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22.5" customHeight="1">
      <c r="A218" s="24"/>
      <c r="B218" s="22"/>
      <c r="C218" s="23"/>
      <c r="D218" s="21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22.5" customHeight="1">
      <c r="A219" s="24"/>
      <c r="B219" s="22"/>
      <c r="C219" s="23"/>
      <c r="D219" s="21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22.5" customHeight="1">
      <c r="A220" s="24"/>
      <c r="B220" s="22"/>
      <c r="C220" s="23"/>
      <c r="D220" s="21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22.5" customHeight="1">
      <c r="A221" s="24"/>
      <c r="B221" s="22"/>
      <c r="C221" s="23"/>
      <c r="D221" s="21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22.5" customHeight="1">
      <c r="A222" s="24"/>
      <c r="B222" s="22"/>
      <c r="C222" s="23"/>
      <c r="D222" s="21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22.5" customHeight="1">
      <c r="A223" s="24"/>
      <c r="B223" s="22"/>
      <c r="C223" s="23"/>
      <c r="D223" s="21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22.5" customHeight="1">
      <c r="A224" s="24"/>
      <c r="B224" s="22"/>
      <c r="C224" s="23"/>
      <c r="D224" s="21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22.5" customHeight="1">
      <c r="A225" s="24"/>
      <c r="B225" s="22"/>
      <c r="C225" s="23"/>
      <c r="D225" s="21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22.5" customHeight="1">
      <c r="A226" s="24"/>
      <c r="B226" s="22"/>
      <c r="C226" s="23"/>
      <c r="D226" s="21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ht="22.5" customHeight="1">
      <c r="A227" s="24"/>
      <c r="B227" s="22"/>
      <c r="C227" s="23"/>
      <c r="D227" s="21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ht="22.5" customHeight="1">
      <c r="A228" s="24"/>
      <c r="B228" s="22"/>
      <c r="C228" s="23"/>
      <c r="D228" s="21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ht="22.5" customHeight="1">
      <c r="A229" s="24"/>
      <c r="B229" s="22"/>
      <c r="C229" s="23"/>
      <c r="D229" s="21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ht="22.5" customHeight="1">
      <c r="A230" s="24"/>
      <c r="B230" s="22"/>
      <c r="C230" s="23"/>
      <c r="D230" s="21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ht="22.5" customHeight="1">
      <c r="A231" s="24"/>
      <c r="B231" s="22"/>
      <c r="C231" s="23"/>
      <c r="D231" s="21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ht="22.5" customHeight="1">
      <c r="A232" s="24"/>
      <c r="B232" s="22"/>
      <c r="C232" s="23"/>
      <c r="D232" s="21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ht="22.5" customHeight="1">
      <c r="A233" s="24"/>
      <c r="B233" s="22"/>
      <c r="C233" s="23"/>
      <c r="D233" s="21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ht="22.5" customHeight="1">
      <c r="A234" s="24"/>
      <c r="B234" s="22"/>
      <c r="C234" s="23"/>
      <c r="D234" s="21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ht="22.5" customHeight="1">
      <c r="A235" s="24"/>
      <c r="B235" s="22"/>
      <c r="C235" s="23"/>
      <c r="D235" s="21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ht="22.5" customHeight="1">
      <c r="A236" s="24"/>
      <c r="B236" s="22"/>
      <c r="C236" s="23"/>
      <c r="D236" s="21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ht="22.5" customHeight="1">
      <c r="A237" s="24"/>
      <c r="B237" s="22"/>
      <c r="C237" s="23"/>
      <c r="D237" s="21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ht="22.5" customHeight="1">
      <c r="A238" s="24"/>
      <c r="B238" s="22"/>
      <c r="C238" s="23"/>
      <c r="D238" s="21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ht="22.5" customHeight="1">
      <c r="A239" s="24"/>
      <c r="B239" s="22"/>
      <c r="C239" s="23"/>
      <c r="D239" s="21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ht="22.5" customHeight="1">
      <c r="A240" s="24"/>
      <c r="B240" s="22"/>
      <c r="C240" s="23"/>
      <c r="D240" s="21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ht="22.5" customHeight="1">
      <c r="A241" s="24"/>
      <c r="B241" s="22"/>
      <c r="C241" s="23"/>
      <c r="D241" s="21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ht="22.5" customHeight="1">
      <c r="A242" s="24"/>
      <c r="B242" s="22"/>
      <c r="C242" s="23"/>
      <c r="D242" s="21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ht="22.5" customHeight="1">
      <c r="A243" s="24"/>
      <c r="B243" s="22"/>
      <c r="C243" s="23"/>
      <c r="D243" s="21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ht="22.5" customHeight="1">
      <c r="A244" s="24"/>
      <c r="B244" s="22"/>
      <c r="C244" s="23"/>
      <c r="D244" s="21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ht="22.5" customHeight="1">
      <c r="A245" s="24"/>
      <c r="B245" s="22"/>
      <c r="C245" s="23"/>
      <c r="D245" s="21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ht="22.5" customHeight="1">
      <c r="A246" s="24"/>
      <c r="B246" s="22"/>
      <c r="C246" s="23"/>
      <c r="D246" s="21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ht="22.5" customHeight="1">
      <c r="A247" s="24"/>
      <c r="B247" s="22"/>
      <c r="C247" s="23"/>
      <c r="D247" s="21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ht="22.5" customHeight="1">
      <c r="A248" s="24"/>
      <c r="B248" s="22"/>
      <c r="C248" s="23"/>
      <c r="D248" s="21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ht="22.5" customHeight="1">
      <c r="A249" s="24"/>
      <c r="B249" s="22"/>
      <c r="C249" s="23"/>
      <c r="D249" s="21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ht="22.5" customHeight="1">
      <c r="A250" s="24"/>
      <c r="B250" s="22"/>
      <c r="C250" s="23"/>
      <c r="D250" s="21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ht="22.5" customHeight="1">
      <c r="A251" s="24"/>
      <c r="B251" s="22"/>
      <c r="C251" s="23"/>
      <c r="D251" s="21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ht="22.5" customHeight="1">
      <c r="A252" s="24"/>
      <c r="B252" s="22"/>
      <c r="C252" s="23"/>
      <c r="D252" s="21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ht="22.5" customHeight="1">
      <c r="A253" s="24"/>
      <c r="B253" s="22"/>
      <c r="C253" s="23"/>
      <c r="D253" s="21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ht="22.5" customHeight="1">
      <c r="A254" s="24"/>
      <c r="B254" s="22"/>
      <c r="C254" s="23"/>
      <c r="D254" s="21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ht="22.5" customHeight="1">
      <c r="A255" s="24"/>
      <c r="B255" s="22"/>
      <c r="C255" s="23"/>
      <c r="D255" s="21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ht="22.5" customHeight="1">
      <c r="A256" s="24"/>
      <c r="B256" s="22"/>
      <c r="C256" s="23"/>
      <c r="D256" s="21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ht="22.5" customHeight="1">
      <c r="A257" s="24"/>
      <c r="B257" s="22"/>
      <c r="C257" s="23"/>
      <c r="D257" s="21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ht="22.5" customHeight="1">
      <c r="A258" s="24"/>
      <c r="B258" s="22"/>
      <c r="C258" s="23"/>
      <c r="D258" s="21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ht="22.5" customHeight="1">
      <c r="A259" s="24"/>
      <c r="B259" s="22"/>
      <c r="C259" s="23"/>
      <c r="D259" s="21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ht="22.5" customHeight="1">
      <c r="A260" s="24"/>
      <c r="B260" s="22"/>
      <c r="C260" s="23"/>
      <c r="D260" s="21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ht="22.5" customHeight="1">
      <c r="A261" s="24"/>
      <c r="B261" s="22"/>
      <c r="C261" s="23"/>
      <c r="D261" s="21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ht="22.5" customHeight="1">
      <c r="A262" s="24"/>
      <c r="B262" s="22"/>
      <c r="C262" s="23"/>
      <c r="D262" s="21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ht="22.5" customHeight="1">
      <c r="A263" s="24"/>
      <c r="B263" s="22"/>
      <c r="C263" s="23"/>
      <c r="D263" s="21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ht="22.5" customHeight="1">
      <c r="A264" s="24"/>
      <c r="B264" s="22"/>
      <c r="C264" s="23"/>
      <c r="D264" s="21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ht="22.5" customHeight="1">
      <c r="A265" s="24"/>
      <c r="B265" s="22"/>
      <c r="C265" s="23"/>
      <c r="D265" s="21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ht="22.5" customHeight="1">
      <c r="A266" s="24"/>
      <c r="B266" s="22"/>
      <c r="C266" s="23"/>
      <c r="D266" s="21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ht="22.5" customHeight="1">
      <c r="A267" s="24"/>
      <c r="B267" s="22"/>
      <c r="C267" s="23"/>
      <c r="D267" s="21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ht="22.5" customHeight="1">
      <c r="A268" s="24"/>
      <c r="B268" s="22"/>
      <c r="C268" s="23"/>
      <c r="D268" s="21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ht="22.5" customHeight="1">
      <c r="A269" s="24"/>
      <c r="B269" s="22"/>
      <c r="C269" s="23"/>
      <c r="D269" s="21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ht="22.5" customHeight="1">
      <c r="A270" s="24"/>
      <c r="B270" s="22"/>
      <c r="C270" s="23"/>
      <c r="D270" s="21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ht="22.5" customHeight="1">
      <c r="A271" s="24"/>
      <c r="B271" s="22"/>
      <c r="C271" s="23"/>
      <c r="D271" s="21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ht="22.5" customHeight="1">
      <c r="A272" s="24"/>
      <c r="B272" s="22"/>
      <c r="C272" s="23"/>
      <c r="D272" s="21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ht="22.5" customHeight="1">
      <c r="A273" s="24"/>
      <c r="B273" s="22"/>
      <c r="C273" s="23"/>
      <c r="D273" s="21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ht="22.5" customHeight="1">
      <c r="A274" s="24"/>
      <c r="B274" s="22"/>
      <c r="C274" s="23"/>
      <c r="D274" s="21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ht="22.5" customHeight="1">
      <c r="A275" s="24"/>
      <c r="B275" s="22"/>
      <c r="C275" s="23"/>
      <c r="D275" s="21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ht="22.5" customHeight="1">
      <c r="A276" s="24"/>
      <c r="B276" s="22"/>
      <c r="C276" s="23"/>
      <c r="D276" s="21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ht="22.5" customHeight="1">
      <c r="A277" s="24"/>
      <c r="B277" s="22"/>
      <c r="C277" s="23"/>
      <c r="D277" s="21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ht="22.5" customHeight="1">
      <c r="A278" s="24"/>
      <c r="B278" s="22"/>
      <c r="C278" s="23"/>
      <c r="D278" s="21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ht="22.5" customHeight="1">
      <c r="A279" s="24"/>
      <c r="B279" s="22"/>
      <c r="C279" s="23"/>
      <c r="D279" s="21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ht="22.5" customHeight="1">
      <c r="A280" s="24"/>
      <c r="B280" s="22"/>
      <c r="C280" s="23"/>
      <c r="D280" s="21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ht="22.5" customHeight="1">
      <c r="A281" s="24"/>
      <c r="B281" s="22"/>
      <c r="C281" s="23"/>
      <c r="D281" s="21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ht="22.5" customHeight="1">
      <c r="A282" s="24"/>
      <c r="B282" s="22"/>
      <c r="C282" s="23"/>
      <c r="D282" s="21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ht="22.5" customHeight="1">
      <c r="A283" s="24"/>
      <c r="B283" s="22"/>
      <c r="C283" s="23"/>
      <c r="D283" s="21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ht="22.5" customHeight="1">
      <c r="A284" s="24"/>
      <c r="B284" s="22"/>
      <c r="C284" s="23"/>
      <c r="D284" s="21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ht="22.5" customHeight="1">
      <c r="A285" s="24"/>
      <c r="B285" s="22"/>
      <c r="C285" s="23"/>
      <c r="D285" s="21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ht="22.5" customHeight="1">
      <c r="A286" s="24"/>
      <c r="B286" s="22"/>
      <c r="C286" s="23"/>
      <c r="D286" s="21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ht="22.5" customHeight="1">
      <c r="A287" s="24"/>
      <c r="B287" s="22"/>
      <c r="C287" s="23"/>
      <c r="D287" s="21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ht="22.5" customHeight="1">
      <c r="A288" s="24"/>
      <c r="B288" s="22"/>
      <c r="C288" s="23"/>
      <c r="D288" s="21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ht="22.5" customHeight="1">
      <c r="A289" s="24"/>
      <c r="B289" s="22"/>
      <c r="C289" s="23"/>
      <c r="D289" s="21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ht="22.5" customHeight="1">
      <c r="A290" s="24"/>
      <c r="B290" s="22"/>
      <c r="C290" s="23"/>
      <c r="D290" s="21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ht="22.5" customHeight="1">
      <c r="A291" s="24"/>
      <c r="B291" s="22"/>
      <c r="C291" s="23"/>
      <c r="D291" s="21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ht="22.5" customHeight="1">
      <c r="A292" s="24"/>
      <c r="B292" s="22"/>
      <c r="C292" s="23"/>
      <c r="D292" s="21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ht="22.5" customHeight="1">
      <c r="A293" s="24"/>
      <c r="B293" s="22"/>
      <c r="C293" s="23"/>
      <c r="D293" s="21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ht="22.5" customHeight="1">
      <c r="A294" s="24"/>
      <c r="B294" s="22"/>
      <c r="C294" s="23"/>
      <c r="D294" s="21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ht="22.5" customHeight="1">
      <c r="A295" s="24"/>
      <c r="B295" s="22"/>
      <c r="C295" s="23"/>
      <c r="D295" s="21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ht="22.5" customHeight="1">
      <c r="A296" s="24"/>
      <c r="B296" s="22"/>
      <c r="C296" s="23"/>
      <c r="D296" s="21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ht="22.5" customHeight="1">
      <c r="A297" s="24"/>
      <c r="B297" s="22"/>
      <c r="C297" s="23"/>
      <c r="D297" s="21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ht="22.5" customHeight="1">
      <c r="A298" s="24"/>
      <c r="B298" s="22"/>
      <c r="C298" s="23"/>
      <c r="D298" s="21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ht="22.5" customHeight="1">
      <c r="A299" s="24"/>
      <c r="B299" s="22"/>
      <c r="C299" s="23"/>
      <c r="D299" s="21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ht="22.5" customHeight="1">
      <c r="A300" s="24"/>
      <c r="B300" s="22"/>
      <c r="C300" s="23"/>
      <c r="D300" s="21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ht="22.5" customHeight="1">
      <c r="A301" s="24"/>
      <c r="B301" s="22"/>
      <c r="C301" s="23"/>
      <c r="D301" s="21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ht="22.5" customHeight="1">
      <c r="A302" s="24"/>
      <c r="B302" s="22"/>
      <c r="C302" s="23"/>
      <c r="D302" s="21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ht="22.5" customHeight="1">
      <c r="A303" s="24"/>
      <c r="B303" s="22"/>
      <c r="C303" s="23"/>
      <c r="D303" s="21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ht="22.5" customHeight="1">
      <c r="A304" s="24"/>
      <c r="B304" s="22"/>
      <c r="C304" s="23"/>
      <c r="D304" s="21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ht="22.5" customHeight="1">
      <c r="A305" s="24"/>
      <c r="B305" s="22"/>
      <c r="C305" s="23"/>
      <c r="D305" s="21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ht="22.5" customHeight="1">
      <c r="A306" s="24"/>
      <c r="B306" s="22"/>
      <c r="C306" s="23"/>
      <c r="D306" s="21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ht="22.5" customHeight="1">
      <c r="A307" s="24"/>
      <c r="B307" s="22"/>
      <c r="C307" s="23"/>
      <c r="D307" s="21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ht="22.5" customHeight="1">
      <c r="A308" s="24"/>
      <c r="B308" s="22"/>
      <c r="C308" s="23"/>
      <c r="D308" s="21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ht="22.5" customHeight="1">
      <c r="A309" s="24"/>
      <c r="B309" s="22"/>
      <c r="C309" s="23"/>
      <c r="D309" s="21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ht="22.5" customHeight="1">
      <c r="A310" s="24"/>
      <c r="B310" s="22"/>
      <c r="C310" s="23"/>
      <c r="D310" s="21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ht="22.5" customHeight="1">
      <c r="A311" s="24"/>
      <c r="B311" s="22"/>
      <c r="C311" s="23"/>
      <c r="D311" s="21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ht="22.5" customHeight="1">
      <c r="A312" s="24"/>
      <c r="B312" s="22"/>
      <c r="C312" s="23"/>
      <c r="D312" s="21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ht="22.5" customHeight="1">
      <c r="A313" s="24"/>
      <c r="B313" s="22"/>
      <c r="C313" s="23"/>
      <c r="D313" s="21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ht="22.5" customHeight="1">
      <c r="A314" s="24"/>
      <c r="B314" s="22"/>
      <c r="C314" s="23"/>
      <c r="D314" s="21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ht="22.5" customHeight="1">
      <c r="A315" s="24"/>
      <c r="B315" s="22"/>
      <c r="C315" s="23"/>
      <c r="D315" s="21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ht="22.5" customHeight="1">
      <c r="A316" s="24"/>
      <c r="B316" s="22"/>
      <c r="C316" s="23"/>
      <c r="D316" s="21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ht="22.5" customHeight="1">
      <c r="A317" s="24"/>
      <c r="B317" s="22"/>
      <c r="C317" s="23"/>
      <c r="D317" s="21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ht="22.5" customHeight="1">
      <c r="A318" s="24"/>
      <c r="B318" s="22"/>
      <c r="C318" s="23"/>
      <c r="D318" s="21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ht="22.5" customHeight="1">
      <c r="A319" s="24"/>
      <c r="B319" s="22"/>
      <c r="C319" s="23"/>
      <c r="D319" s="21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ht="22.5" customHeight="1">
      <c r="A320" s="24"/>
      <c r="B320" s="22"/>
      <c r="C320" s="23"/>
      <c r="D320" s="21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ht="22.5" customHeight="1">
      <c r="A321" s="24"/>
      <c r="B321" s="22"/>
      <c r="C321" s="23"/>
      <c r="D321" s="21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ht="22.5" customHeight="1">
      <c r="A322" s="24"/>
      <c r="B322" s="22"/>
      <c r="C322" s="23"/>
      <c r="D322" s="21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ht="22.5" customHeight="1">
      <c r="A323" s="24"/>
      <c r="B323" s="22"/>
      <c r="C323" s="23"/>
      <c r="D323" s="21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ht="22.5" customHeight="1">
      <c r="A324" s="24"/>
      <c r="B324" s="22"/>
      <c r="C324" s="23"/>
      <c r="D324" s="21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ht="22.5" customHeight="1">
      <c r="A325" s="24"/>
      <c r="B325" s="22"/>
      <c r="C325" s="23"/>
      <c r="D325" s="21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ht="22.5" customHeight="1">
      <c r="A326" s="24"/>
      <c r="B326" s="22"/>
      <c r="C326" s="23"/>
      <c r="D326" s="21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ht="22.5" customHeight="1">
      <c r="A327" s="24"/>
      <c r="B327" s="22"/>
      <c r="C327" s="23"/>
      <c r="D327" s="21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ht="22.5" customHeight="1">
      <c r="A328" s="24"/>
      <c r="B328" s="22"/>
      <c r="C328" s="23"/>
      <c r="D328" s="21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ht="22.5" customHeight="1">
      <c r="A329" s="24"/>
      <c r="B329" s="22"/>
      <c r="C329" s="23"/>
      <c r="D329" s="21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ht="22.5" customHeight="1">
      <c r="A330" s="24"/>
      <c r="B330" s="22"/>
      <c r="C330" s="23"/>
      <c r="D330" s="21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ht="22.5" customHeight="1">
      <c r="A331" s="24"/>
      <c r="B331" s="22"/>
      <c r="C331" s="23"/>
      <c r="D331" s="21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ht="22.5" customHeight="1">
      <c r="A332" s="24"/>
      <c r="B332" s="22"/>
      <c r="C332" s="23"/>
      <c r="D332" s="21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ht="22.5" customHeight="1">
      <c r="A333" s="24"/>
      <c r="B333" s="22"/>
      <c r="C333" s="23"/>
      <c r="D333" s="21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ht="22.5" customHeight="1">
      <c r="A334" s="24"/>
      <c r="B334" s="22"/>
      <c r="C334" s="23"/>
      <c r="D334" s="21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ht="22.5" customHeight="1">
      <c r="A335" s="24"/>
      <c r="B335" s="22"/>
      <c r="C335" s="23"/>
      <c r="D335" s="21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ht="22.5" customHeight="1">
      <c r="A336" s="24"/>
      <c r="B336" s="22"/>
      <c r="C336" s="23"/>
      <c r="D336" s="21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ht="22.5" customHeight="1">
      <c r="A337" s="24"/>
      <c r="B337" s="22"/>
      <c r="C337" s="23"/>
      <c r="D337" s="21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ht="22.5" customHeight="1">
      <c r="A338" s="24"/>
      <c r="B338" s="22"/>
      <c r="C338" s="23"/>
      <c r="D338" s="21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ht="22.5" customHeight="1">
      <c r="A339" s="24"/>
      <c r="B339" s="22"/>
      <c r="C339" s="23"/>
      <c r="D339" s="21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ht="22.5" customHeight="1">
      <c r="A340" s="24"/>
      <c r="B340" s="22"/>
      <c r="C340" s="23"/>
      <c r="D340" s="21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ht="22.5" customHeight="1">
      <c r="A341" s="24"/>
      <c r="B341" s="22"/>
      <c r="C341" s="23"/>
      <c r="D341" s="21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ht="22.5" customHeight="1">
      <c r="A342" s="24"/>
      <c r="B342" s="22"/>
      <c r="C342" s="23"/>
      <c r="D342" s="21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ht="22.5" customHeight="1">
      <c r="A343" s="24"/>
      <c r="B343" s="22"/>
      <c r="C343" s="23"/>
      <c r="D343" s="21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ht="22.5" customHeight="1">
      <c r="A344" s="24"/>
      <c r="B344" s="22"/>
      <c r="C344" s="23"/>
      <c r="D344" s="21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ht="22.5" customHeight="1">
      <c r="A345" s="24"/>
      <c r="B345" s="22"/>
      <c r="C345" s="23"/>
      <c r="D345" s="21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ht="22.5" customHeight="1">
      <c r="A346" s="24"/>
      <c r="B346" s="22"/>
      <c r="C346" s="23"/>
      <c r="D346" s="21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ht="22.5" customHeight="1">
      <c r="A347" s="24"/>
      <c r="B347" s="22"/>
      <c r="C347" s="23"/>
      <c r="D347" s="21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ht="22.5" customHeight="1">
      <c r="A348" s="24"/>
      <c r="B348" s="22"/>
      <c r="C348" s="23"/>
      <c r="D348" s="21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ht="22.5" customHeight="1">
      <c r="A349" s="24"/>
      <c r="B349" s="22"/>
      <c r="C349" s="23"/>
      <c r="D349" s="21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ht="22.5" customHeight="1">
      <c r="A350" s="24"/>
      <c r="B350" s="22"/>
      <c r="C350" s="23"/>
      <c r="D350" s="21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ht="22.5" customHeight="1">
      <c r="A351" s="24"/>
      <c r="B351" s="22"/>
      <c r="C351" s="23"/>
      <c r="D351" s="21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ht="22.5" customHeight="1">
      <c r="A352" s="24"/>
      <c r="B352" s="22"/>
      <c r="C352" s="23"/>
      <c r="D352" s="21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ht="22.5" customHeight="1">
      <c r="A353" s="24"/>
      <c r="B353" s="22"/>
      <c r="C353" s="23"/>
      <c r="D353" s="21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ht="22.5" customHeight="1">
      <c r="A354" s="24"/>
      <c r="B354" s="22"/>
      <c r="C354" s="23"/>
      <c r="D354" s="21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ht="22.5" customHeight="1">
      <c r="A355" s="24"/>
      <c r="B355" s="22"/>
      <c r="C355" s="23"/>
      <c r="D355" s="21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ht="22.5" customHeight="1">
      <c r="A356" s="24"/>
      <c r="B356" s="22"/>
      <c r="C356" s="23"/>
      <c r="D356" s="21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ht="22.5" customHeight="1">
      <c r="A357" s="24"/>
      <c r="B357" s="22"/>
      <c r="C357" s="23"/>
      <c r="D357" s="21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ht="22.5" customHeight="1">
      <c r="A358" s="24"/>
      <c r="B358" s="22"/>
      <c r="C358" s="23"/>
      <c r="D358" s="21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ht="22.5" customHeight="1">
      <c r="A359" s="24"/>
      <c r="B359" s="22"/>
      <c r="C359" s="23"/>
      <c r="D359" s="21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ht="22.5" customHeight="1">
      <c r="A360" s="24"/>
      <c r="B360" s="22"/>
      <c r="C360" s="23"/>
      <c r="D360" s="21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ht="22.5" customHeight="1">
      <c r="A361" s="24"/>
      <c r="B361" s="22"/>
      <c r="C361" s="23"/>
      <c r="D361" s="21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ht="22.5" customHeight="1">
      <c r="A362" s="24"/>
      <c r="B362" s="22"/>
      <c r="C362" s="23"/>
      <c r="D362" s="21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ht="22.5" customHeight="1">
      <c r="A363" s="24"/>
      <c r="B363" s="22"/>
      <c r="C363" s="23"/>
      <c r="D363" s="21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ht="22.5" customHeight="1">
      <c r="A364" s="24"/>
      <c r="B364" s="22"/>
      <c r="C364" s="23"/>
      <c r="D364" s="21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ht="22.5" customHeight="1">
      <c r="A365" s="24"/>
      <c r="B365" s="22"/>
      <c r="C365" s="23"/>
      <c r="D365" s="21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ht="22.5" customHeight="1">
      <c r="A366" s="24"/>
      <c r="B366" s="22"/>
      <c r="C366" s="23"/>
      <c r="D366" s="21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ht="22.5" customHeight="1">
      <c r="A367" s="24"/>
      <c r="B367" s="22"/>
      <c r="C367" s="23"/>
      <c r="D367" s="21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ht="22.5" customHeight="1">
      <c r="A368" s="24"/>
      <c r="B368" s="22"/>
      <c r="C368" s="23"/>
      <c r="D368" s="21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ht="22.5" customHeight="1">
      <c r="A369" s="24"/>
      <c r="B369" s="22"/>
      <c r="C369" s="23"/>
      <c r="D369" s="21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ht="22.5" customHeight="1">
      <c r="A370" s="24"/>
      <c r="B370" s="22"/>
      <c r="C370" s="23"/>
      <c r="D370" s="21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ht="22.5" customHeight="1">
      <c r="A371" s="24"/>
      <c r="B371" s="22"/>
      <c r="C371" s="23"/>
      <c r="D371" s="21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ht="22.5" customHeight="1">
      <c r="A372" s="24"/>
      <c r="B372" s="22"/>
      <c r="C372" s="23"/>
      <c r="D372" s="21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ht="22.5" customHeight="1">
      <c r="A373" s="24"/>
      <c r="B373" s="22"/>
      <c r="C373" s="23"/>
      <c r="D373" s="21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ht="22.5" customHeight="1">
      <c r="A374" s="24"/>
      <c r="B374" s="22"/>
      <c r="C374" s="23"/>
      <c r="D374" s="21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ht="22.5" customHeight="1">
      <c r="A375" s="24"/>
      <c r="B375" s="22"/>
      <c r="C375" s="23"/>
      <c r="D375" s="21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ht="22.5" customHeight="1">
      <c r="A376" s="24"/>
      <c r="B376" s="22"/>
      <c r="C376" s="23"/>
      <c r="D376" s="21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ht="22.5" customHeight="1">
      <c r="A377" s="24"/>
      <c r="B377" s="22"/>
      <c r="C377" s="23"/>
      <c r="D377" s="21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ht="22.5" customHeight="1">
      <c r="A378" s="24"/>
      <c r="B378" s="22"/>
      <c r="C378" s="23"/>
      <c r="D378" s="21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ht="22.5" customHeight="1">
      <c r="A379" s="24"/>
      <c r="B379" s="22"/>
      <c r="C379" s="23"/>
      <c r="D379" s="21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ht="22.5" customHeight="1">
      <c r="A380" s="24"/>
      <c r="B380" s="22"/>
      <c r="C380" s="23"/>
      <c r="D380" s="21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ht="22.5" customHeight="1">
      <c r="A381" s="24"/>
      <c r="B381" s="22"/>
      <c r="C381" s="23"/>
      <c r="D381" s="21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ht="22.5" customHeight="1">
      <c r="A382" s="24"/>
      <c r="B382" s="22"/>
      <c r="C382" s="23"/>
      <c r="D382" s="21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ht="22.5" customHeight="1">
      <c r="A383" s="24"/>
      <c r="B383" s="22"/>
      <c r="C383" s="23"/>
      <c r="D383" s="21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ht="22.5" customHeight="1">
      <c r="A384" s="24"/>
      <c r="B384" s="22"/>
      <c r="C384" s="23"/>
      <c r="D384" s="21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ht="22.5" customHeight="1">
      <c r="A385" s="24"/>
      <c r="B385" s="22"/>
      <c r="C385" s="23"/>
      <c r="D385" s="21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ht="22.5" customHeight="1">
      <c r="A386" s="24"/>
      <c r="B386" s="22"/>
      <c r="C386" s="23"/>
      <c r="D386" s="21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ht="22.5" customHeight="1">
      <c r="A387" s="24"/>
      <c r="B387" s="22"/>
      <c r="C387" s="23"/>
      <c r="D387" s="21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ht="22.5" customHeight="1">
      <c r="A388" s="24"/>
      <c r="B388" s="22"/>
      <c r="C388" s="23"/>
      <c r="D388" s="21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ht="22.5" customHeight="1">
      <c r="A389" s="24"/>
      <c r="B389" s="22"/>
      <c r="C389" s="23"/>
      <c r="D389" s="21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ht="22.5" customHeight="1">
      <c r="A390" s="24"/>
      <c r="B390" s="22"/>
      <c r="C390" s="23"/>
      <c r="D390" s="21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ht="22.5" customHeight="1">
      <c r="A391" s="24"/>
      <c r="B391" s="22"/>
      <c r="C391" s="23"/>
      <c r="D391" s="21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ht="22.5" customHeight="1">
      <c r="A392" s="24"/>
      <c r="B392" s="22"/>
      <c r="C392" s="23"/>
      <c r="D392" s="21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ht="22.5" customHeight="1">
      <c r="A393" s="24"/>
      <c r="B393" s="22"/>
      <c r="C393" s="23"/>
      <c r="D393" s="21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ht="22.5" customHeight="1">
      <c r="A394" s="24"/>
      <c r="B394" s="22"/>
      <c r="C394" s="23"/>
      <c r="D394" s="21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ht="22.5" customHeight="1">
      <c r="A395" s="24"/>
      <c r="B395" s="22"/>
      <c r="C395" s="23"/>
      <c r="D395" s="21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ht="22.5" customHeight="1">
      <c r="A396" s="24"/>
      <c r="B396" s="22"/>
      <c r="C396" s="23"/>
      <c r="D396" s="21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ht="22.5" customHeight="1">
      <c r="A397" s="24"/>
      <c r="B397" s="22"/>
      <c r="C397" s="23"/>
      <c r="D397" s="21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ht="22.5" customHeight="1">
      <c r="A398" s="24"/>
      <c r="B398" s="22"/>
      <c r="C398" s="23"/>
      <c r="D398" s="21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ht="22.5" customHeight="1">
      <c r="A399" s="24"/>
      <c r="B399" s="22"/>
      <c r="C399" s="23"/>
      <c r="D399" s="21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ht="22.5" customHeight="1">
      <c r="A400" s="24"/>
      <c r="B400" s="22"/>
      <c r="C400" s="23"/>
      <c r="D400" s="21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ht="22.5" customHeight="1">
      <c r="A401" s="24"/>
      <c r="B401" s="22"/>
      <c r="C401" s="23"/>
      <c r="D401" s="21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ht="22.5" customHeight="1">
      <c r="A402" s="24"/>
      <c r="B402" s="22"/>
      <c r="C402" s="23"/>
      <c r="D402" s="21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ht="22.5" customHeight="1">
      <c r="A403" s="24"/>
      <c r="B403" s="22"/>
      <c r="C403" s="23"/>
      <c r="D403" s="21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ht="22.5" customHeight="1">
      <c r="A404" s="24"/>
      <c r="B404" s="22"/>
      <c r="C404" s="23"/>
      <c r="D404" s="21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ht="22.5" customHeight="1">
      <c r="A405" s="24"/>
      <c r="B405" s="22"/>
      <c r="C405" s="23"/>
      <c r="D405" s="21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ht="22.5" customHeight="1">
      <c r="A406" s="24"/>
      <c r="B406" s="22"/>
      <c r="C406" s="23"/>
      <c r="D406" s="21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ht="22.5" customHeight="1">
      <c r="A407" s="24"/>
      <c r="B407" s="22"/>
      <c r="C407" s="23"/>
      <c r="D407" s="21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ht="22.5" customHeight="1">
      <c r="A408" s="24"/>
      <c r="B408" s="22"/>
      <c r="C408" s="23"/>
      <c r="D408" s="21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ht="22.5" customHeight="1">
      <c r="A409" s="24"/>
      <c r="B409" s="22"/>
      <c r="C409" s="23"/>
      <c r="D409" s="21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ht="22.5" customHeight="1">
      <c r="A410" s="24"/>
      <c r="B410" s="22"/>
      <c r="C410" s="23"/>
      <c r="D410" s="21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ht="22.5" customHeight="1">
      <c r="A411" s="24"/>
      <c r="B411" s="22"/>
      <c r="C411" s="23"/>
      <c r="D411" s="21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ht="22.5" customHeight="1">
      <c r="A412" s="24"/>
      <c r="B412" s="22"/>
      <c r="C412" s="23"/>
      <c r="D412" s="21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ht="22.5" customHeight="1">
      <c r="A413" s="24"/>
      <c r="B413" s="22"/>
      <c r="C413" s="23"/>
      <c r="D413" s="21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ht="22.5" customHeight="1">
      <c r="A414" s="24"/>
      <c r="B414" s="22"/>
      <c r="C414" s="23"/>
      <c r="D414" s="21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ht="22.5" customHeight="1">
      <c r="A415" s="24"/>
      <c r="B415" s="22"/>
      <c r="C415" s="23"/>
      <c r="D415" s="21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ht="22.5" customHeight="1">
      <c r="A416" s="24"/>
      <c r="B416" s="22"/>
      <c r="C416" s="23"/>
      <c r="D416" s="21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ht="22.5" customHeight="1">
      <c r="A417" s="24"/>
      <c r="B417" s="22"/>
      <c r="C417" s="23"/>
      <c r="D417" s="21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ht="22.5" customHeight="1">
      <c r="A418" s="24"/>
      <c r="B418" s="22"/>
      <c r="C418" s="23"/>
      <c r="D418" s="21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ht="22.5" customHeight="1">
      <c r="A419" s="24"/>
      <c r="B419" s="22"/>
      <c r="C419" s="23"/>
      <c r="D419" s="21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ht="22.5" customHeight="1">
      <c r="A420" s="24"/>
      <c r="B420" s="22"/>
      <c r="C420" s="23"/>
      <c r="D420" s="21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ht="22.5" customHeight="1">
      <c r="A421" s="24"/>
      <c r="B421" s="22"/>
      <c r="C421" s="23"/>
      <c r="D421" s="21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ht="22.5" customHeight="1">
      <c r="A422" s="24"/>
      <c r="B422" s="22"/>
      <c r="C422" s="23"/>
      <c r="D422" s="21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ht="22.5" customHeight="1">
      <c r="A423" s="24"/>
      <c r="B423" s="22"/>
      <c r="C423" s="23"/>
      <c r="D423" s="21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ht="22.5" customHeight="1">
      <c r="A424" s="24"/>
      <c r="B424" s="22"/>
      <c r="C424" s="23"/>
      <c r="D424" s="21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ht="22.5" customHeight="1">
      <c r="A425" s="24"/>
      <c r="B425" s="22"/>
      <c r="C425" s="23"/>
      <c r="D425" s="21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ht="22.5" customHeight="1">
      <c r="A426" s="24"/>
      <c r="B426" s="22"/>
      <c r="C426" s="23"/>
      <c r="D426" s="21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ht="22.5" customHeight="1">
      <c r="A427" s="24"/>
      <c r="B427" s="22"/>
      <c r="C427" s="23"/>
      <c r="D427" s="21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ht="22.5" customHeight="1">
      <c r="A428" s="24"/>
      <c r="B428" s="22"/>
      <c r="C428" s="23"/>
      <c r="D428" s="21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ht="22.5" customHeight="1">
      <c r="A429" s="24"/>
      <c r="B429" s="22"/>
      <c r="C429" s="23"/>
      <c r="D429" s="21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ht="22.5" customHeight="1">
      <c r="A430" s="24"/>
      <c r="B430" s="22"/>
      <c r="C430" s="23"/>
      <c r="D430" s="21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ht="22.5" customHeight="1">
      <c r="A431" s="24"/>
      <c r="B431" s="22"/>
      <c r="C431" s="23"/>
      <c r="D431" s="21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ht="22.5" customHeight="1">
      <c r="A432" s="24"/>
      <c r="B432" s="22"/>
      <c r="C432" s="23"/>
      <c r="D432" s="21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ht="22.5" customHeight="1">
      <c r="A433" s="24"/>
      <c r="B433" s="22"/>
      <c r="C433" s="23"/>
      <c r="D433" s="21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ht="22.5" customHeight="1">
      <c r="A434" s="24"/>
      <c r="B434" s="22"/>
      <c r="C434" s="23"/>
      <c r="D434" s="21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ht="22.5" customHeight="1">
      <c r="A435" s="24"/>
      <c r="B435" s="22"/>
      <c r="C435" s="23"/>
      <c r="D435" s="21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ht="22.5" customHeight="1">
      <c r="A436" s="24"/>
      <c r="B436" s="22"/>
      <c r="C436" s="23"/>
      <c r="D436" s="21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ht="22.5" customHeight="1">
      <c r="A437" s="24"/>
      <c r="B437" s="22"/>
      <c r="C437" s="23"/>
      <c r="D437" s="21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ht="22.5" customHeight="1">
      <c r="A438" s="24"/>
      <c r="B438" s="22"/>
      <c r="C438" s="23"/>
      <c r="D438" s="21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ht="22.5" customHeight="1">
      <c r="A439" s="24"/>
      <c r="B439" s="22"/>
      <c r="C439" s="23"/>
      <c r="D439" s="21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ht="22.5" customHeight="1">
      <c r="A440" s="24"/>
      <c r="B440" s="22"/>
      <c r="C440" s="23"/>
      <c r="D440" s="21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ht="22.5" customHeight="1">
      <c r="A441" s="24"/>
      <c r="B441" s="22"/>
      <c r="C441" s="23"/>
      <c r="D441" s="21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ht="22.5" customHeight="1">
      <c r="A442" s="24"/>
      <c r="B442" s="22"/>
      <c r="C442" s="23"/>
      <c r="D442" s="21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ht="22.5" customHeight="1">
      <c r="A443" s="24"/>
      <c r="B443" s="22"/>
      <c r="C443" s="23"/>
      <c r="D443" s="21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ht="22.5" customHeight="1">
      <c r="A444" s="24"/>
      <c r="B444" s="22"/>
      <c r="C444" s="23"/>
      <c r="D444" s="21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ht="22.5" customHeight="1">
      <c r="A445" s="24"/>
      <c r="B445" s="22"/>
      <c r="C445" s="23"/>
      <c r="D445" s="21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ht="22.5" customHeight="1">
      <c r="A446" s="24"/>
      <c r="B446" s="22"/>
      <c r="C446" s="23"/>
      <c r="D446" s="21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ht="22.5" customHeight="1">
      <c r="A447" s="24"/>
      <c r="B447" s="22"/>
      <c r="C447" s="23"/>
      <c r="D447" s="21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ht="22.5" customHeight="1">
      <c r="A448" s="24"/>
      <c r="B448" s="22"/>
      <c r="C448" s="23"/>
      <c r="D448" s="21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ht="22.5" customHeight="1">
      <c r="A449" s="24"/>
      <c r="B449" s="22"/>
      <c r="C449" s="23"/>
      <c r="D449" s="21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ht="22.5" customHeight="1">
      <c r="A450" s="24"/>
      <c r="B450" s="22"/>
      <c r="C450" s="23"/>
      <c r="D450" s="21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ht="22.5" customHeight="1">
      <c r="A451" s="24"/>
      <c r="B451" s="22"/>
      <c r="C451" s="23"/>
      <c r="D451" s="21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ht="22.5" customHeight="1">
      <c r="A452" s="24"/>
      <c r="B452" s="22"/>
      <c r="C452" s="23"/>
      <c r="D452" s="21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ht="22.5" customHeight="1">
      <c r="A453" s="24"/>
      <c r="B453" s="22"/>
      <c r="C453" s="23"/>
      <c r="D453" s="21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ht="22.5" customHeight="1">
      <c r="A454" s="24"/>
      <c r="B454" s="22"/>
      <c r="C454" s="23"/>
      <c r="D454" s="21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ht="22.5" customHeight="1">
      <c r="A455" s="24"/>
      <c r="B455" s="22"/>
      <c r="C455" s="23"/>
      <c r="D455" s="21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ht="22.5" customHeight="1">
      <c r="A456" s="24"/>
      <c r="B456" s="22"/>
      <c r="C456" s="23"/>
      <c r="D456" s="21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ht="22.5" customHeight="1">
      <c r="A457" s="24"/>
      <c r="B457" s="22"/>
      <c r="C457" s="23"/>
      <c r="D457" s="21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ht="22.5" customHeight="1">
      <c r="A458" s="24"/>
      <c r="B458" s="22"/>
      <c r="C458" s="23"/>
      <c r="D458" s="21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ht="22.5" customHeight="1">
      <c r="A459" s="24"/>
      <c r="B459" s="22"/>
      <c r="C459" s="23"/>
      <c r="D459" s="21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ht="22.5" customHeight="1">
      <c r="A460" s="24"/>
      <c r="B460" s="22"/>
      <c r="C460" s="23"/>
      <c r="D460" s="21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ht="22.5" customHeight="1">
      <c r="A461" s="24"/>
      <c r="B461" s="22"/>
      <c r="C461" s="23"/>
      <c r="D461" s="21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ht="22.5" customHeight="1">
      <c r="A462" s="24"/>
      <c r="B462" s="22"/>
      <c r="C462" s="23"/>
      <c r="D462" s="21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ht="22.5" customHeight="1">
      <c r="A463" s="24"/>
      <c r="B463" s="22"/>
      <c r="C463" s="23"/>
      <c r="D463" s="21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ht="22.5" customHeight="1">
      <c r="A464" s="24"/>
      <c r="B464" s="22"/>
      <c r="C464" s="23"/>
      <c r="D464" s="21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ht="22.5" customHeight="1">
      <c r="A465" s="24"/>
      <c r="B465" s="22"/>
      <c r="C465" s="23"/>
      <c r="D465" s="21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ht="22.5" customHeight="1">
      <c r="A466" s="24"/>
      <c r="B466" s="22"/>
      <c r="C466" s="23"/>
      <c r="D466" s="21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ht="22.5" customHeight="1">
      <c r="A467" s="24"/>
      <c r="B467" s="22"/>
      <c r="C467" s="23"/>
      <c r="D467" s="21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ht="22.5" customHeight="1">
      <c r="A468" s="24"/>
      <c r="B468" s="22"/>
      <c r="C468" s="23"/>
      <c r="D468" s="21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ht="22.5" customHeight="1">
      <c r="A469" s="24"/>
      <c r="B469" s="22"/>
      <c r="C469" s="23"/>
      <c r="D469" s="21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ht="22.5" customHeight="1">
      <c r="A470" s="24"/>
      <c r="B470" s="22"/>
      <c r="C470" s="23"/>
      <c r="D470" s="21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ht="22.5" customHeight="1">
      <c r="A471" s="24"/>
      <c r="B471" s="22"/>
      <c r="C471" s="23"/>
      <c r="D471" s="21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ht="22.5" customHeight="1">
      <c r="A472" s="24"/>
      <c r="B472" s="22"/>
      <c r="C472" s="23"/>
      <c r="D472" s="21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ht="22.5" customHeight="1">
      <c r="A473" s="24"/>
      <c r="B473" s="22"/>
      <c r="C473" s="23"/>
      <c r="D473" s="21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ht="22.5" customHeight="1">
      <c r="A474" s="24"/>
      <c r="B474" s="22"/>
      <c r="C474" s="23"/>
      <c r="D474" s="21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ht="22.5" customHeight="1">
      <c r="A475" s="24"/>
      <c r="B475" s="22"/>
      <c r="C475" s="23"/>
      <c r="D475" s="21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ht="22.5" customHeight="1">
      <c r="A476" s="24"/>
      <c r="B476" s="22"/>
      <c r="C476" s="23"/>
      <c r="D476" s="21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ht="22.5" customHeight="1">
      <c r="A477" s="24"/>
      <c r="B477" s="22"/>
      <c r="C477" s="23"/>
      <c r="D477" s="21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ht="22.5" customHeight="1">
      <c r="A478" s="24"/>
      <c r="B478" s="22"/>
      <c r="C478" s="23"/>
      <c r="D478" s="21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ht="22.5" customHeight="1">
      <c r="A479" s="24"/>
      <c r="B479" s="22"/>
      <c r="C479" s="23"/>
      <c r="D479" s="21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ht="22.5" customHeight="1">
      <c r="A480" s="24"/>
      <c r="B480" s="22"/>
      <c r="C480" s="23"/>
      <c r="D480" s="21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ht="22.5" customHeight="1">
      <c r="A481" s="24"/>
      <c r="B481" s="22"/>
      <c r="C481" s="23"/>
      <c r="D481" s="21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ht="22.5" customHeight="1">
      <c r="A482" s="24"/>
      <c r="B482" s="22"/>
      <c r="C482" s="23"/>
      <c r="D482" s="21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ht="22.5" customHeight="1">
      <c r="A483" s="24"/>
      <c r="B483" s="22"/>
      <c r="C483" s="23"/>
      <c r="D483" s="21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ht="22.5" customHeight="1">
      <c r="A484" s="24"/>
      <c r="B484" s="22"/>
      <c r="C484" s="23"/>
      <c r="D484" s="21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ht="22.5" customHeight="1">
      <c r="A485" s="24"/>
      <c r="B485" s="22"/>
      <c r="C485" s="23"/>
      <c r="D485" s="21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ht="22.5" customHeight="1">
      <c r="A486" s="24"/>
      <c r="B486" s="22"/>
      <c r="C486" s="23"/>
      <c r="D486" s="21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ht="22.5" customHeight="1">
      <c r="A487" s="24"/>
      <c r="B487" s="22"/>
      <c r="C487" s="23"/>
      <c r="D487" s="21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ht="22.5" customHeight="1">
      <c r="A488" s="24"/>
      <c r="B488" s="22"/>
      <c r="C488" s="23"/>
      <c r="D488" s="21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ht="22.5" customHeight="1">
      <c r="A489" s="24"/>
      <c r="B489" s="22"/>
      <c r="C489" s="23"/>
      <c r="D489" s="21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ht="22.5" customHeight="1">
      <c r="A490" s="24"/>
      <c r="B490" s="22"/>
      <c r="C490" s="23"/>
      <c r="D490" s="21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ht="22.5" customHeight="1">
      <c r="A491" s="24"/>
      <c r="B491" s="22"/>
      <c r="C491" s="23"/>
      <c r="D491" s="21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ht="22.5" customHeight="1">
      <c r="A492" s="24"/>
      <c r="B492" s="22"/>
      <c r="C492" s="23"/>
      <c r="D492" s="21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ht="22.5" customHeight="1">
      <c r="A493" s="24"/>
      <c r="B493" s="22"/>
      <c r="C493" s="23"/>
      <c r="D493" s="21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ht="22.5" customHeight="1">
      <c r="A494" s="24"/>
      <c r="B494" s="22"/>
      <c r="C494" s="23"/>
      <c r="D494" s="21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ht="22.5" customHeight="1">
      <c r="A495" s="24"/>
      <c r="B495" s="22"/>
      <c r="C495" s="23"/>
      <c r="D495" s="21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ht="22.5" customHeight="1">
      <c r="A496" s="24"/>
      <c r="B496" s="22"/>
      <c r="C496" s="23"/>
      <c r="D496" s="21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ht="22.5" customHeight="1">
      <c r="A497" s="24"/>
      <c r="B497" s="22"/>
      <c r="C497" s="23"/>
      <c r="D497" s="21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ht="22.5" customHeight="1">
      <c r="A498" s="24"/>
      <c r="B498" s="22"/>
      <c r="C498" s="23"/>
      <c r="D498" s="21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ht="22.5" customHeight="1">
      <c r="A499" s="24"/>
      <c r="B499" s="22"/>
      <c r="C499" s="23"/>
      <c r="D499" s="21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ht="22.5" customHeight="1">
      <c r="A500" s="24"/>
      <c r="B500" s="22"/>
      <c r="C500" s="23"/>
      <c r="D500" s="21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ht="22.5" customHeight="1">
      <c r="A501" s="24"/>
      <c r="B501" s="22"/>
      <c r="C501" s="23"/>
      <c r="D501" s="21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ht="22.5" customHeight="1">
      <c r="A502" s="24"/>
      <c r="B502" s="22"/>
      <c r="C502" s="23"/>
      <c r="D502" s="21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ht="22.5" customHeight="1">
      <c r="A503" s="24"/>
      <c r="B503" s="22"/>
      <c r="C503" s="23"/>
      <c r="D503" s="21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ht="22.5" customHeight="1">
      <c r="A504" s="24"/>
      <c r="B504" s="22"/>
      <c r="C504" s="23"/>
      <c r="D504" s="21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ht="22.5" customHeight="1">
      <c r="A505" s="24"/>
      <c r="B505" s="22"/>
      <c r="C505" s="23"/>
      <c r="D505" s="21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ht="22.5" customHeight="1">
      <c r="A506" s="24"/>
      <c r="B506" s="22"/>
      <c r="C506" s="23"/>
      <c r="D506" s="21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ht="22.5" customHeight="1">
      <c r="A507" s="24"/>
      <c r="B507" s="22"/>
      <c r="C507" s="23"/>
      <c r="D507" s="21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ht="22.5" customHeight="1">
      <c r="A508" s="24"/>
      <c r="B508" s="22"/>
      <c r="C508" s="23"/>
      <c r="D508" s="21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ht="22.5" customHeight="1">
      <c r="A509" s="24"/>
      <c r="B509" s="22"/>
      <c r="C509" s="23"/>
      <c r="D509" s="21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ht="22.5" customHeight="1">
      <c r="A510" s="24"/>
      <c r="B510" s="22"/>
      <c r="C510" s="23"/>
      <c r="D510" s="21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ht="22.5" customHeight="1">
      <c r="A511" s="24"/>
      <c r="B511" s="22"/>
      <c r="C511" s="23"/>
      <c r="D511" s="21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ht="22.5" customHeight="1">
      <c r="A512" s="24"/>
      <c r="B512" s="22"/>
      <c r="C512" s="23"/>
      <c r="D512" s="21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ht="22.5" customHeight="1">
      <c r="A513" s="24"/>
      <c r="B513" s="22"/>
      <c r="C513" s="23"/>
      <c r="D513" s="21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ht="22.5" customHeight="1">
      <c r="A514" s="24"/>
      <c r="B514" s="22"/>
      <c r="C514" s="23"/>
      <c r="D514" s="21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ht="22.5" customHeight="1">
      <c r="A515" s="24"/>
      <c r="B515" s="22"/>
      <c r="C515" s="23"/>
      <c r="D515" s="21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ht="22.5" customHeight="1">
      <c r="A516" s="24"/>
      <c r="B516" s="22"/>
      <c r="C516" s="23"/>
      <c r="D516" s="21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ht="22.5" customHeight="1">
      <c r="A517" s="24"/>
      <c r="B517" s="22"/>
      <c r="C517" s="23"/>
      <c r="D517" s="21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ht="22.5" customHeight="1">
      <c r="A518" s="24"/>
      <c r="B518" s="22"/>
      <c r="C518" s="23"/>
      <c r="D518" s="21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ht="22.5" customHeight="1">
      <c r="A519" s="24"/>
      <c r="B519" s="22"/>
      <c r="C519" s="23"/>
      <c r="D519" s="21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ht="22.5" customHeight="1">
      <c r="A520" s="24"/>
      <c r="B520" s="22"/>
      <c r="C520" s="23"/>
      <c r="D520" s="21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ht="22.5" customHeight="1">
      <c r="A521" s="24"/>
      <c r="B521" s="22"/>
      <c r="C521" s="23"/>
      <c r="D521" s="21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ht="22.5" customHeight="1">
      <c r="A522" s="24"/>
      <c r="B522" s="22"/>
      <c r="C522" s="23"/>
      <c r="D522" s="21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ht="22.5" customHeight="1">
      <c r="A523" s="24"/>
      <c r="B523" s="22"/>
      <c r="C523" s="23"/>
      <c r="D523" s="21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ht="22.5" customHeight="1">
      <c r="A524" s="24"/>
      <c r="B524" s="22"/>
      <c r="C524" s="23"/>
      <c r="D524" s="21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ht="22.5" customHeight="1">
      <c r="A525" s="24"/>
      <c r="B525" s="22"/>
      <c r="C525" s="23"/>
      <c r="D525" s="21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ht="22.5" customHeight="1">
      <c r="A526" s="24"/>
      <c r="B526" s="22"/>
      <c r="C526" s="23"/>
      <c r="D526" s="21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ht="22.5" customHeight="1">
      <c r="A527" s="24"/>
      <c r="B527" s="22"/>
      <c r="C527" s="23"/>
      <c r="D527" s="21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ht="22.5" customHeight="1">
      <c r="A528" s="24"/>
      <c r="B528" s="22"/>
      <c r="C528" s="23"/>
      <c r="D528" s="21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ht="22.5" customHeight="1">
      <c r="A529" s="24"/>
      <c r="B529" s="22"/>
      <c r="C529" s="23"/>
      <c r="D529" s="21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ht="22.5" customHeight="1">
      <c r="A530" s="24"/>
      <c r="B530" s="22"/>
      <c r="C530" s="23"/>
      <c r="D530" s="21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ht="22.5" customHeight="1">
      <c r="A531" s="24"/>
      <c r="B531" s="22"/>
      <c r="C531" s="23"/>
      <c r="D531" s="21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ht="22.5" customHeight="1">
      <c r="A532" s="24"/>
      <c r="B532" s="22"/>
      <c r="C532" s="23"/>
      <c r="D532" s="21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ht="22.5" customHeight="1">
      <c r="A533" s="24"/>
      <c r="B533" s="22"/>
      <c r="C533" s="23"/>
      <c r="D533" s="21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ht="22.5" customHeight="1">
      <c r="A534" s="24"/>
      <c r="B534" s="22"/>
      <c r="C534" s="23"/>
      <c r="D534" s="21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ht="22.5" customHeight="1">
      <c r="A535" s="24"/>
      <c r="B535" s="22"/>
      <c r="C535" s="23"/>
      <c r="D535" s="21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ht="22.5" customHeight="1">
      <c r="A536" s="24"/>
      <c r="B536" s="22"/>
      <c r="C536" s="23"/>
      <c r="D536" s="21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ht="22.5" customHeight="1">
      <c r="A537" s="24"/>
      <c r="B537" s="22"/>
      <c r="C537" s="23"/>
      <c r="D537" s="21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ht="22.5" customHeight="1">
      <c r="A538" s="24"/>
      <c r="B538" s="22"/>
      <c r="C538" s="23"/>
      <c r="D538" s="21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ht="22.5" customHeight="1">
      <c r="A539" s="24"/>
      <c r="B539" s="22"/>
      <c r="C539" s="23"/>
      <c r="D539" s="21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ht="22.5" customHeight="1">
      <c r="A540" s="24"/>
      <c r="B540" s="22"/>
      <c r="C540" s="23"/>
      <c r="D540" s="21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ht="22.5" customHeight="1">
      <c r="A541" s="24"/>
      <c r="B541" s="22"/>
      <c r="C541" s="23"/>
      <c r="D541" s="21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ht="22.5" customHeight="1">
      <c r="A542" s="24"/>
      <c r="B542" s="22"/>
      <c r="C542" s="23"/>
      <c r="D542" s="21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ht="22.5" customHeight="1">
      <c r="A543" s="24"/>
      <c r="B543" s="22"/>
      <c r="C543" s="23"/>
      <c r="D543" s="21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ht="22.5" customHeight="1">
      <c r="A544" s="24"/>
      <c r="B544" s="22"/>
      <c r="C544" s="23"/>
      <c r="D544" s="21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ht="22.5" customHeight="1">
      <c r="A545" s="24"/>
      <c r="B545" s="22"/>
      <c r="C545" s="23"/>
      <c r="D545" s="21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ht="22.5" customHeight="1">
      <c r="A546" s="24"/>
      <c r="B546" s="22"/>
      <c r="C546" s="23"/>
      <c r="D546" s="21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ht="22.5" customHeight="1">
      <c r="A547" s="24"/>
      <c r="B547" s="22"/>
      <c r="C547" s="23"/>
      <c r="D547" s="21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ht="22.5" customHeight="1">
      <c r="A548" s="24"/>
      <c r="B548" s="22"/>
      <c r="C548" s="23"/>
      <c r="D548" s="21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ht="22.5" customHeight="1">
      <c r="A549" s="24"/>
      <c r="B549" s="22"/>
      <c r="C549" s="23"/>
      <c r="D549" s="21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ht="22.5" customHeight="1">
      <c r="A550" s="24"/>
      <c r="B550" s="22"/>
      <c r="C550" s="23"/>
      <c r="D550" s="21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ht="22.5" customHeight="1">
      <c r="A551" s="24"/>
      <c r="B551" s="22"/>
      <c r="C551" s="23"/>
      <c r="D551" s="21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ht="22.5" customHeight="1">
      <c r="A552" s="24"/>
      <c r="B552" s="22"/>
      <c r="C552" s="23"/>
      <c r="D552" s="21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ht="22.5" customHeight="1">
      <c r="A553" s="24"/>
      <c r="B553" s="22"/>
      <c r="C553" s="23"/>
      <c r="D553" s="21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ht="22.5" customHeight="1">
      <c r="A554" s="24"/>
      <c r="B554" s="22"/>
      <c r="C554" s="23"/>
      <c r="D554" s="21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ht="22.5" customHeight="1">
      <c r="A555" s="24"/>
      <c r="B555" s="22"/>
      <c r="C555" s="23"/>
      <c r="D555" s="21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ht="22.5" customHeight="1">
      <c r="A556" s="24"/>
      <c r="B556" s="22"/>
      <c r="C556" s="23"/>
      <c r="D556" s="21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ht="22.5" customHeight="1">
      <c r="A557" s="24"/>
      <c r="B557" s="22"/>
      <c r="C557" s="23"/>
      <c r="D557" s="21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ht="22.5" customHeight="1">
      <c r="A558" s="24"/>
      <c r="B558" s="22"/>
      <c r="C558" s="23"/>
      <c r="D558" s="21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ht="22.5" customHeight="1">
      <c r="A559" s="24"/>
      <c r="B559" s="22"/>
      <c r="C559" s="23"/>
      <c r="D559" s="21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ht="22.5" customHeight="1">
      <c r="A560" s="24"/>
      <c r="B560" s="22"/>
      <c r="C560" s="23"/>
      <c r="D560" s="21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ht="22.5" customHeight="1">
      <c r="A561" s="24"/>
      <c r="B561" s="22"/>
      <c r="C561" s="23"/>
      <c r="D561" s="21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ht="22.5" customHeight="1">
      <c r="A562" s="24"/>
      <c r="B562" s="22"/>
      <c r="C562" s="23"/>
      <c r="D562" s="21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ht="22.5" customHeight="1">
      <c r="A563" s="24"/>
      <c r="B563" s="22"/>
      <c r="C563" s="23"/>
      <c r="D563" s="21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ht="22.5" customHeight="1">
      <c r="A564" s="24"/>
      <c r="B564" s="22"/>
      <c r="C564" s="23"/>
      <c r="D564" s="21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ht="22.5" customHeight="1">
      <c r="A565" s="24"/>
      <c r="B565" s="22"/>
      <c r="C565" s="23"/>
      <c r="D565" s="21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ht="22.5" customHeight="1">
      <c r="A566" s="24"/>
      <c r="B566" s="22"/>
      <c r="C566" s="23"/>
      <c r="D566" s="21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ht="22.5" customHeight="1">
      <c r="A567" s="24"/>
      <c r="B567" s="22"/>
      <c r="C567" s="23"/>
      <c r="D567" s="21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ht="22.5" customHeight="1">
      <c r="A568" s="24"/>
      <c r="B568" s="22"/>
      <c r="C568" s="23"/>
      <c r="D568" s="21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ht="22.5" customHeight="1">
      <c r="A569" s="24"/>
      <c r="B569" s="22"/>
      <c r="C569" s="23"/>
      <c r="D569" s="21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ht="22.5" customHeight="1">
      <c r="A570" s="24"/>
      <c r="B570" s="22"/>
      <c r="C570" s="23"/>
      <c r="D570" s="21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ht="22.5" customHeight="1">
      <c r="A571" s="24"/>
      <c r="B571" s="22"/>
      <c r="C571" s="23"/>
      <c r="D571" s="21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ht="22.5" customHeight="1">
      <c r="A572" s="24"/>
      <c r="B572" s="22"/>
      <c r="C572" s="23"/>
      <c r="D572" s="21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ht="22.5" customHeight="1">
      <c r="A573" s="24"/>
      <c r="B573" s="22"/>
      <c r="C573" s="23"/>
      <c r="D573" s="21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ht="22.5" customHeight="1">
      <c r="A574" s="24"/>
      <c r="B574" s="22"/>
      <c r="C574" s="23"/>
      <c r="D574" s="21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ht="22.5" customHeight="1">
      <c r="A575" s="24"/>
      <c r="B575" s="22"/>
      <c r="C575" s="23"/>
      <c r="D575" s="21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ht="22.5" customHeight="1">
      <c r="A576" s="24"/>
      <c r="B576" s="22"/>
      <c r="C576" s="23"/>
      <c r="D576" s="21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ht="22.5" customHeight="1">
      <c r="A577" s="24"/>
      <c r="B577" s="22"/>
      <c r="C577" s="23"/>
      <c r="D577" s="21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ht="22.5" customHeight="1">
      <c r="A578" s="24"/>
      <c r="B578" s="22"/>
      <c r="C578" s="23"/>
      <c r="D578" s="21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ht="22.5" customHeight="1">
      <c r="A579" s="24"/>
      <c r="B579" s="22"/>
      <c r="C579" s="23"/>
      <c r="D579" s="21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ht="22.5" customHeight="1">
      <c r="A580" s="24"/>
      <c r="B580" s="22"/>
      <c r="C580" s="23"/>
      <c r="D580" s="21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ht="22.5" customHeight="1">
      <c r="A581" s="24"/>
      <c r="B581" s="22"/>
      <c r="C581" s="23"/>
      <c r="D581" s="21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ht="22.5" customHeight="1">
      <c r="A582" s="24"/>
      <c r="B582" s="22"/>
      <c r="C582" s="23"/>
      <c r="D582" s="21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ht="22.5" customHeight="1">
      <c r="A583" s="24"/>
      <c r="B583" s="22"/>
      <c r="C583" s="23"/>
      <c r="D583" s="21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ht="22.5" customHeight="1">
      <c r="A584" s="24"/>
      <c r="B584" s="22"/>
      <c r="C584" s="23"/>
      <c r="D584" s="21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ht="22.5" customHeight="1">
      <c r="A585" s="24"/>
      <c r="B585" s="22"/>
      <c r="C585" s="23"/>
      <c r="D585" s="21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ht="22.5" customHeight="1">
      <c r="A586" s="24"/>
      <c r="B586" s="22"/>
      <c r="C586" s="23"/>
      <c r="D586" s="21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ht="22.5" customHeight="1">
      <c r="A587" s="24"/>
      <c r="B587" s="22"/>
      <c r="C587" s="23"/>
      <c r="D587" s="21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ht="22.5" customHeight="1">
      <c r="A588" s="24"/>
      <c r="B588" s="22"/>
      <c r="C588" s="23"/>
      <c r="D588" s="21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ht="22.5" customHeight="1">
      <c r="A589" s="24"/>
      <c r="B589" s="22"/>
      <c r="C589" s="23"/>
      <c r="D589" s="21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ht="22.5" customHeight="1">
      <c r="A590" s="24"/>
      <c r="B590" s="22"/>
      <c r="C590" s="23"/>
      <c r="D590" s="21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ht="22.5" customHeight="1">
      <c r="A591" s="24"/>
      <c r="B591" s="22"/>
      <c r="C591" s="23"/>
      <c r="D591" s="21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ht="22.5" customHeight="1">
      <c r="A592" s="24"/>
      <c r="B592" s="22"/>
      <c r="C592" s="23"/>
      <c r="D592" s="21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ht="22.5" customHeight="1">
      <c r="A593" s="24"/>
      <c r="B593" s="22"/>
      <c r="C593" s="23"/>
      <c r="D593" s="21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ht="22.5" customHeight="1">
      <c r="A594" s="24"/>
      <c r="B594" s="22"/>
      <c r="C594" s="23"/>
      <c r="D594" s="21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ht="22.5" customHeight="1">
      <c r="A595" s="24"/>
      <c r="B595" s="22"/>
      <c r="C595" s="23"/>
      <c r="D595" s="21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ht="22.5" customHeight="1">
      <c r="A596" s="24"/>
      <c r="B596" s="22"/>
      <c r="C596" s="23"/>
      <c r="D596" s="21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ht="22.5" customHeight="1">
      <c r="A597" s="24"/>
      <c r="B597" s="22"/>
      <c r="C597" s="23"/>
      <c r="D597" s="21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ht="22.5" customHeight="1">
      <c r="A598" s="24"/>
      <c r="B598" s="22"/>
      <c r="C598" s="23"/>
      <c r="D598" s="21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ht="22.5" customHeight="1">
      <c r="A599" s="24"/>
      <c r="B599" s="22"/>
      <c r="C599" s="23"/>
      <c r="D599" s="21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ht="22.5" customHeight="1">
      <c r="A600" s="24"/>
      <c r="B600" s="22"/>
      <c r="C600" s="23"/>
      <c r="D600" s="21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ht="22.5" customHeight="1">
      <c r="A601" s="24"/>
      <c r="B601" s="22"/>
      <c r="C601" s="23"/>
      <c r="D601" s="21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ht="22.5" customHeight="1">
      <c r="A602" s="24"/>
      <c r="B602" s="22"/>
      <c r="C602" s="23"/>
      <c r="D602" s="21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ht="22.5" customHeight="1">
      <c r="A603" s="24"/>
      <c r="B603" s="22"/>
      <c r="C603" s="23"/>
      <c r="D603" s="21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ht="22.5" customHeight="1">
      <c r="A604" s="24"/>
      <c r="B604" s="22"/>
      <c r="C604" s="23"/>
      <c r="D604" s="21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ht="22.5" customHeight="1">
      <c r="A605" s="24"/>
      <c r="B605" s="22"/>
      <c r="C605" s="23"/>
      <c r="D605" s="21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ht="22.5" customHeight="1">
      <c r="A606" s="24"/>
      <c r="B606" s="22"/>
      <c r="C606" s="23"/>
      <c r="D606" s="21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ht="22.5" customHeight="1">
      <c r="A607" s="24"/>
      <c r="B607" s="22"/>
      <c r="C607" s="23"/>
      <c r="D607" s="21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ht="22.5" customHeight="1">
      <c r="A608" s="24"/>
      <c r="B608" s="22"/>
      <c r="C608" s="23"/>
      <c r="D608" s="21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ht="22.5" customHeight="1">
      <c r="A609" s="24"/>
      <c r="B609" s="22"/>
      <c r="C609" s="23"/>
      <c r="D609" s="21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ht="22.5" customHeight="1">
      <c r="A610" s="24"/>
      <c r="B610" s="22"/>
      <c r="C610" s="23"/>
      <c r="D610" s="21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ht="22.5" customHeight="1">
      <c r="A611" s="24"/>
      <c r="B611" s="22"/>
      <c r="C611" s="23"/>
      <c r="D611" s="21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ht="22.5" customHeight="1">
      <c r="A612" s="24"/>
      <c r="B612" s="22"/>
      <c r="C612" s="23"/>
      <c r="D612" s="21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ht="22.5" customHeight="1">
      <c r="A613" s="24"/>
      <c r="B613" s="22"/>
      <c r="C613" s="23"/>
      <c r="D613" s="21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ht="22.5" customHeight="1">
      <c r="A614" s="24"/>
      <c r="B614" s="22"/>
      <c r="C614" s="23"/>
      <c r="D614" s="21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ht="22.5" customHeight="1">
      <c r="A615" s="24"/>
      <c r="B615" s="22"/>
      <c r="C615" s="23"/>
      <c r="D615" s="21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ht="22.5" customHeight="1">
      <c r="A616" s="24"/>
      <c r="B616" s="22"/>
      <c r="C616" s="23"/>
      <c r="D616" s="21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ht="22.5" customHeight="1">
      <c r="A617" s="24"/>
      <c r="B617" s="22"/>
      <c r="C617" s="23"/>
      <c r="D617" s="21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ht="22.5" customHeight="1">
      <c r="A618" s="24"/>
      <c r="B618" s="22"/>
      <c r="C618" s="23"/>
      <c r="D618" s="21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ht="22.5" customHeight="1">
      <c r="A619" s="24"/>
      <c r="B619" s="22"/>
      <c r="C619" s="23"/>
      <c r="D619" s="21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ht="22.5" customHeight="1">
      <c r="A620" s="24"/>
      <c r="B620" s="22"/>
      <c r="C620" s="23"/>
      <c r="D620" s="21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ht="22.5" customHeight="1">
      <c r="A621" s="24"/>
      <c r="B621" s="22"/>
      <c r="C621" s="23"/>
      <c r="D621" s="21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ht="22.5" customHeight="1">
      <c r="A622" s="24"/>
      <c r="B622" s="22"/>
      <c r="C622" s="23"/>
      <c r="D622" s="21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ht="22.5" customHeight="1">
      <c r="A623" s="24"/>
      <c r="B623" s="22"/>
      <c r="C623" s="23"/>
      <c r="D623" s="21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ht="22.5" customHeight="1">
      <c r="A624" s="24"/>
      <c r="B624" s="22"/>
      <c r="C624" s="23"/>
      <c r="D624" s="21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ht="22.5" customHeight="1">
      <c r="A625" s="24"/>
      <c r="B625" s="22"/>
      <c r="C625" s="23"/>
      <c r="D625" s="21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ht="22.5" customHeight="1">
      <c r="A626" s="24"/>
      <c r="B626" s="22"/>
      <c r="C626" s="23"/>
      <c r="D626" s="21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ht="22.5" customHeight="1">
      <c r="A627" s="24"/>
      <c r="B627" s="22"/>
      <c r="C627" s="23"/>
      <c r="D627" s="21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ht="22.5" customHeight="1">
      <c r="A628" s="24"/>
      <c r="B628" s="22"/>
      <c r="C628" s="23"/>
      <c r="D628" s="21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ht="22.5" customHeight="1">
      <c r="A629" s="24"/>
      <c r="B629" s="22"/>
      <c r="C629" s="23"/>
      <c r="D629" s="21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ht="22.5" customHeight="1">
      <c r="A630" s="24"/>
      <c r="B630" s="22"/>
      <c r="C630" s="23"/>
      <c r="D630" s="21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ht="22.5" customHeight="1">
      <c r="A631" s="24"/>
      <c r="B631" s="22"/>
      <c r="C631" s="23"/>
      <c r="D631" s="21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ht="22.5" customHeight="1">
      <c r="A632" s="24"/>
      <c r="B632" s="22"/>
      <c r="C632" s="23"/>
      <c r="D632" s="21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ht="22.5" customHeight="1">
      <c r="A633" s="24"/>
      <c r="B633" s="22"/>
      <c r="C633" s="23"/>
      <c r="D633" s="21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ht="22.5" customHeight="1">
      <c r="A634" s="24"/>
      <c r="B634" s="22"/>
      <c r="C634" s="23"/>
      <c r="D634" s="21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ht="22.5" customHeight="1">
      <c r="A635" s="24"/>
      <c r="B635" s="22"/>
      <c r="C635" s="23"/>
      <c r="D635" s="21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ht="22.5" customHeight="1">
      <c r="A636" s="24"/>
      <c r="B636" s="22"/>
      <c r="C636" s="23"/>
      <c r="D636" s="21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ht="22.5" customHeight="1">
      <c r="A637" s="24"/>
      <c r="B637" s="22"/>
      <c r="C637" s="23"/>
      <c r="D637" s="21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ht="22.5" customHeight="1">
      <c r="A638" s="24"/>
      <c r="B638" s="22"/>
      <c r="C638" s="23"/>
      <c r="D638" s="21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ht="22.5" customHeight="1">
      <c r="A639" s="24"/>
      <c r="B639" s="22"/>
      <c r="C639" s="23"/>
      <c r="D639" s="21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ht="22.5" customHeight="1">
      <c r="A640" s="24"/>
      <c r="B640" s="22"/>
      <c r="C640" s="23"/>
      <c r="D640" s="21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ht="22.5" customHeight="1">
      <c r="A641" s="24"/>
      <c r="B641" s="22"/>
      <c r="C641" s="23"/>
      <c r="D641" s="21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ht="22.5" customHeight="1">
      <c r="A642" s="24"/>
      <c r="B642" s="22"/>
      <c r="C642" s="23"/>
      <c r="D642" s="21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ht="22.5" customHeight="1">
      <c r="A643" s="24"/>
      <c r="B643" s="22"/>
      <c r="C643" s="23"/>
      <c r="D643" s="21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ht="22.5" customHeight="1">
      <c r="A644" s="24"/>
      <c r="B644" s="22"/>
      <c r="C644" s="23"/>
      <c r="D644" s="21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ht="22.5" customHeight="1">
      <c r="A645" s="24"/>
      <c r="B645" s="22"/>
      <c r="C645" s="23"/>
      <c r="D645" s="21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ht="22.5" customHeight="1">
      <c r="A646" s="24"/>
      <c r="B646" s="22"/>
      <c r="C646" s="23"/>
      <c r="D646" s="21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ht="22.5" customHeight="1">
      <c r="A647" s="24"/>
      <c r="B647" s="22"/>
      <c r="C647" s="23"/>
      <c r="D647" s="21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ht="22.5" customHeight="1">
      <c r="A648" s="24"/>
      <c r="B648" s="22"/>
      <c r="C648" s="23"/>
      <c r="D648" s="21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ht="22.5" customHeight="1">
      <c r="A649" s="24"/>
      <c r="B649" s="22"/>
      <c r="C649" s="23"/>
      <c r="D649" s="21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ht="22.5" customHeight="1">
      <c r="A650" s="24"/>
      <c r="B650" s="22"/>
      <c r="C650" s="23"/>
      <c r="D650" s="21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ht="22.5" customHeight="1">
      <c r="A651" s="24"/>
      <c r="B651" s="22"/>
      <c r="C651" s="23"/>
      <c r="D651" s="21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ht="22.5" customHeight="1">
      <c r="A652" s="24"/>
      <c r="B652" s="22"/>
      <c r="C652" s="23"/>
      <c r="D652" s="21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ht="22.5" customHeight="1">
      <c r="A653" s="24"/>
      <c r="B653" s="22"/>
      <c r="C653" s="23"/>
      <c r="D653" s="21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ht="22.5" customHeight="1">
      <c r="A654" s="24"/>
      <c r="B654" s="22"/>
      <c r="C654" s="23"/>
      <c r="D654" s="21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ht="22.5" customHeight="1">
      <c r="A655" s="24"/>
      <c r="B655" s="22"/>
      <c r="C655" s="23"/>
      <c r="D655" s="21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ht="22.5" customHeight="1">
      <c r="A656" s="24"/>
      <c r="B656" s="22"/>
      <c r="C656" s="23"/>
      <c r="D656" s="21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ht="22.5" customHeight="1">
      <c r="A657" s="24"/>
      <c r="B657" s="22"/>
      <c r="C657" s="23"/>
      <c r="D657" s="21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ht="22.5" customHeight="1">
      <c r="A658" s="24"/>
      <c r="B658" s="22"/>
      <c r="C658" s="23"/>
      <c r="D658" s="21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ht="22.5" customHeight="1">
      <c r="A659" s="24"/>
      <c r="B659" s="22"/>
      <c r="C659" s="23"/>
      <c r="D659" s="21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ht="22.5" customHeight="1">
      <c r="A660" s="24"/>
      <c r="B660" s="22"/>
      <c r="C660" s="23"/>
      <c r="D660" s="21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ht="22.5" customHeight="1">
      <c r="A661" s="24"/>
      <c r="B661" s="22"/>
      <c r="C661" s="23"/>
      <c r="D661" s="21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ht="22.5" customHeight="1">
      <c r="A662" s="24"/>
      <c r="B662" s="22"/>
      <c r="C662" s="23"/>
      <c r="D662" s="21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ht="22.5" customHeight="1">
      <c r="A663" s="24"/>
      <c r="B663" s="22"/>
      <c r="C663" s="23"/>
      <c r="D663" s="21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ht="22.5" customHeight="1">
      <c r="A664" s="24"/>
      <c r="B664" s="22"/>
      <c r="C664" s="23"/>
      <c r="D664" s="21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ht="22.5" customHeight="1">
      <c r="A665" s="24"/>
      <c r="B665" s="22"/>
      <c r="C665" s="23"/>
      <c r="D665" s="21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ht="22.5" customHeight="1">
      <c r="A666" s="24"/>
      <c r="B666" s="22"/>
      <c r="C666" s="23"/>
      <c r="D666" s="21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ht="22.5" customHeight="1">
      <c r="A667" s="24"/>
      <c r="B667" s="22"/>
      <c r="C667" s="23"/>
      <c r="D667" s="21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ht="22.5" customHeight="1">
      <c r="A668" s="24"/>
      <c r="B668" s="22"/>
      <c r="C668" s="23"/>
      <c r="D668" s="21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ht="22.5" customHeight="1">
      <c r="A669" s="24"/>
      <c r="B669" s="22"/>
      <c r="C669" s="23"/>
      <c r="D669" s="21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ht="22.5" customHeight="1">
      <c r="A670" s="24"/>
      <c r="B670" s="22"/>
      <c r="C670" s="23"/>
      <c r="D670" s="21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ht="22.5" customHeight="1">
      <c r="A671" s="24"/>
      <c r="B671" s="22"/>
      <c r="C671" s="23"/>
      <c r="D671" s="21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ht="22.5" customHeight="1">
      <c r="A672" s="24"/>
      <c r="B672" s="22"/>
      <c r="C672" s="23"/>
      <c r="D672" s="21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ht="22.5" customHeight="1">
      <c r="A673" s="24"/>
      <c r="B673" s="22"/>
      <c r="C673" s="23"/>
      <c r="D673" s="21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ht="22.5" customHeight="1">
      <c r="A674" s="24"/>
      <c r="B674" s="22"/>
      <c r="C674" s="23"/>
      <c r="D674" s="21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ht="22.5" customHeight="1">
      <c r="A675" s="24"/>
      <c r="B675" s="22"/>
      <c r="C675" s="23"/>
      <c r="D675" s="21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ht="22.5" customHeight="1">
      <c r="A676" s="24"/>
      <c r="B676" s="22"/>
      <c r="C676" s="23"/>
      <c r="D676" s="21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ht="22.5" customHeight="1">
      <c r="A677" s="24"/>
      <c r="B677" s="22"/>
      <c r="C677" s="23"/>
      <c r="D677" s="21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ht="22.5" customHeight="1">
      <c r="A678" s="24"/>
      <c r="B678" s="22"/>
      <c r="C678" s="23"/>
      <c r="D678" s="21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ht="22.5" customHeight="1">
      <c r="A679" s="24"/>
      <c r="B679" s="22"/>
      <c r="C679" s="23"/>
      <c r="D679" s="21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ht="22.5" customHeight="1">
      <c r="A680" s="24"/>
      <c r="B680" s="22"/>
      <c r="C680" s="23"/>
      <c r="D680" s="21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ht="22.5" customHeight="1">
      <c r="A681" s="24"/>
      <c r="B681" s="22"/>
      <c r="C681" s="23"/>
      <c r="D681" s="21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ht="22.5" customHeight="1">
      <c r="A682" s="24"/>
      <c r="B682" s="22"/>
      <c r="C682" s="23"/>
      <c r="D682" s="21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ht="22.5" customHeight="1">
      <c r="A683" s="24"/>
      <c r="B683" s="22"/>
      <c r="C683" s="23"/>
      <c r="D683" s="21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ht="22.5" customHeight="1">
      <c r="A684" s="24"/>
      <c r="B684" s="22"/>
      <c r="C684" s="23"/>
      <c r="D684" s="21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ht="22.5" customHeight="1">
      <c r="A685" s="24"/>
      <c r="B685" s="22"/>
      <c r="C685" s="23"/>
      <c r="D685" s="21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ht="22.5" customHeight="1">
      <c r="A686" s="24"/>
      <c r="B686" s="22"/>
      <c r="C686" s="23"/>
      <c r="D686" s="21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ht="22.5" customHeight="1">
      <c r="A687" s="24"/>
      <c r="B687" s="22"/>
      <c r="C687" s="23"/>
      <c r="D687" s="21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ht="22.5" customHeight="1">
      <c r="A688" s="24"/>
      <c r="B688" s="22"/>
      <c r="C688" s="23"/>
      <c r="D688" s="21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ht="22.5" customHeight="1">
      <c r="A689" s="24"/>
      <c r="B689" s="22"/>
      <c r="C689" s="23"/>
      <c r="D689" s="21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ht="22.5" customHeight="1">
      <c r="A690" s="24"/>
      <c r="B690" s="22"/>
      <c r="C690" s="23"/>
      <c r="D690" s="21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ht="22.5" customHeight="1">
      <c r="A691" s="24"/>
      <c r="B691" s="22"/>
      <c r="C691" s="23"/>
      <c r="D691" s="21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ht="22.5" customHeight="1">
      <c r="A692" s="24"/>
      <c r="B692" s="22"/>
      <c r="C692" s="23"/>
      <c r="D692" s="21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ht="22.5" customHeight="1">
      <c r="A693" s="24"/>
      <c r="B693" s="22"/>
      <c r="C693" s="23"/>
      <c r="D693" s="21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ht="22.5" customHeight="1">
      <c r="A694" s="24"/>
      <c r="B694" s="22"/>
      <c r="C694" s="23"/>
      <c r="D694" s="21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ht="22.5" customHeight="1">
      <c r="A695" s="24"/>
      <c r="B695" s="22"/>
      <c r="C695" s="23"/>
      <c r="D695" s="21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ht="22.5" customHeight="1">
      <c r="A696" s="24"/>
      <c r="B696" s="22"/>
      <c r="C696" s="23"/>
      <c r="D696" s="21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ht="22.5" customHeight="1">
      <c r="A697" s="24"/>
      <c r="B697" s="22"/>
      <c r="C697" s="23"/>
      <c r="D697" s="21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ht="22.5" customHeight="1">
      <c r="A698" s="24"/>
      <c r="B698" s="22"/>
      <c r="C698" s="23"/>
      <c r="D698" s="21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ht="22.5" customHeight="1">
      <c r="A699" s="24"/>
      <c r="B699" s="22"/>
      <c r="C699" s="23"/>
      <c r="D699" s="21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ht="22.5" customHeight="1">
      <c r="A700" s="24"/>
      <c r="B700" s="22"/>
      <c r="C700" s="23"/>
      <c r="D700" s="21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ht="22.5" customHeight="1">
      <c r="A701" s="24"/>
      <c r="B701" s="22"/>
      <c r="C701" s="23"/>
      <c r="D701" s="21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ht="22.5" customHeight="1">
      <c r="A702" s="24"/>
      <c r="B702" s="22"/>
      <c r="C702" s="23"/>
      <c r="D702" s="21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ht="22.5" customHeight="1">
      <c r="A703" s="24"/>
      <c r="B703" s="22"/>
      <c r="C703" s="23"/>
      <c r="D703" s="21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ht="22.5" customHeight="1">
      <c r="A704" s="24"/>
      <c r="B704" s="22"/>
      <c r="C704" s="23"/>
      <c r="D704" s="21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ht="22.5" customHeight="1">
      <c r="A705" s="24"/>
      <c r="B705" s="22"/>
      <c r="C705" s="23"/>
      <c r="D705" s="21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ht="22.5" customHeight="1">
      <c r="A706" s="24"/>
      <c r="B706" s="22"/>
      <c r="C706" s="23"/>
      <c r="D706" s="21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ht="22.5" customHeight="1">
      <c r="A707" s="24"/>
      <c r="B707" s="22"/>
      <c r="C707" s="23"/>
      <c r="D707" s="21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ht="22.5" customHeight="1">
      <c r="A708" s="24"/>
      <c r="B708" s="22"/>
      <c r="C708" s="23"/>
      <c r="D708" s="21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ht="22.5" customHeight="1">
      <c r="A709" s="24"/>
      <c r="B709" s="22"/>
      <c r="C709" s="23"/>
      <c r="D709" s="21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ht="22.5" customHeight="1">
      <c r="A710" s="24"/>
      <c r="B710" s="22"/>
      <c r="C710" s="23"/>
      <c r="D710" s="21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ht="22.5" customHeight="1">
      <c r="A711" s="24"/>
      <c r="B711" s="22"/>
      <c r="C711" s="23"/>
      <c r="D711" s="21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ht="22.5" customHeight="1">
      <c r="A712" s="24"/>
      <c r="B712" s="22"/>
      <c r="C712" s="23"/>
      <c r="D712" s="21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ht="22.5" customHeight="1">
      <c r="A713" s="24"/>
      <c r="B713" s="22"/>
      <c r="C713" s="23"/>
      <c r="D713" s="21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ht="22.5" customHeight="1">
      <c r="A714" s="24"/>
      <c r="B714" s="22"/>
      <c r="C714" s="23"/>
      <c r="D714" s="21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ht="22.5" customHeight="1">
      <c r="A715" s="24"/>
      <c r="B715" s="22"/>
      <c r="C715" s="23"/>
      <c r="D715" s="21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ht="22.5" customHeight="1">
      <c r="A716" s="24"/>
      <c r="B716" s="22"/>
      <c r="C716" s="23"/>
      <c r="D716" s="21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ht="22.5" customHeight="1">
      <c r="A717" s="24"/>
      <c r="B717" s="22"/>
      <c r="C717" s="23"/>
      <c r="D717" s="21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ht="22.5" customHeight="1">
      <c r="A718" s="24"/>
      <c r="B718" s="22"/>
      <c r="C718" s="23"/>
      <c r="D718" s="21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ht="22.5" customHeight="1">
      <c r="A719" s="24"/>
      <c r="B719" s="22"/>
      <c r="C719" s="23"/>
      <c r="D719" s="21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ht="22.5" customHeight="1">
      <c r="A720" s="24"/>
      <c r="B720" s="22"/>
      <c r="C720" s="23"/>
      <c r="D720" s="21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ht="22.5" customHeight="1">
      <c r="A721" s="24"/>
      <c r="B721" s="22"/>
      <c r="C721" s="23"/>
      <c r="D721" s="21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ht="22.5" customHeight="1">
      <c r="A722" s="24"/>
      <c r="B722" s="22"/>
      <c r="C722" s="23"/>
      <c r="D722" s="21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ht="22.5" customHeight="1">
      <c r="A723" s="24"/>
      <c r="B723" s="22"/>
      <c r="C723" s="23"/>
      <c r="D723" s="21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ht="22.5" customHeight="1">
      <c r="A724" s="24"/>
      <c r="B724" s="22"/>
      <c r="C724" s="23"/>
      <c r="D724" s="21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ht="22.5" customHeight="1">
      <c r="A725" s="24"/>
      <c r="B725" s="22"/>
      <c r="C725" s="23"/>
      <c r="D725" s="21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ht="22.5" customHeight="1">
      <c r="A726" s="24"/>
      <c r="B726" s="22"/>
      <c r="C726" s="23"/>
      <c r="D726" s="21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ht="22.5" customHeight="1">
      <c r="A727" s="24"/>
      <c r="B727" s="22"/>
      <c r="C727" s="23"/>
      <c r="D727" s="21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ht="22.5" customHeight="1">
      <c r="A728" s="24"/>
      <c r="B728" s="22"/>
      <c r="C728" s="23"/>
      <c r="D728" s="21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ht="22.5" customHeight="1">
      <c r="A729" s="24"/>
      <c r="B729" s="22"/>
      <c r="C729" s="23"/>
      <c r="D729" s="21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ht="22.5" customHeight="1">
      <c r="A730" s="24"/>
      <c r="B730" s="22"/>
      <c r="C730" s="23"/>
      <c r="D730" s="21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ht="22.5" customHeight="1">
      <c r="A731" s="24"/>
      <c r="B731" s="22"/>
      <c r="C731" s="23"/>
      <c r="D731" s="21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ht="22.5" customHeight="1">
      <c r="A732" s="24"/>
      <c r="B732" s="22"/>
      <c r="C732" s="23"/>
      <c r="D732" s="21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ht="22.5" customHeight="1">
      <c r="A733" s="24"/>
      <c r="B733" s="22"/>
      <c r="C733" s="23"/>
      <c r="D733" s="21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ht="22.5" customHeight="1">
      <c r="A734" s="24"/>
      <c r="B734" s="22"/>
      <c r="C734" s="23"/>
      <c r="D734" s="21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ht="22.5" customHeight="1">
      <c r="A735" s="24"/>
      <c r="B735" s="22"/>
      <c r="C735" s="23"/>
      <c r="D735" s="21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ht="22.5" customHeight="1">
      <c r="A736" s="24"/>
      <c r="B736" s="22"/>
      <c r="C736" s="23"/>
      <c r="D736" s="21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ht="22.5" customHeight="1">
      <c r="A737" s="24"/>
      <c r="B737" s="22"/>
      <c r="C737" s="23"/>
      <c r="D737" s="21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ht="22.5" customHeight="1">
      <c r="A738" s="24"/>
      <c r="B738" s="22"/>
      <c r="C738" s="23"/>
      <c r="D738" s="21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ht="22.5" customHeight="1">
      <c r="A739" s="24"/>
      <c r="B739" s="22"/>
      <c r="C739" s="23"/>
      <c r="D739" s="21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ht="22.5" customHeight="1">
      <c r="A740" s="24"/>
      <c r="B740" s="22"/>
      <c r="C740" s="23"/>
      <c r="D740" s="21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ht="22.5" customHeight="1">
      <c r="A741" s="24"/>
      <c r="B741" s="22"/>
      <c r="C741" s="23"/>
      <c r="D741" s="21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ht="22.5" customHeight="1">
      <c r="A742" s="24"/>
      <c r="B742" s="22"/>
      <c r="C742" s="23"/>
      <c r="D742" s="21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ht="22.5" customHeight="1">
      <c r="A743" s="24"/>
      <c r="B743" s="22"/>
      <c r="C743" s="23"/>
      <c r="D743" s="21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ht="22.5" customHeight="1">
      <c r="A744" s="24"/>
      <c r="B744" s="22"/>
      <c r="C744" s="23"/>
      <c r="D744" s="21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ht="22.5" customHeight="1">
      <c r="A745" s="24"/>
      <c r="B745" s="22"/>
      <c r="C745" s="23"/>
      <c r="D745" s="21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ht="22.5" customHeight="1">
      <c r="A746" s="24"/>
      <c r="B746" s="22"/>
      <c r="C746" s="23"/>
      <c r="D746" s="21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ht="22.5" customHeight="1">
      <c r="A747" s="24"/>
      <c r="B747" s="22"/>
      <c r="C747" s="23"/>
      <c r="D747" s="21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ht="22.5" customHeight="1">
      <c r="A748" s="24"/>
      <c r="B748" s="22"/>
      <c r="C748" s="23"/>
      <c r="D748" s="21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ht="22.5" customHeight="1">
      <c r="A749" s="24"/>
      <c r="B749" s="22"/>
      <c r="C749" s="23"/>
      <c r="D749" s="21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ht="22.5" customHeight="1">
      <c r="A750" s="24"/>
      <c r="B750" s="22"/>
      <c r="C750" s="23"/>
      <c r="D750" s="21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ht="22.5" customHeight="1">
      <c r="A751" s="24"/>
      <c r="B751" s="22"/>
      <c r="C751" s="23"/>
      <c r="D751" s="21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ht="22.5" customHeight="1">
      <c r="A752" s="24"/>
      <c r="B752" s="22"/>
      <c r="C752" s="23"/>
      <c r="D752" s="21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ht="22.5" customHeight="1">
      <c r="A753" s="24"/>
      <c r="B753" s="22"/>
      <c r="C753" s="23"/>
      <c r="D753" s="21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ht="22.5" customHeight="1">
      <c r="A754" s="24"/>
      <c r="B754" s="22"/>
      <c r="C754" s="23"/>
      <c r="D754" s="21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ht="22.5" customHeight="1">
      <c r="A755" s="24"/>
      <c r="B755" s="22"/>
      <c r="C755" s="23"/>
      <c r="D755" s="21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ht="22.5" customHeight="1">
      <c r="A756" s="24"/>
      <c r="B756" s="22"/>
      <c r="C756" s="23"/>
      <c r="D756" s="21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ht="22.5" customHeight="1">
      <c r="A757" s="24"/>
      <c r="B757" s="22"/>
      <c r="C757" s="23"/>
      <c r="D757" s="21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ht="22.5" customHeight="1">
      <c r="A758" s="24"/>
      <c r="B758" s="22"/>
      <c r="C758" s="23"/>
      <c r="D758" s="21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ht="22.5" customHeight="1">
      <c r="A759" s="24"/>
      <c r="B759" s="22"/>
      <c r="C759" s="23"/>
      <c r="D759" s="21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ht="22.5" customHeight="1">
      <c r="A760" s="24"/>
      <c r="B760" s="22"/>
      <c r="C760" s="23"/>
      <c r="D760" s="21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ht="22.5" customHeight="1">
      <c r="A761" s="24"/>
      <c r="B761" s="22"/>
      <c r="C761" s="23"/>
      <c r="D761" s="21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ht="22.5" customHeight="1">
      <c r="A762" s="24"/>
      <c r="B762" s="22"/>
      <c r="C762" s="23"/>
      <c r="D762" s="21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ht="22.5" customHeight="1">
      <c r="A763" s="24"/>
      <c r="B763" s="22"/>
      <c r="C763" s="23"/>
      <c r="D763" s="21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ht="22.5" customHeight="1">
      <c r="A764" s="24"/>
      <c r="B764" s="22"/>
      <c r="C764" s="23"/>
      <c r="D764" s="21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ht="22.5" customHeight="1">
      <c r="A765" s="24"/>
      <c r="B765" s="22"/>
      <c r="C765" s="23"/>
      <c r="D765" s="21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ht="22.5" customHeight="1">
      <c r="A766" s="24"/>
      <c r="B766" s="22"/>
      <c r="C766" s="23"/>
      <c r="D766" s="21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ht="22.5" customHeight="1">
      <c r="A767" s="24"/>
      <c r="B767" s="22"/>
      <c r="C767" s="23"/>
      <c r="D767" s="21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ht="22.5" customHeight="1">
      <c r="A768" s="24"/>
      <c r="B768" s="22"/>
      <c r="C768" s="23"/>
      <c r="D768" s="21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ht="22.5" customHeight="1">
      <c r="A769" s="24"/>
      <c r="B769" s="22"/>
      <c r="C769" s="23"/>
      <c r="D769" s="21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ht="22.5" customHeight="1">
      <c r="A770" s="24"/>
      <c r="B770" s="22"/>
      <c r="C770" s="23"/>
      <c r="D770" s="21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ht="22.5" customHeight="1">
      <c r="A771" s="24"/>
      <c r="B771" s="22"/>
      <c r="C771" s="23"/>
      <c r="D771" s="21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ht="22.5" customHeight="1">
      <c r="A772" s="24"/>
      <c r="B772" s="22"/>
      <c r="C772" s="23"/>
      <c r="D772" s="21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ht="22.5" customHeight="1">
      <c r="A773" s="24"/>
      <c r="B773" s="22"/>
      <c r="C773" s="23"/>
      <c r="D773" s="21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ht="22.5" customHeight="1">
      <c r="A774" s="24"/>
      <c r="B774" s="22"/>
      <c r="C774" s="23"/>
      <c r="D774" s="21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ht="22.5" customHeight="1">
      <c r="A775" s="24"/>
      <c r="B775" s="22"/>
      <c r="C775" s="23"/>
      <c r="D775" s="21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ht="22.5" customHeight="1">
      <c r="A776" s="24"/>
      <c r="B776" s="22"/>
      <c r="C776" s="23"/>
      <c r="D776" s="21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ht="22.5" customHeight="1">
      <c r="A777" s="24"/>
      <c r="B777" s="22"/>
      <c r="C777" s="23"/>
      <c r="D777" s="21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ht="22.5" customHeight="1">
      <c r="A778" s="24"/>
      <c r="B778" s="22"/>
      <c r="C778" s="23"/>
      <c r="D778" s="21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ht="22.5" customHeight="1">
      <c r="A779" s="24"/>
      <c r="B779" s="22"/>
      <c r="C779" s="23"/>
      <c r="D779" s="21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ht="22.5" customHeight="1">
      <c r="A780" s="24"/>
      <c r="B780" s="22"/>
      <c r="C780" s="23"/>
      <c r="D780" s="21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ht="22.5" customHeight="1">
      <c r="A781" s="24"/>
      <c r="B781" s="22"/>
      <c r="C781" s="23"/>
      <c r="D781" s="21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ht="22.5" customHeight="1">
      <c r="A782" s="24"/>
      <c r="B782" s="22"/>
      <c r="C782" s="23"/>
      <c r="D782" s="21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ht="22.5" customHeight="1">
      <c r="A783" s="24"/>
      <c r="B783" s="22"/>
      <c r="C783" s="23"/>
      <c r="D783" s="21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ht="22.5" customHeight="1">
      <c r="A784" s="24"/>
      <c r="B784" s="22"/>
      <c r="C784" s="23"/>
      <c r="D784" s="21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ht="22.5" customHeight="1">
      <c r="A785" s="24"/>
      <c r="B785" s="22"/>
      <c r="C785" s="23"/>
      <c r="D785" s="21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ht="22.5" customHeight="1">
      <c r="A786" s="24"/>
      <c r="B786" s="22"/>
      <c r="C786" s="23"/>
      <c r="D786" s="21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ht="22.5" customHeight="1">
      <c r="A787" s="24"/>
      <c r="B787" s="22"/>
      <c r="C787" s="23"/>
      <c r="D787" s="21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ht="22.5" customHeight="1">
      <c r="A788" s="24"/>
      <c r="B788" s="22"/>
      <c r="C788" s="23"/>
      <c r="D788" s="21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ht="22.5" customHeight="1">
      <c r="A789" s="24"/>
      <c r="B789" s="22"/>
      <c r="C789" s="23"/>
      <c r="D789" s="21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ht="22.5" customHeight="1">
      <c r="A790" s="24"/>
      <c r="B790" s="22"/>
      <c r="C790" s="23"/>
      <c r="D790" s="21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ht="22.5" customHeight="1">
      <c r="A791" s="24"/>
      <c r="B791" s="22"/>
      <c r="C791" s="23"/>
      <c r="D791" s="21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ht="22.5" customHeight="1">
      <c r="A792" s="24"/>
      <c r="B792" s="22"/>
      <c r="C792" s="23"/>
      <c r="D792" s="21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ht="22.5" customHeight="1">
      <c r="A793" s="24"/>
      <c r="B793" s="22"/>
      <c r="C793" s="23"/>
      <c r="D793" s="21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ht="22.5" customHeight="1">
      <c r="A794" s="24"/>
      <c r="B794" s="22"/>
      <c r="C794" s="23"/>
      <c r="D794" s="21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ht="22.5" customHeight="1">
      <c r="A795" s="24"/>
      <c r="B795" s="22"/>
      <c r="C795" s="23"/>
      <c r="D795" s="21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ht="22.5" customHeight="1">
      <c r="A796" s="24"/>
      <c r="B796" s="22"/>
      <c r="C796" s="23"/>
      <c r="D796" s="21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ht="22.5" customHeight="1">
      <c r="A797" s="24"/>
      <c r="B797" s="22"/>
      <c r="C797" s="23"/>
      <c r="D797" s="21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ht="22.5" customHeight="1">
      <c r="A798" s="24"/>
      <c r="B798" s="22"/>
      <c r="C798" s="23"/>
      <c r="D798" s="21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ht="22.5" customHeight="1">
      <c r="A799" s="24"/>
      <c r="B799" s="22"/>
      <c r="C799" s="23"/>
      <c r="D799" s="21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ht="22.5" customHeight="1">
      <c r="A800" s="24"/>
      <c r="B800" s="22"/>
      <c r="C800" s="23"/>
      <c r="D800" s="21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ht="22.5" customHeight="1">
      <c r="A801" s="24"/>
      <c r="B801" s="22"/>
      <c r="C801" s="23"/>
      <c r="D801" s="21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ht="22.5" customHeight="1">
      <c r="A802" s="24"/>
      <c r="B802" s="22"/>
      <c r="C802" s="23"/>
      <c r="D802" s="21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ht="22.5" customHeight="1">
      <c r="A803" s="24"/>
      <c r="B803" s="22"/>
      <c r="C803" s="23"/>
      <c r="D803" s="21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ht="22.5" customHeight="1">
      <c r="A804" s="24"/>
      <c r="B804" s="22"/>
      <c r="C804" s="23"/>
      <c r="D804" s="21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ht="22.5" customHeight="1">
      <c r="A805" s="24"/>
      <c r="B805" s="22"/>
      <c r="C805" s="23"/>
      <c r="D805" s="21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ht="22.5" customHeight="1">
      <c r="A806" s="24"/>
      <c r="B806" s="22"/>
      <c r="C806" s="23"/>
      <c r="D806" s="21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ht="22.5" customHeight="1">
      <c r="A807" s="24"/>
      <c r="B807" s="22"/>
      <c r="C807" s="23"/>
      <c r="D807" s="21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ht="22.5" customHeight="1">
      <c r="A808" s="24"/>
      <c r="B808" s="22"/>
      <c r="C808" s="23"/>
      <c r="D808" s="21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ht="22.5" customHeight="1">
      <c r="A809" s="24"/>
      <c r="B809" s="22"/>
      <c r="C809" s="23"/>
      <c r="D809" s="21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ht="22.5" customHeight="1">
      <c r="A810" s="24"/>
      <c r="B810" s="22"/>
      <c r="C810" s="23"/>
      <c r="D810" s="21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ht="22.5" customHeight="1">
      <c r="A811" s="24"/>
      <c r="B811" s="22"/>
      <c r="C811" s="23"/>
      <c r="D811" s="21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ht="22.5" customHeight="1">
      <c r="A812" s="24"/>
      <c r="B812" s="22"/>
      <c r="C812" s="23"/>
      <c r="D812" s="21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ht="22.5" customHeight="1">
      <c r="A813" s="24"/>
      <c r="B813" s="22"/>
      <c r="C813" s="23"/>
      <c r="D813" s="21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ht="22.5" customHeight="1">
      <c r="A814" s="24"/>
      <c r="B814" s="22"/>
      <c r="C814" s="23"/>
      <c r="D814" s="21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ht="22.5" customHeight="1">
      <c r="A815" s="24"/>
      <c r="B815" s="22"/>
      <c r="C815" s="23"/>
      <c r="D815" s="21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ht="22.5" customHeight="1">
      <c r="A816" s="24"/>
      <c r="B816" s="22"/>
      <c r="C816" s="23"/>
      <c r="D816" s="21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ht="22.5" customHeight="1">
      <c r="A817" s="24"/>
      <c r="B817" s="22"/>
      <c r="C817" s="23"/>
      <c r="D817" s="21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ht="22.5" customHeight="1">
      <c r="A818" s="24"/>
      <c r="B818" s="22"/>
      <c r="C818" s="23"/>
      <c r="D818" s="21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ht="22.5" customHeight="1">
      <c r="A819" s="24"/>
      <c r="B819" s="22"/>
      <c r="C819" s="23"/>
      <c r="D819" s="21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ht="22.5" customHeight="1">
      <c r="A820" s="24"/>
      <c r="B820" s="22"/>
      <c r="C820" s="23"/>
      <c r="D820" s="21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ht="22.5" customHeight="1">
      <c r="A821" s="24"/>
      <c r="B821" s="22"/>
      <c r="C821" s="23"/>
      <c r="D821" s="21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ht="22.5" customHeight="1">
      <c r="A822" s="24"/>
      <c r="B822" s="22"/>
      <c r="C822" s="23"/>
      <c r="D822" s="21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ht="22.5" customHeight="1">
      <c r="A823" s="24"/>
      <c r="B823" s="22"/>
      <c r="C823" s="23"/>
      <c r="D823" s="21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ht="22.5" customHeight="1">
      <c r="A824" s="24"/>
      <c r="B824" s="22"/>
      <c r="C824" s="23"/>
      <c r="D824" s="21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ht="22.5" customHeight="1">
      <c r="A825" s="24"/>
      <c r="B825" s="22"/>
      <c r="C825" s="23"/>
      <c r="D825" s="21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ht="22.5" customHeight="1">
      <c r="A826" s="24"/>
      <c r="B826" s="22"/>
      <c r="C826" s="23"/>
      <c r="D826" s="21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ht="22.5" customHeight="1">
      <c r="A827" s="24"/>
      <c r="B827" s="22"/>
      <c r="C827" s="23"/>
      <c r="D827" s="21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ht="22.5" customHeight="1">
      <c r="A828" s="24"/>
      <c r="B828" s="22"/>
      <c r="C828" s="23"/>
      <c r="D828" s="21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ht="22.5" customHeight="1">
      <c r="A829" s="24"/>
      <c r="B829" s="22"/>
      <c r="C829" s="23"/>
      <c r="D829" s="21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ht="22.5" customHeight="1">
      <c r="A830" s="24"/>
      <c r="B830" s="22"/>
      <c r="C830" s="23"/>
      <c r="D830" s="21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ht="22.5" customHeight="1">
      <c r="A831" s="24"/>
      <c r="B831" s="22"/>
      <c r="C831" s="23"/>
      <c r="D831" s="21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ht="22.5" customHeight="1">
      <c r="A832" s="24"/>
      <c r="B832" s="22"/>
      <c r="C832" s="23"/>
      <c r="D832" s="21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ht="22.5" customHeight="1">
      <c r="A833" s="24"/>
      <c r="B833" s="22"/>
      <c r="C833" s="23"/>
      <c r="D833" s="21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ht="22.5" customHeight="1">
      <c r="A834" s="24"/>
      <c r="B834" s="22"/>
      <c r="C834" s="23"/>
      <c r="D834" s="21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ht="22.5" customHeight="1">
      <c r="A835" s="24"/>
      <c r="B835" s="22"/>
      <c r="C835" s="23"/>
      <c r="D835" s="21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ht="22.5" customHeight="1">
      <c r="A836" s="24"/>
      <c r="B836" s="22"/>
      <c r="C836" s="23"/>
      <c r="D836" s="21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ht="22.5" customHeight="1">
      <c r="A837" s="24"/>
      <c r="B837" s="22"/>
      <c r="C837" s="23"/>
      <c r="D837" s="21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ht="22.5" customHeight="1">
      <c r="A838" s="24"/>
      <c r="B838" s="22"/>
      <c r="C838" s="23"/>
      <c r="D838" s="21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ht="22.5" customHeight="1">
      <c r="A839" s="24"/>
      <c r="B839" s="22"/>
      <c r="C839" s="23"/>
      <c r="D839" s="21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ht="22.5" customHeight="1">
      <c r="A840" s="24"/>
      <c r="B840" s="22"/>
      <c r="C840" s="23"/>
      <c r="D840" s="21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ht="22.5" customHeight="1">
      <c r="A841" s="24"/>
      <c r="B841" s="22"/>
      <c r="C841" s="23"/>
      <c r="D841" s="21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ht="22.5" customHeight="1">
      <c r="A842" s="24"/>
      <c r="B842" s="22"/>
      <c r="C842" s="23"/>
      <c r="D842" s="21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ht="22.5" customHeight="1">
      <c r="A843" s="24"/>
      <c r="B843" s="22"/>
      <c r="C843" s="23"/>
      <c r="D843" s="21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ht="22.5" customHeight="1">
      <c r="A844" s="24"/>
      <c r="B844" s="22"/>
      <c r="C844" s="23"/>
      <c r="D844" s="21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ht="22.5" customHeight="1">
      <c r="A845" s="24"/>
      <c r="B845" s="22"/>
      <c r="C845" s="23"/>
      <c r="D845" s="21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ht="22.5" customHeight="1">
      <c r="A846" s="24"/>
      <c r="B846" s="22"/>
      <c r="C846" s="23"/>
      <c r="D846" s="21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ht="22.5" customHeight="1">
      <c r="A847" s="24"/>
      <c r="B847" s="22"/>
      <c r="C847" s="23"/>
      <c r="D847" s="21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ht="22.5" customHeight="1">
      <c r="A848" s="24"/>
      <c r="B848" s="22"/>
      <c r="C848" s="23"/>
      <c r="D848" s="21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ht="22.5" customHeight="1">
      <c r="A849" s="24"/>
      <c r="B849" s="22"/>
      <c r="C849" s="23"/>
      <c r="D849" s="21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ht="22.5" customHeight="1">
      <c r="A850" s="24"/>
      <c r="B850" s="22"/>
      <c r="C850" s="23"/>
      <c r="D850" s="21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ht="22.5" customHeight="1">
      <c r="A851" s="24"/>
      <c r="B851" s="22"/>
      <c r="C851" s="23"/>
      <c r="D851" s="21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ht="22.5" customHeight="1">
      <c r="A852" s="24"/>
      <c r="B852" s="22"/>
      <c r="C852" s="23"/>
      <c r="D852" s="21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ht="22.5" customHeight="1">
      <c r="A853" s="24"/>
      <c r="B853" s="22"/>
      <c r="C853" s="23"/>
      <c r="D853" s="21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ht="22.5" customHeight="1">
      <c r="A854" s="24"/>
      <c r="B854" s="22"/>
      <c r="C854" s="23"/>
      <c r="D854" s="21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ht="22.5" customHeight="1">
      <c r="A855" s="24"/>
      <c r="B855" s="22"/>
      <c r="C855" s="23"/>
      <c r="D855" s="21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ht="22.5" customHeight="1">
      <c r="A856" s="24"/>
      <c r="B856" s="22"/>
      <c r="C856" s="23"/>
      <c r="D856" s="21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ht="22.5" customHeight="1">
      <c r="A857" s="24"/>
      <c r="B857" s="22"/>
      <c r="C857" s="23"/>
      <c r="D857" s="21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ht="22.5" customHeight="1">
      <c r="A858" s="24"/>
      <c r="B858" s="22"/>
      <c r="C858" s="23"/>
      <c r="D858" s="21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ht="22.5" customHeight="1">
      <c r="A859" s="24"/>
      <c r="B859" s="22"/>
      <c r="C859" s="23"/>
      <c r="D859" s="21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ht="22.5" customHeight="1">
      <c r="A860" s="24"/>
      <c r="B860" s="22"/>
      <c r="C860" s="23"/>
      <c r="D860" s="21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ht="22.5" customHeight="1">
      <c r="A861" s="24"/>
      <c r="B861" s="22"/>
      <c r="C861" s="23"/>
      <c r="D861" s="21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ht="22.5" customHeight="1">
      <c r="A862" s="24"/>
      <c r="B862" s="22"/>
      <c r="C862" s="23"/>
      <c r="D862" s="21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ht="22.5" customHeight="1">
      <c r="A863" s="24"/>
      <c r="B863" s="22"/>
      <c r="C863" s="23"/>
      <c r="D863" s="21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ht="22.5" customHeight="1">
      <c r="A864" s="24"/>
      <c r="B864" s="22"/>
      <c r="C864" s="23"/>
      <c r="D864" s="21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ht="22.5" customHeight="1">
      <c r="A865" s="24"/>
      <c r="B865" s="22"/>
      <c r="C865" s="23"/>
      <c r="D865" s="21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ht="22.5" customHeight="1">
      <c r="A866" s="24"/>
      <c r="B866" s="22"/>
      <c r="C866" s="23"/>
      <c r="D866" s="21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ht="22.5" customHeight="1">
      <c r="A867" s="24"/>
      <c r="B867" s="22"/>
      <c r="C867" s="23"/>
      <c r="D867" s="21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ht="22.5" customHeight="1">
      <c r="A868" s="24"/>
      <c r="B868" s="22"/>
      <c r="C868" s="23"/>
      <c r="D868" s="21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ht="22.5" customHeight="1">
      <c r="A869" s="24"/>
      <c r="B869" s="22"/>
      <c r="C869" s="23"/>
      <c r="D869" s="21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ht="22.5" customHeight="1">
      <c r="A870" s="24"/>
      <c r="B870" s="22"/>
      <c r="C870" s="23"/>
      <c r="D870" s="21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ht="22.5" customHeight="1">
      <c r="A871" s="24"/>
      <c r="B871" s="22"/>
      <c r="C871" s="23"/>
      <c r="D871" s="21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ht="22.5" customHeight="1">
      <c r="A872" s="24"/>
      <c r="B872" s="22"/>
      <c r="C872" s="23"/>
      <c r="D872" s="21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ht="22.5" customHeight="1">
      <c r="A873" s="24"/>
      <c r="B873" s="22"/>
      <c r="C873" s="23"/>
      <c r="D873" s="21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ht="22.5" customHeight="1">
      <c r="A874" s="24"/>
      <c r="B874" s="22"/>
      <c r="C874" s="23"/>
      <c r="D874" s="21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ht="22.5" customHeight="1">
      <c r="A875" s="24"/>
      <c r="B875" s="22"/>
      <c r="C875" s="23"/>
      <c r="D875" s="21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ht="22.5" customHeight="1">
      <c r="A876" s="24"/>
      <c r="B876" s="22"/>
      <c r="C876" s="23"/>
      <c r="D876" s="21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ht="22.5" customHeight="1">
      <c r="A877" s="24"/>
      <c r="B877" s="22"/>
      <c r="C877" s="23"/>
      <c r="D877" s="21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ht="22.5" customHeight="1">
      <c r="A878" s="24"/>
      <c r="B878" s="22"/>
      <c r="C878" s="23"/>
      <c r="D878" s="21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ht="22.5" customHeight="1">
      <c r="A879" s="24"/>
      <c r="B879" s="22"/>
      <c r="C879" s="23"/>
      <c r="D879" s="21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ht="22.5" customHeight="1">
      <c r="A880" s="24"/>
      <c r="B880" s="22"/>
      <c r="C880" s="23"/>
      <c r="D880" s="21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ht="22.5" customHeight="1">
      <c r="A881" s="24"/>
      <c r="B881" s="22"/>
      <c r="C881" s="23"/>
      <c r="D881" s="21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ht="22.5" customHeight="1">
      <c r="A882" s="24"/>
      <c r="B882" s="22"/>
      <c r="C882" s="23"/>
      <c r="D882" s="21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ht="22.5" customHeight="1">
      <c r="A883" s="24"/>
      <c r="B883" s="22"/>
      <c r="C883" s="23"/>
      <c r="D883" s="21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ht="22.5" customHeight="1">
      <c r="A884" s="24"/>
      <c r="B884" s="22"/>
      <c r="C884" s="23"/>
      <c r="D884" s="21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ht="22.5" customHeight="1">
      <c r="A885" s="24"/>
      <c r="B885" s="22"/>
      <c r="C885" s="23"/>
      <c r="D885" s="21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ht="22.5" customHeight="1">
      <c r="A886" s="24"/>
      <c r="B886" s="22"/>
      <c r="C886" s="23"/>
      <c r="D886" s="21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ht="22.5" customHeight="1">
      <c r="A887" s="24"/>
      <c r="B887" s="22"/>
      <c r="C887" s="23"/>
      <c r="D887" s="21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ht="22.5" customHeight="1">
      <c r="A888" s="24"/>
      <c r="B888" s="22"/>
      <c r="C888" s="23"/>
      <c r="D888" s="21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ht="22.5" customHeight="1">
      <c r="A889" s="24"/>
      <c r="B889" s="22"/>
      <c r="C889" s="23"/>
      <c r="D889" s="21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ht="22.5" customHeight="1">
      <c r="A890" s="24"/>
      <c r="B890" s="22"/>
      <c r="C890" s="23"/>
      <c r="D890" s="21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ht="22.5" customHeight="1">
      <c r="A891" s="24"/>
      <c r="B891" s="22"/>
      <c r="C891" s="23"/>
      <c r="D891" s="21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ht="22.5" customHeight="1">
      <c r="A892" s="24"/>
      <c r="B892" s="22"/>
      <c r="C892" s="23"/>
      <c r="D892" s="21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ht="22.5" customHeight="1">
      <c r="A893" s="24"/>
      <c r="B893" s="22"/>
      <c r="C893" s="23"/>
      <c r="D893" s="21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ht="22.5" customHeight="1">
      <c r="A894" s="24"/>
      <c r="B894" s="22"/>
      <c r="C894" s="23"/>
      <c r="D894" s="21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ht="22.5" customHeight="1">
      <c r="A895" s="24"/>
      <c r="B895" s="22"/>
      <c r="C895" s="23"/>
      <c r="D895" s="21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ht="22.5" customHeight="1">
      <c r="A896" s="24"/>
      <c r="B896" s="22"/>
      <c r="C896" s="23"/>
      <c r="D896" s="21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ht="22.5" customHeight="1">
      <c r="A897" s="24"/>
      <c r="B897" s="22"/>
      <c r="C897" s="23"/>
      <c r="D897" s="21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ht="22.5" customHeight="1">
      <c r="A898" s="24"/>
      <c r="B898" s="22"/>
      <c r="C898" s="23"/>
      <c r="D898" s="21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ht="22.5" customHeight="1">
      <c r="A899" s="24"/>
      <c r="B899" s="22"/>
      <c r="C899" s="23"/>
      <c r="D899" s="21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ht="22.5" customHeight="1">
      <c r="A900" s="24"/>
      <c r="B900" s="22"/>
      <c r="C900" s="23"/>
      <c r="D900" s="21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ht="22.5" customHeight="1">
      <c r="A901" s="24"/>
      <c r="B901" s="22"/>
      <c r="C901" s="23"/>
      <c r="D901" s="21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ht="22.5" customHeight="1">
      <c r="A902" s="24"/>
      <c r="B902" s="22"/>
      <c r="C902" s="23"/>
      <c r="D902" s="21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ht="22.5" customHeight="1">
      <c r="A903" s="24"/>
      <c r="B903" s="22"/>
      <c r="C903" s="23"/>
      <c r="D903" s="21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ht="22.5" customHeight="1">
      <c r="A904" s="24"/>
      <c r="B904" s="22"/>
      <c r="C904" s="23"/>
      <c r="D904" s="21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ht="22.5" customHeight="1">
      <c r="A905" s="24"/>
      <c r="B905" s="22"/>
      <c r="C905" s="23"/>
      <c r="D905" s="21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ht="22.5" customHeight="1">
      <c r="A906" s="24"/>
      <c r="B906" s="22"/>
      <c r="C906" s="23"/>
      <c r="D906" s="21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ht="22.5" customHeight="1">
      <c r="A907" s="24"/>
      <c r="B907" s="22"/>
      <c r="C907" s="23"/>
      <c r="D907" s="21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ht="22.5" customHeight="1">
      <c r="A908" s="24"/>
      <c r="B908" s="22"/>
      <c r="C908" s="23"/>
      <c r="D908" s="21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ht="22.5" customHeight="1">
      <c r="A909" s="24"/>
      <c r="B909" s="22"/>
      <c r="C909" s="23"/>
      <c r="D909" s="21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ht="22.5" customHeight="1">
      <c r="A910" s="24"/>
      <c r="B910" s="22"/>
      <c r="C910" s="23"/>
      <c r="D910" s="21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ht="22.5" customHeight="1">
      <c r="A911" s="24"/>
      <c r="B911" s="22"/>
      <c r="C911" s="23"/>
      <c r="D911" s="21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ht="22.5" customHeight="1">
      <c r="A912" s="24"/>
      <c r="B912" s="22"/>
      <c r="C912" s="23"/>
      <c r="D912" s="21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ht="22.5" customHeight="1">
      <c r="A913" s="24"/>
      <c r="B913" s="22"/>
      <c r="C913" s="23"/>
      <c r="D913" s="21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ht="22.5" customHeight="1">
      <c r="A914" s="24"/>
      <c r="B914" s="22"/>
      <c r="C914" s="23"/>
      <c r="D914" s="21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ht="22.5" customHeight="1">
      <c r="A915" s="24"/>
      <c r="B915" s="22"/>
      <c r="C915" s="23"/>
      <c r="D915" s="21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ht="22.5" customHeight="1">
      <c r="A916" s="24"/>
      <c r="B916" s="22"/>
      <c r="C916" s="23"/>
      <c r="D916" s="21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ht="22.5" customHeight="1">
      <c r="A917" s="24"/>
      <c r="B917" s="22"/>
      <c r="C917" s="23"/>
      <c r="D917" s="21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ht="22.5" customHeight="1">
      <c r="A918" s="24"/>
      <c r="B918" s="22"/>
      <c r="C918" s="23"/>
      <c r="D918" s="21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ht="22.5" customHeight="1">
      <c r="A919" s="24"/>
      <c r="B919" s="22"/>
      <c r="C919" s="23"/>
      <c r="D919" s="21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ht="22.5" customHeight="1">
      <c r="A920" s="24"/>
      <c r="B920" s="22"/>
      <c r="C920" s="23"/>
      <c r="D920" s="21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ht="22.5" customHeight="1">
      <c r="A921" s="24"/>
      <c r="B921" s="22"/>
      <c r="C921" s="23"/>
      <c r="D921" s="21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ht="22.5" customHeight="1">
      <c r="A922" s="24"/>
      <c r="B922" s="22"/>
      <c r="C922" s="23"/>
      <c r="D922" s="21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ht="22.5" customHeight="1">
      <c r="A923" s="24"/>
      <c r="B923" s="22"/>
      <c r="C923" s="23"/>
      <c r="D923" s="21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ht="22.5" customHeight="1">
      <c r="A924" s="24"/>
      <c r="B924" s="22"/>
      <c r="C924" s="23"/>
      <c r="D924" s="21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ht="22.5" customHeight="1">
      <c r="A925" s="24"/>
      <c r="B925" s="22"/>
      <c r="C925" s="23"/>
      <c r="D925" s="21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ht="22.5" customHeight="1">
      <c r="A926" s="24"/>
      <c r="B926" s="22"/>
      <c r="C926" s="23"/>
      <c r="D926" s="21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ht="22.5" customHeight="1">
      <c r="A927" s="24"/>
      <c r="B927" s="22"/>
      <c r="C927" s="23"/>
      <c r="D927" s="21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ht="22.5" customHeight="1">
      <c r="A928" s="24"/>
      <c r="B928" s="22"/>
      <c r="C928" s="23"/>
      <c r="D928" s="21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ht="22.5" customHeight="1">
      <c r="A929" s="24"/>
      <c r="B929" s="22"/>
      <c r="C929" s="23"/>
      <c r="D929" s="21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ht="22.5" customHeight="1">
      <c r="A930" s="24"/>
      <c r="B930" s="22"/>
      <c r="C930" s="23"/>
      <c r="D930" s="21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ht="22.5" customHeight="1">
      <c r="A931" s="24"/>
      <c r="B931" s="22"/>
      <c r="C931" s="23"/>
      <c r="D931" s="21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ht="22.5" customHeight="1">
      <c r="A932" s="24"/>
      <c r="B932" s="22"/>
      <c r="C932" s="23"/>
      <c r="D932" s="21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ht="22.5" customHeight="1">
      <c r="A933" s="24"/>
      <c r="B933" s="22"/>
      <c r="C933" s="23"/>
      <c r="D933" s="21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ht="22.5" customHeight="1">
      <c r="A934" s="24"/>
      <c r="B934" s="22"/>
      <c r="C934" s="23"/>
      <c r="D934" s="21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ht="22.5" customHeight="1">
      <c r="A935" s="24"/>
      <c r="B935" s="22"/>
      <c r="C935" s="23"/>
      <c r="D935" s="21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ht="22.5" customHeight="1">
      <c r="A936" s="24"/>
      <c r="B936" s="22"/>
      <c r="C936" s="23"/>
      <c r="D936" s="21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ht="22.5" customHeight="1">
      <c r="A937" s="24"/>
      <c r="B937" s="22"/>
      <c r="C937" s="23"/>
      <c r="D937" s="21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ht="22.5" customHeight="1">
      <c r="A938" s="24"/>
      <c r="B938" s="22"/>
      <c r="C938" s="23"/>
      <c r="D938" s="21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ht="22.5" customHeight="1">
      <c r="A939" s="24"/>
      <c r="B939" s="22"/>
      <c r="C939" s="23"/>
      <c r="D939" s="21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ht="22.5" customHeight="1">
      <c r="A940" s="24"/>
      <c r="B940" s="22"/>
      <c r="C940" s="23"/>
      <c r="D940" s="21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ht="22.5" customHeight="1">
      <c r="A941" s="24"/>
      <c r="B941" s="22"/>
      <c r="C941" s="23"/>
      <c r="D941" s="21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ht="22.5" customHeight="1">
      <c r="A942" s="24"/>
      <c r="B942" s="22"/>
      <c r="C942" s="23"/>
      <c r="D942" s="21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ht="22.5" customHeight="1">
      <c r="A943" s="24"/>
      <c r="B943" s="22"/>
      <c r="C943" s="23"/>
      <c r="D943" s="21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ht="22.5" customHeight="1">
      <c r="A944" s="24"/>
      <c r="B944" s="22"/>
      <c r="C944" s="23"/>
      <c r="D944" s="21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ht="22.5" customHeight="1">
      <c r="A945" s="24"/>
      <c r="B945" s="22"/>
      <c r="C945" s="23"/>
      <c r="D945" s="21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ht="22.5" customHeight="1">
      <c r="A946" s="24"/>
      <c r="B946" s="22"/>
      <c r="C946" s="23"/>
      <c r="D946" s="21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ht="22.5" customHeight="1">
      <c r="A947" s="24"/>
      <c r="B947" s="22"/>
      <c r="C947" s="23"/>
      <c r="D947" s="21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ht="22.5" customHeight="1">
      <c r="A948" s="24"/>
      <c r="B948" s="22"/>
      <c r="C948" s="23"/>
      <c r="D948" s="21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ht="22.5" customHeight="1">
      <c r="A949" s="24"/>
      <c r="B949" s="22"/>
      <c r="C949" s="23"/>
      <c r="D949" s="21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ht="22.5" customHeight="1">
      <c r="A950" s="24"/>
      <c r="B950" s="22"/>
      <c r="C950" s="23"/>
      <c r="D950" s="21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ht="22.5" customHeight="1">
      <c r="A951" s="24"/>
      <c r="B951" s="22"/>
      <c r="C951" s="23"/>
      <c r="D951" s="21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ht="22.5" customHeight="1">
      <c r="A952" s="24"/>
      <c r="B952" s="22"/>
      <c r="C952" s="23"/>
      <c r="D952" s="21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ht="22.5" customHeight="1">
      <c r="A953" s="24"/>
      <c r="B953" s="22"/>
      <c r="C953" s="23"/>
      <c r="D953" s="21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ht="22.5" customHeight="1">
      <c r="A954" s="24"/>
      <c r="B954" s="22"/>
      <c r="C954" s="23"/>
      <c r="D954" s="21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ht="22.5" customHeight="1">
      <c r="A955" s="24"/>
      <c r="B955" s="22"/>
      <c r="C955" s="23"/>
      <c r="D955" s="21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ht="22.5" customHeight="1">
      <c r="A956" s="24"/>
      <c r="B956" s="22"/>
      <c r="C956" s="23"/>
      <c r="D956" s="21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ht="22.5" customHeight="1">
      <c r="A957" s="24"/>
      <c r="B957" s="22"/>
      <c r="C957" s="23"/>
      <c r="D957" s="21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ht="22.5" customHeight="1">
      <c r="A958" s="24"/>
      <c r="B958" s="22"/>
      <c r="C958" s="23"/>
      <c r="D958" s="21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ht="22.5" customHeight="1">
      <c r="A959" s="24"/>
      <c r="B959" s="22"/>
      <c r="C959" s="23"/>
      <c r="D959" s="21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ht="22.5" customHeight="1">
      <c r="A960" s="24"/>
      <c r="B960" s="22"/>
      <c r="C960" s="23"/>
      <c r="D960" s="21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ht="22.5" customHeight="1">
      <c r="A961" s="24"/>
      <c r="B961" s="22"/>
      <c r="C961" s="23"/>
      <c r="D961" s="21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ht="22.5" customHeight="1">
      <c r="A962" s="24"/>
      <c r="B962" s="22"/>
      <c r="C962" s="23"/>
      <c r="D962" s="21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ht="22.5" customHeight="1">
      <c r="A963" s="24"/>
      <c r="B963" s="22"/>
      <c r="C963" s="23"/>
      <c r="D963" s="21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ht="22.5" customHeight="1">
      <c r="A964" s="24"/>
      <c r="B964" s="22"/>
      <c r="C964" s="23"/>
      <c r="D964" s="21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ht="22.5" customHeight="1">
      <c r="A965" s="24"/>
      <c r="B965" s="22"/>
      <c r="C965" s="23"/>
      <c r="D965" s="21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ht="22.5" customHeight="1">
      <c r="A966" s="24"/>
      <c r="B966" s="22"/>
      <c r="C966" s="23"/>
      <c r="D966" s="21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ht="22.5" customHeight="1">
      <c r="A967" s="24"/>
      <c r="B967" s="22"/>
      <c r="C967" s="23"/>
      <c r="D967" s="21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ht="22.5" customHeight="1">
      <c r="A968" s="24"/>
      <c r="B968" s="22"/>
      <c r="C968" s="23"/>
      <c r="D968" s="21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ht="22.5" customHeight="1">
      <c r="A969" s="24"/>
      <c r="B969" s="22"/>
      <c r="C969" s="23"/>
      <c r="D969" s="21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ht="22.5" customHeight="1">
      <c r="A970" s="24"/>
      <c r="B970" s="22"/>
      <c r="C970" s="23"/>
      <c r="D970" s="21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ht="22.5" customHeight="1">
      <c r="A971" s="24"/>
      <c r="B971" s="22"/>
      <c r="C971" s="23"/>
      <c r="D971" s="21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ht="22.5" customHeight="1">
      <c r="A972" s="24"/>
      <c r="B972" s="22"/>
      <c r="C972" s="23"/>
      <c r="D972" s="21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ht="22.5" customHeight="1">
      <c r="A973" s="24"/>
      <c r="B973" s="22"/>
      <c r="C973" s="23"/>
      <c r="D973" s="21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ht="22.5" customHeight="1">
      <c r="A974" s="24"/>
      <c r="B974" s="22"/>
      <c r="C974" s="23"/>
      <c r="D974" s="21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ht="22.5" customHeight="1">
      <c r="A975" s="24"/>
      <c r="B975" s="22"/>
      <c r="C975" s="23"/>
      <c r="D975" s="21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ht="22.5" customHeight="1">
      <c r="A976" s="24"/>
      <c r="B976" s="22"/>
      <c r="C976" s="23"/>
      <c r="D976" s="21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ht="22.5" customHeight="1">
      <c r="A977" s="24"/>
      <c r="B977" s="22"/>
      <c r="C977" s="23"/>
      <c r="D977" s="21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ht="22.5" customHeight="1">
      <c r="A978" s="24"/>
      <c r="B978" s="22"/>
      <c r="C978" s="23"/>
      <c r="D978" s="21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ht="22.5" customHeight="1">
      <c r="A979" s="24"/>
      <c r="B979" s="22"/>
      <c r="C979" s="23"/>
      <c r="D979" s="21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ht="22.5" customHeight="1">
      <c r="A980" s="24"/>
      <c r="B980" s="22"/>
      <c r="C980" s="23"/>
      <c r="D980" s="21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ht="22.5" customHeight="1">
      <c r="A981" s="24"/>
      <c r="B981" s="22"/>
      <c r="C981" s="23"/>
      <c r="D981" s="21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ht="22.5" customHeight="1">
      <c r="A982" s="24"/>
      <c r="B982" s="22"/>
      <c r="C982" s="23"/>
      <c r="D982" s="21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ht="22.5" customHeight="1">
      <c r="A983" s="24"/>
      <c r="B983" s="22"/>
      <c r="C983" s="23"/>
      <c r="D983" s="21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ht="22.5" customHeight="1">
      <c r="A984" s="24"/>
      <c r="B984" s="22"/>
      <c r="C984" s="23"/>
      <c r="D984" s="21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ht="22.5" customHeight="1">
      <c r="A985" s="24"/>
      <c r="B985" s="22"/>
      <c r="C985" s="23"/>
      <c r="D985" s="21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ht="22.5" customHeight="1">
      <c r="A986" s="24"/>
      <c r="B986" s="22"/>
      <c r="C986" s="23"/>
      <c r="D986" s="21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ht="22.5" customHeight="1">
      <c r="A987" s="24"/>
      <c r="B987" s="22"/>
      <c r="C987" s="23"/>
      <c r="D987" s="21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ht="22.5" customHeight="1">
      <c r="A988" s="24"/>
      <c r="B988" s="22"/>
      <c r="C988" s="23"/>
      <c r="D988" s="21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ht="22.5" customHeight="1">
      <c r="A989" s="24"/>
      <c r="B989" s="22"/>
      <c r="C989" s="23"/>
      <c r="D989" s="21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ht="22.5" customHeight="1">
      <c r="A990" s="24"/>
      <c r="B990" s="22"/>
      <c r="C990" s="23"/>
      <c r="D990" s="21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ht="22.5" customHeight="1">
      <c r="A991" s="24"/>
      <c r="B991" s="22"/>
      <c r="C991" s="23"/>
      <c r="D991" s="21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ht="22.5" customHeight="1">
      <c r="A992" s="24"/>
      <c r="B992" s="22"/>
      <c r="C992" s="23"/>
      <c r="D992" s="21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ht="22.5" customHeight="1">
      <c r="A993" s="24"/>
      <c r="B993" s="22"/>
      <c r="C993" s="23"/>
      <c r="D993" s="21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ht="22.5" customHeight="1">
      <c r="A994" s="24"/>
      <c r="B994" s="22"/>
      <c r="C994" s="23"/>
      <c r="D994" s="21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ht="22.5" customHeight="1">
      <c r="A995" s="24"/>
      <c r="B995" s="22"/>
      <c r="C995" s="23"/>
      <c r="D995" s="21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ht="22.5" customHeight="1">
      <c r="A996" s="24"/>
      <c r="B996" s="22"/>
      <c r="C996" s="23"/>
      <c r="D996" s="21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ht="22.5" customHeight="1">
      <c r="A997" s="24"/>
      <c r="B997" s="22"/>
      <c r="C997" s="23"/>
      <c r="D997" s="21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ht="22.5" customHeight="1">
      <c r="A998" s="24"/>
      <c r="B998" s="22"/>
      <c r="C998" s="23"/>
      <c r="D998" s="21"/>
      <c r="E998" s="21"/>
      <c r="F998" s="21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ht="22.5" customHeight="1">
      <c r="A999" s="24"/>
      <c r="B999" s="22"/>
      <c r="C999" s="23"/>
      <c r="D999" s="21"/>
      <c r="E999" s="21"/>
      <c r="F999" s="21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ht="22.5" customHeight="1">
      <c r="A1000" s="24"/>
      <c r="B1000" s="22"/>
      <c r="C1000" s="23"/>
      <c r="D1000" s="21"/>
      <c r="E1000" s="21"/>
      <c r="F1000" s="21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conditionalFormatting sqref="E2:F81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81">
      <formula1>0.0</formula1>
    </dataValidation>
    <dataValidation type="list" allowBlank="1" sqref="C2:C1000">
      <formula1>"BADGE,NORMAL,TEAM"</formula1>
    </dataValidation>
    <dataValidation allowBlank="1" showDropDown="1" sqref="A2:A1000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4" max="4" width="17.5"/>
    <col customWidth="1" min="5" max="6" width="16.75"/>
  </cols>
  <sheetData>
    <row r="1" ht="22.5" customHeight="1">
      <c r="A1" s="9" t="s">
        <v>7</v>
      </c>
      <c r="B1" s="10" t="s">
        <v>13</v>
      </c>
      <c r="C1" s="9" t="s">
        <v>9</v>
      </c>
      <c r="D1" s="9" t="s">
        <v>10</v>
      </c>
      <c r="E1" s="10" t="s">
        <v>11</v>
      </c>
      <c r="F1" s="9" t="s">
        <v>12</v>
      </c>
    </row>
    <row r="2" ht="22.5" customHeight="1">
      <c r="A2" s="11" t="s">
        <v>1975</v>
      </c>
      <c r="B2" s="12" t="s">
        <v>1976</v>
      </c>
      <c r="C2" s="12" t="s">
        <v>16</v>
      </c>
      <c r="D2" s="12" t="s">
        <v>1977</v>
      </c>
      <c r="E2" s="13">
        <v>0.0</v>
      </c>
      <c r="F2" s="13">
        <v>0.0</v>
      </c>
    </row>
    <row r="3" ht="22.5" customHeight="1">
      <c r="A3" s="11" t="s">
        <v>1978</v>
      </c>
      <c r="B3" s="12" t="s">
        <v>1976</v>
      </c>
      <c r="C3" s="12" t="s">
        <v>16</v>
      </c>
      <c r="D3" s="12" t="s">
        <v>1979</v>
      </c>
      <c r="E3" s="13">
        <v>0.0</v>
      </c>
      <c r="F3" s="13">
        <v>0.0</v>
      </c>
    </row>
    <row r="4" ht="22.5" customHeight="1">
      <c r="A4" s="11" t="s">
        <v>1980</v>
      </c>
      <c r="B4" s="12" t="s">
        <v>1976</v>
      </c>
      <c r="C4" s="12" t="s">
        <v>16</v>
      </c>
      <c r="D4" s="12" t="s">
        <v>1981</v>
      </c>
      <c r="E4" s="13">
        <v>0.0</v>
      </c>
      <c r="F4" s="13">
        <v>0.0</v>
      </c>
    </row>
    <row r="5" ht="22.5" customHeight="1">
      <c r="A5" s="11" t="s">
        <v>1982</v>
      </c>
      <c r="B5" s="12" t="s">
        <v>1976</v>
      </c>
      <c r="C5" s="12" t="s">
        <v>16</v>
      </c>
      <c r="D5" s="12" t="s">
        <v>1983</v>
      </c>
      <c r="E5" s="13">
        <v>0.0</v>
      </c>
      <c r="F5" s="13">
        <v>0.0</v>
      </c>
    </row>
    <row r="6" ht="22.5" customHeight="1">
      <c r="A6" s="11" t="s">
        <v>1984</v>
      </c>
      <c r="B6" s="12" t="s">
        <v>1976</v>
      </c>
      <c r="C6" s="12" t="s">
        <v>16</v>
      </c>
      <c r="D6" s="12" t="s">
        <v>1985</v>
      </c>
      <c r="E6" s="13">
        <v>0.0</v>
      </c>
      <c r="F6" s="13">
        <v>0.0</v>
      </c>
    </row>
    <row r="7" ht="22.5" customHeight="1">
      <c r="A7" s="11" t="s">
        <v>1986</v>
      </c>
      <c r="B7" s="12" t="s">
        <v>1976</v>
      </c>
      <c r="C7" s="12" t="s">
        <v>16</v>
      </c>
      <c r="D7" s="12" t="s">
        <v>1987</v>
      </c>
      <c r="E7" s="13">
        <v>0.0</v>
      </c>
      <c r="F7" s="13">
        <v>0.0</v>
      </c>
    </row>
    <row r="8" ht="22.5" customHeight="1">
      <c r="A8" s="11" t="s">
        <v>1988</v>
      </c>
      <c r="B8" s="12" t="s">
        <v>1976</v>
      </c>
      <c r="C8" s="12" t="s">
        <v>16</v>
      </c>
      <c r="D8" s="12" t="s">
        <v>1989</v>
      </c>
      <c r="E8" s="13">
        <v>0.0</v>
      </c>
      <c r="F8" s="13">
        <v>0.0</v>
      </c>
    </row>
    <row r="9" ht="22.5" customHeight="1">
      <c r="A9" s="11" t="s">
        <v>1990</v>
      </c>
      <c r="B9" s="12" t="s">
        <v>1976</v>
      </c>
      <c r="C9" s="12" t="s">
        <v>16</v>
      </c>
      <c r="D9" s="12" t="s">
        <v>1991</v>
      </c>
      <c r="E9" s="13">
        <v>0.0</v>
      </c>
      <c r="F9" s="13">
        <v>0.0</v>
      </c>
    </row>
    <row r="10" ht="22.5" customHeight="1">
      <c r="A10" s="11" t="s">
        <v>1992</v>
      </c>
      <c r="B10" s="12" t="s">
        <v>1976</v>
      </c>
      <c r="C10" s="12" t="s">
        <v>16</v>
      </c>
      <c r="D10" s="12" t="s">
        <v>1993</v>
      </c>
      <c r="E10" s="13">
        <v>0.0</v>
      </c>
      <c r="F10" s="13">
        <v>0.0</v>
      </c>
    </row>
    <row r="11" ht="22.5" customHeight="1">
      <c r="A11" s="11" t="s">
        <v>1994</v>
      </c>
      <c r="B11" s="12" t="s">
        <v>1976</v>
      </c>
      <c r="C11" s="12" t="s">
        <v>16</v>
      </c>
      <c r="D11" s="12" t="s">
        <v>1995</v>
      </c>
      <c r="E11" s="13">
        <v>0.0</v>
      </c>
      <c r="F11" s="13">
        <v>0.0</v>
      </c>
    </row>
    <row r="12" ht="22.5" customHeight="1">
      <c r="A12" s="11" t="s">
        <v>1996</v>
      </c>
      <c r="B12" s="12" t="s">
        <v>1976</v>
      </c>
      <c r="C12" s="12" t="s">
        <v>16</v>
      </c>
      <c r="D12" s="12" t="s">
        <v>1997</v>
      </c>
      <c r="E12" s="13">
        <v>0.0</v>
      </c>
      <c r="F12" s="13">
        <v>0.0</v>
      </c>
    </row>
  </sheetData>
  <conditionalFormatting sqref="E2:F12">
    <cfRule type="expression" dxfId="5" priority="1">
      <formula>$E2&gt;=1</formula>
    </cfRule>
  </conditionalFormatting>
  <dataValidations>
    <dataValidation type="decimal" operator="greaterThanOrEqual" allowBlank="1" showDropDown="1" showInputMessage="1" showErrorMessage="1" prompt="Introduce un número mayor o igual que 0" sqref="E2:F12">
      <formula1>0.0</formula1>
    </dataValidation>
    <dataValidation allowBlank="1" showDropDown="1" sqref="A2:A12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</cols>
  <sheetData>
    <row r="1">
      <c r="A1" s="4" t="s">
        <v>7</v>
      </c>
      <c r="B1" s="4" t="s">
        <v>13</v>
      </c>
      <c r="C1" s="4" t="s">
        <v>9</v>
      </c>
      <c r="D1" s="4" t="s">
        <v>35</v>
      </c>
      <c r="E1" s="4" t="s">
        <v>11</v>
      </c>
    </row>
    <row r="2">
      <c r="A2" s="7" t="str">
        <f>IFERROR(__xludf.DUMMYFUNCTION("FILTER(MASTER!A2:E1000, MASTER!E2:E1000=0)"),"00")</f>
        <v>00</v>
      </c>
      <c r="B2" s="5" t="str">
        <f>IFERROR(__xludf.DUMMYFUNCTION("""COMPUTED_VALUE"""),"SECTION 1")</f>
        <v>SECTION 1</v>
      </c>
      <c r="C2" s="5" t="str">
        <f>IFERROR(__xludf.DUMMYFUNCTION("""COMPUTED_VALUE"""),"SPECIAL")</f>
        <v>SPECIAL</v>
      </c>
      <c r="D2" s="5" t="str">
        <f>IFERROR(__xludf.DUMMYFUNCTION("""COMPUTED_VALUE"""),"WE ARE PANINI")</f>
        <v>WE ARE PANINI</v>
      </c>
      <c r="E2" s="8">
        <f>IFERROR(__xludf.DUMMYFUNCTION("""COMPUTED_VALUE"""),0.0)</f>
        <v>0</v>
      </c>
    </row>
    <row r="3">
      <c r="A3" s="5" t="str">
        <f>IFERROR(__xludf.DUMMYFUNCTION("""COMPUTED_VALUE"""),"FWC1")</f>
        <v>FWC1</v>
      </c>
      <c r="B3" s="5" t="str">
        <f>IFERROR(__xludf.DUMMYFUNCTION("""COMPUTED_VALUE"""),"SECTION 1")</f>
        <v>SECTION 1</v>
      </c>
      <c r="C3" s="5" t="str">
        <f>IFERROR(__xludf.DUMMYFUNCTION("""COMPUTED_VALUE"""),"SPECIAL")</f>
        <v>SPECIAL</v>
      </c>
      <c r="D3" s="5" t="str">
        <f>IFERROR(__xludf.DUMMYFUNCTION("""COMPUTED_VALUE"""),"FWC 1")</f>
        <v>FWC 1</v>
      </c>
      <c r="E3" s="8">
        <f>IFERROR(__xludf.DUMMYFUNCTION("""COMPUTED_VALUE"""),0.0)</f>
        <v>0</v>
      </c>
    </row>
    <row r="4">
      <c r="A4" s="5" t="str">
        <f>IFERROR(__xludf.DUMMYFUNCTION("""COMPUTED_VALUE"""),"FWC2")</f>
        <v>FWC2</v>
      </c>
      <c r="B4" s="5" t="str">
        <f>IFERROR(__xludf.DUMMYFUNCTION("""COMPUTED_VALUE"""),"SECTION 1")</f>
        <v>SECTION 1</v>
      </c>
      <c r="C4" s="5" t="str">
        <f>IFERROR(__xludf.DUMMYFUNCTION("""COMPUTED_VALUE"""),"SPECIAL")</f>
        <v>SPECIAL</v>
      </c>
      <c r="D4" s="5" t="str">
        <f>IFERROR(__xludf.DUMMYFUNCTION("""COMPUTED_VALUE"""),"FWC 2")</f>
        <v>FWC 2</v>
      </c>
      <c r="E4" s="8">
        <f>IFERROR(__xludf.DUMMYFUNCTION("""COMPUTED_VALUE"""),0.0)</f>
        <v>0</v>
      </c>
    </row>
    <row r="5">
      <c r="A5" s="5" t="str">
        <f>IFERROR(__xludf.DUMMYFUNCTION("""COMPUTED_VALUE"""),"FWC3")</f>
        <v>FWC3</v>
      </c>
      <c r="B5" s="5" t="str">
        <f>IFERROR(__xludf.DUMMYFUNCTION("""COMPUTED_VALUE"""),"SECTION 1")</f>
        <v>SECTION 1</v>
      </c>
      <c r="C5" s="5" t="str">
        <f>IFERROR(__xludf.DUMMYFUNCTION("""COMPUTED_VALUE"""),"SPECIAL")</f>
        <v>SPECIAL</v>
      </c>
      <c r="D5" s="5" t="str">
        <f>IFERROR(__xludf.DUMMYFUNCTION("""COMPUTED_VALUE"""),"FWC 3")</f>
        <v>FWC 3</v>
      </c>
      <c r="E5" s="8">
        <f>IFERROR(__xludf.DUMMYFUNCTION("""COMPUTED_VALUE"""),0.0)</f>
        <v>0</v>
      </c>
    </row>
    <row r="6">
      <c r="A6" s="5" t="str">
        <f>IFERROR(__xludf.DUMMYFUNCTION("""COMPUTED_VALUE"""),"FWC4")</f>
        <v>FWC4</v>
      </c>
      <c r="B6" s="5" t="str">
        <f>IFERROR(__xludf.DUMMYFUNCTION("""COMPUTED_VALUE"""),"SECTION 1")</f>
        <v>SECTION 1</v>
      </c>
      <c r="C6" s="5" t="str">
        <f>IFERROR(__xludf.DUMMYFUNCTION("""COMPUTED_VALUE"""),"SPECIAL")</f>
        <v>SPECIAL</v>
      </c>
      <c r="D6" s="5" t="str">
        <f>IFERROR(__xludf.DUMMYFUNCTION("""COMPUTED_VALUE"""),"FWC 4")</f>
        <v>FWC 4</v>
      </c>
      <c r="E6" s="8">
        <f>IFERROR(__xludf.DUMMYFUNCTION("""COMPUTED_VALUE"""),0.0)</f>
        <v>0</v>
      </c>
    </row>
    <row r="7">
      <c r="A7" s="5" t="str">
        <f>IFERROR(__xludf.DUMMYFUNCTION("""COMPUTED_VALUE"""),"FWC5")</f>
        <v>FWC5</v>
      </c>
      <c r="B7" s="5" t="str">
        <f>IFERROR(__xludf.DUMMYFUNCTION("""COMPUTED_VALUE"""),"SECTION 1")</f>
        <v>SECTION 1</v>
      </c>
      <c r="C7" s="5" t="str">
        <f>IFERROR(__xludf.DUMMYFUNCTION("""COMPUTED_VALUE"""),"SPECIAL")</f>
        <v>SPECIAL</v>
      </c>
      <c r="D7" s="5" t="str">
        <f>IFERROR(__xludf.DUMMYFUNCTION("""COMPUTED_VALUE"""),"FWC 5")</f>
        <v>FWC 5</v>
      </c>
      <c r="E7" s="8">
        <f>IFERROR(__xludf.DUMMYFUNCTION("""COMPUTED_VALUE"""),0.0)</f>
        <v>0</v>
      </c>
    </row>
    <row r="8">
      <c r="A8" s="5" t="str">
        <f>IFERROR(__xludf.DUMMYFUNCTION("""COMPUTED_VALUE"""),"FWC6")</f>
        <v>FWC6</v>
      </c>
      <c r="B8" s="5" t="str">
        <f>IFERROR(__xludf.DUMMYFUNCTION("""COMPUTED_VALUE"""),"SECTION 1")</f>
        <v>SECTION 1</v>
      </c>
      <c r="C8" s="5" t="str">
        <f>IFERROR(__xludf.DUMMYFUNCTION("""COMPUTED_VALUE"""),"SPECIAL")</f>
        <v>SPECIAL</v>
      </c>
      <c r="D8" s="5" t="str">
        <f>IFERROR(__xludf.DUMMYFUNCTION("""COMPUTED_VALUE"""),"FWC 6")</f>
        <v>FWC 6</v>
      </c>
      <c r="E8" s="8">
        <f>IFERROR(__xludf.DUMMYFUNCTION("""COMPUTED_VALUE"""),0.0)</f>
        <v>0</v>
      </c>
    </row>
    <row r="9">
      <c r="A9" s="5" t="str">
        <f>IFERROR(__xludf.DUMMYFUNCTION("""COMPUTED_VALUE"""),"FWC7")</f>
        <v>FWC7</v>
      </c>
      <c r="B9" s="5" t="str">
        <f>IFERROR(__xludf.DUMMYFUNCTION("""COMPUTED_VALUE"""),"SECTION 1")</f>
        <v>SECTION 1</v>
      </c>
      <c r="C9" s="5" t="str">
        <f>IFERROR(__xludf.DUMMYFUNCTION("""COMPUTED_VALUE"""),"SPECIAL")</f>
        <v>SPECIAL</v>
      </c>
      <c r="D9" s="5" t="str">
        <f>IFERROR(__xludf.DUMMYFUNCTION("""COMPUTED_VALUE"""),"FWC 7")</f>
        <v>FWC 7</v>
      </c>
      <c r="E9" s="8">
        <f>IFERROR(__xludf.DUMMYFUNCTION("""COMPUTED_VALUE"""),0.0)</f>
        <v>0</v>
      </c>
    </row>
    <row r="10">
      <c r="A10" s="5" t="str">
        <f>IFERROR(__xludf.DUMMYFUNCTION("""COMPUTED_VALUE"""),"FWC8")</f>
        <v>FWC8</v>
      </c>
      <c r="B10" s="5" t="str">
        <f>IFERROR(__xludf.DUMMYFUNCTION("""COMPUTED_VALUE"""),"SECTION 1")</f>
        <v>SECTION 1</v>
      </c>
      <c r="C10" s="5" t="str">
        <f>IFERROR(__xludf.DUMMYFUNCTION("""COMPUTED_VALUE"""),"SPECIAL")</f>
        <v>SPECIAL</v>
      </c>
      <c r="D10" s="5" t="str">
        <f>IFERROR(__xludf.DUMMYFUNCTION("""COMPUTED_VALUE"""),"FWC 8")</f>
        <v>FWC 8</v>
      </c>
      <c r="E10" s="8">
        <f>IFERROR(__xludf.DUMMYFUNCTION("""COMPUTED_VALUE"""),0.0)</f>
        <v>0</v>
      </c>
    </row>
    <row r="11">
      <c r="A11" s="5" t="str">
        <f>IFERROR(__xludf.DUMMYFUNCTION("""COMPUTED_VALUE"""),"MEX01")</f>
        <v>MEX01</v>
      </c>
      <c r="B11" s="5" t="str">
        <f>IFERROR(__xludf.DUMMYFUNCTION("""COMPUTED_VALUE"""),"MEXICO")</f>
        <v>MEXICO</v>
      </c>
      <c r="C11" s="5" t="str">
        <f>IFERROR(__xludf.DUMMYFUNCTION("""COMPUTED_VALUE"""),"BADGE")</f>
        <v>BADGE</v>
      </c>
      <c r="D11" s="5" t="str">
        <f>IFERROR(__xludf.DUMMYFUNCTION("""COMPUTED_VALUE"""),"MEXICO NATIONAL TEAM")</f>
        <v>MEXICO NATIONAL TEAM</v>
      </c>
      <c r="E11" s="5">
        <f>IFERROR(__xludf.DUMMYFUNCTION("""COMPUTED_VALUE"""),0.0)</f>
        <v>0</v>
      </c>
    </row>
    <row r="12">
      <c r="A12" s="5" t="str">
        <f>IFERROR(__xludf.DUMMYFUNCTION("""COMPUTED_VALUE"""),"MEX02")</f>
        <v>MEX02</v>
      </c>
      <c r="B12" s="5" t="str">
        <f>IFERROR(__xludf.DUMMYFUNCTION("""COMPUTED_VALUE"""),"MEXICO")</f>
        <v>MEXICO</v>
      </c>
      <c r="C12" s="5" t="str">
        <f>IFERROR(__xludf.DUMMYFUNCTION("""COMPUTED_VALUE"""),"NORMAL")</f>
        <v>NORMAL</v>
      </c>
      <c r="D12" s="5" t="str">
        <f>IFERROR(__xludf.DUMMYFUNCTION("""COMPUTED_VALUE"""),"LUIS MALAGÓN")</f>
        <v>LUIS MALAGÓN</v>
      </c>
      <c r="E12" s="5">
        <f>IFERROR(__xludf.DUMMYFUNCTION("""COMPUTED_VALUE"""),0.0)</f>
        <v>0</v>
      </c>
    </row>
    <row r="13">
      <c r="A13" s="5" t="str">
        <f>IFERROR(__xludf.DUMMYFUNCTION("""COMPUTED_VALUE"""),"MEX03")</f>
        <v>MEX03</v>
      </c>
      <c r="B13" s="5" t="str">
        <f>IFERROR(__xludf.DUMMYFUNCTION("""COMPUTED_VALUE"""),"MEXICO")</f>
        <v>MEXICO</v>
      </c>
      <c r="C13" s="5" t="str">
        <f>IFERROR(__xludf.DUMMYFUNCTION("""COMPUTED_VALUE"""),"NORMAL")</f>
        <v>NORMAL</v>
      </c>
      <c r="D13" s="5" t="str">
        <f>IFERROR(__xludf.DUMMYFUNCTION("""COMPUTED_VALUE"""),"JOHAN VÁSQUEZ")</f>
        <v>JOHAN VÁSQUEZ</v>
      </c>
      <c r="E13" s="5">
        <f>IFERROR(__xludf.DUMMYFUNCTION("""COMPUTED_VALUE"""),0.0)</f>
        <v>0</v>
      </c>
    </row>
    <row r="14">
      <c r="A14" s="5" t="str">
        <f>IFERROR(__xludf.DUMMYFUNCTION("""COMPUTED_VALUE"""),"MEX04")</f>
        <v>MEX04</v>
      </c>
      <c r="B14" s="5" t="str">
        <f>IFERROR(__xludf.DUMMYFUNCTION("""COMPUTED_VALUE"""),"MEXICO")</f>
        <v>MEXICO</v>
      </c>
      <c r="C14" s="5" t="str">
        <f>IFERROR(__xludf.DUMMYFUNCTION("""COMPUTED_VALUE"""),"NORMAL")</f>
        <v>NORMAL</v>
      </c>
      <c r="D14" s="5" t="str">
        <f>IFERROR(__xludf.DUMMYFUNCTION("""COMPUTED_VALUE"""),"JORGE SÁNCHEZ")</f>
        <v>JORGE SÁNCHEZ</v>
      </c>
      <c r="E14" s="5">
        <f>IFERROR(__xludf.DUMMYFUNCTION("""COMPUTED_VALUE"""),0.0)</f>
        <v>0</v>
      </c>
    </row>
    <row r="15">
      <c r="A15" s="5" t="str">
        <f>IFERROR(__xludf.DUMMYFUNCTION("""COMPUTED_VALUE"""),"MEX05")</f>
        <v>MEX05</v>
      </c>
      <c r="B15" s="5" t="str">
        <f>IFERROR(__xludf.DUMMYFUNCTION("""COMPUTED_VALUE"""),"MEXICO")</f>
        <v>MEXICO</v>
      </c>
      <c r="C15" s="5" t="str">
        <f>IFERROR(__xludf.DUMMYFUNCTION("""COMPUTED_VALUE"""),"NORMAL")</f>
        <v>NORMAL</v>
      </c>
      <c r="D15" s="5" t="str">
        <f>IFERROR(__xludf.DUMMYFUNCTION("""COMPUTED_VALUE"""),"CÉSAR MONTES")</f>
        <v>CÉSAR MONTES</v>
      </c>
      <c r="E15" s="5">
        <f>IFERROR(__xludf.DUMMYFUNCTION("""COMPUTED_VALUE"""),0.0)</f>
        <v>0</v>
      </c>
    </row>
    <row r="16">
      <c r="A16" s="5" t="str">
        <f>IFERROR(__xludf.DUMMYFUNCTION("""COMPUTED_VALUE"""),"MEX06")</f>
        <v>MEX06</v>
      </c>
      <c r="B16" s="5" t="str">
        <f>IFERROR(__xludf.DUMMYFUNCTION("""COMPUTED_VALUE"""),"MEXICO")</f>
        <v>MEXICO</v>
      </c>
      <c r="C16" s="5" t="str">
        <f>IFERROR(__xludf.DUMMYFUNCTION("""COMPUTED_VALUE"""),"NORMAL")</f>
        <v>NORMAL</v>
      </c>
      <c r="D16" s="5" t="str">
        <f>IFERROR(__xludf.DUMMYFUNCTION("""COMPUTED_VALUE"""),"JESÚS GALLARDO")</f>
        <v>JESÚS GALLARDO</v>
      </c>
      <c r="E16" s="5">
        <f>IFERROR(__xludf.DUMMYFUNCTION("""COMPUTED_VALUE"""),0.0)</f>
        <v>0</v>
      </c>
    </row>
    <row r="17">
      <c r="A17" s="5" t="str">
        <f>IFERROR(__xludf.DUMMYFUNCTION("""COMPUTED_VALUE"""),"MEX07")</f>
        <v>MEX07</v>
      </c>
      <c r="B17" s="5" t="str">
        <f>IFERROR(__xludf.DUMMYFUNCTION("""COMPUTED_VALUE"""),"MEXICO")</f>
        <v>MEXICO</v>
      </c>
      <c r="C17" s="5" t="str">
        <f>IFERROR(__xludf.DUMMYFUNCTION("""COMPUTED_VALUE"""),"NORMAL")</f>
        <v>NORMAL</v>
      </c>
      <c r="D17" s="5" t="str">
        <f>IFERROR(__xludf.DUMMYFUNCTION("""COMPUTED_VALUE"""),"ISRAEL REYES")</f>
        <v>ISRAEL REYES</v>
      </c>
      <c r="E17" s="5">
        <f>IFERROR(__xludf.DUMMYFUNCTION("""COMPUTED_VALUE"""),0.0)</f>
        <v>0</v>
      </c>
    </row>
    <row r="18">
      <c r="A18" s="5" t="str">
        <f>IFERROR(__xludf.DUMMYFUNCTION("""COMPUTED_VALUE"""),"MEX08")</f>
        <v>MEX08</v>
      </c>
      <c r="B18" s="5" t="str">
        <f>IFERROR(__xludf.DUMMYFUNCTION("""COMPUTED_VALUE"""),"MEXICO")</f>
        <v>MEXICO</v>
      </c>
      <c r="C18" s="5" t="str">
        <f>IFERROR(__xludf.DUMMYFUNCTION("""COMPUTED_VALUE"""),"NORMAL")</f>
        <v>NORMAL</v>
      </c>
      <c r="D18" s="5" t="str">
        <f>IFERROR(__xludf.DUMMYFUNCTION("""COMPUTED_VALUE"""),"DIEGO LAINEZ")</f>
        <v>DIEGO LAINEZ</v>
      </c>
      <c r="E18" s="5">
        <f>IFERROR(__xludf.DUMMYFUNCTION("""COMPUTED_VALUE"""),0.0)</f>
        <v>0</v>
      </c>
    </row>
    <row r="19">
      <c r="A19" s="5" t="str">
        <f>IFERROR(__xludf.DUMMYFUNCTION("""COMPUTED_VALUE"""),"MEX09")</f>
        <v>MEX09</v>
      </c>
      <c r="B19" s="5" t="str">
        <f>IFERROR(__xludf.DUMMYFUNCTION("""COMPUTED_VALUE"""),"MEXICO")</f>
        <v>MEXICO</v>
      </c>
      <c r="C19" s="5" t="str">
        <f>IFERROR(__xludf.DUMMYFUNCTION("""COMPUTED_VALUE"""),"NORMAL")</f>
        <v>NORMAL</v>
      </c>
      <c r="D19" s="5" t="str">
        <f>IFERROR(__xludf.DUMMYFUNCTION("""COMPUTED_VALUE"""),"CARLOS RODRÍGUEZ")</f>
        <v>CARLOS RODRÍGUEZ</v>
      </c>
      <c r="E19" s="5">
        <f>IFERROR(__xludf.DUMMYFUNCTION("""COMPUTED_VALUE"""),0.0)</f>
        <v>0</v>
      </c>
    </row>
    <row r="20">
      <c r="A20" s="5" t="str">
        <f>IFERROR(__xludf.DUMMYFUNCTION("""COMPUTED_VALUE"""),"MEX10")</f>
        <v>MEX10</v>
      </c>
      <c r="B20" s="5" t="str">
        <f>IFERROR(__xludf.DUMMYFUNCTION("""COMPUTED_VALUE"""),"MEXICO")</f>
        <v>MEXICO</v>
      </c>
      <c r="C20" s="5" t="str">
        <f>IFERROR(__xludf.DUMMYFUNCTION("""COMPUTED_VALUE"""),"NORMAL")</f>
        <v>NORMAL</v>
      </c>
      <c r="D20" s="5" t="str">
        <f>IFERROR(__xludf.DUMMYFUNCTION("""COMPUTED_VALUE"""),"EDSON ÁLVAREZ")</f>
        <v>EDSON ÁLVAREZ</v>
      </c>
      <c r="E20" s="5">
        <f>IFERROR(__xludf.DUMMYFUNCTION("""COMPUTED_VALUE"""),0.0)</f>
        <v>0</v>
      </c>
    </row>
    <row r="21">
      <c r="A21" s="5" t="str">
        <f>IFERROR(__xludf.DUMMYFUNCTION("""COMPUTED_VALUE"""),"MEX11")</f>
        <v>MEX11</v>
      </c>
      <c r="B21" s="5" t="str">
        <f>IFERROR(__xludf.DUMMYFUNCTION("""COMPUTED_VALUE"""),"MEXICO")</f>
        <v>MEXICO</v>
      </c>
      <c r="C21" s="5" t="str">
        <f>IFERROR(__xludf.DUMMYFUNCTION("""COMPUTED_VALUE"""),"NORMAL")</f>
        <v>NORMAL</v>
      </c>
      <c r="D21" s="5" t="str">
        <f>IFERROR(__xludf.DUMMYFUNCTION("""COMPUTED_VALUE"""),"ORBELÍN PINEDA")</f>
        <v>ORBELÍN PINEDA</v>
      </c>
      <c r="E21" s="5">
        <f>IFERROR(__xludf.DUMMYFUNCTION("""COMPUTED_VALUE"""),0.0)</f>
        <v>0</v>
      </c>
    </row>
    <row r="22">
      <c r="A22" s="5" t="str">
        <f>IFERROR(__xludf.DUMMYFUNCTION("""COMPUTED_VALUE"""),"MEX12")</f>
        <v>MEX12</v>
      </c>
      <c r="B22" s="5" t="str">
        <f>IFERROR(__xludf.DUMMYFUNCTION("""COMPUTED_VALUE"""),"MEXICO")</f>
        <v>MEXICO</v>
      </c>
      <c r="C22" s="5" t="str">
        <f>IFERROR(__xludf.DUMMYFUNCTION("""COMPUTED_VALUE"""),"NORMAL")</f>
        <v>NORMAL</v>
      </c>
      <c r="D22" s="5" t="str">
        <f>IFERROR(__xludf.DUMMYFUNCTION("""COMPUTED_VALUE"""),"MARCEL RUÍZ")</f>
        <v>MARCEL RUÍZ</v>
      </c>
      <c r="E22" s="5">
        <f>IFERROR(__xludf.DUMMYFUNCTION("""COMPUTED_VALUE"""),0.0)</f>
        <v>0</v>
      </c>
    </row>
    <row r="23">
      <c r="A23" s="5" t="str">
        <f>IFERROR(__xludf.DUMMYFUNCTION("""COMPUTED_VALUE"""),"MEX13")</f>
        <v>MEX13</v>
      </c>
      <c r="B23" s="5" t="str">
        <f>IFERROR(__xludf.DUMMYFUNCTION("""COMPUTED_VALUE"""),"MEXICO")</f>
        <v>MEXICO</v>
      </c>
      <c r="C23" s="5" t="str">
        <f>IFERROR(__xludf.DUMMYFUNCTION("""COMPUTED_VALUE"""),"TEAM")</f>
        <v>TEAM</v>
      </c>
      <c r="D23" s="5" t="str">
        <f>IFERROR(__xludf.DUMMYFUNCTION("""COMPUTED_VALUE"""),"MEXICO NATIONAL TEAM")</f>
        <v>MEXICO NATIONAL TEAM</v>
      </c>
      <c r="E23" s="5">
        <f>IFERROR(__xludf.DUMMYFUNCTION("""COMPUTED_VALUE"""),0.0)</f>
        <v>0</v>
      </c>
    </row>
    <row r="24">
      <c r="A24" s="5" t="str">
        <f>IFERROR(__xludf.DUMMYFUNCTION("""COMPUTED_VALUE"""),"MEX14")</f>
        <v>MEX14</v>
      </c>
      <c r="B24" s="5" t="str">
        <f>IFERROR(__xludf.DUMMYFUNCTION("""COMPUTED_VALUE"""),"MEXICO")</f>
        <v>MEXICO</v>
      </c>
      <c r="C24" s="5" t="str">
        <f>IFERROR(__xludf.DUMMYFUNCTION("""COMPUTED_VALUE"""),"NORMAL")</f>
        <v>NORMAL</v>
      </c>
      <c r="D24" s="5" t="str">
        <f>IFERROR(__xludf.DUMMYFUNCTION("""COMPUTED_VALUE"""),"ERICK SÁNCHEZ")</f>
        <v>ERICK SÁNCHEZ</v>
      </c>
      <c r="E24" s="5">
        <f>IFERROR(__xludf.DUMMYFUNCTION("""COMPUTED_VALUE"""),0.0)</f>
        <v>0</v>
      </c>
    </row>
    <row r="25">
      <c r="A25" s="5" t="str">
        <f>IFERROR(__xludf.DUMMYFUNCTION("""COMPUTED_VALUE"""),"MEX15")</f>
        <v>MEX15</v>
      </c>
      <c r="B25" s="5" t="str">
        <f>IFERROR(__xludf.DUMMYFUNCTION("""COMPUTED_VALUE"""),"MEXICO")</f>
        <v>MEXICO</v>
      </c>
      <c r="C25" s="5" t="str">
        <f>IFERROR(__xludf.DUMMYFUNCTION("""COMPUTED_VALUE"""),"NORMAL")</f>
        <v>NORMAL</v>
      </c>
      <c r="D25" s="5" t="str">
        <f>IFERROR(__xludf.DUMMYFUNCTION("""COMPUTED_VALUE"""),"HIRVING LOZANO")</f>
        <v>HIRVING LOZANO</v>
      </c>
      <c r="E25" s="5">
        <f>IFERROR(__xludf.DUMMYFUNCTION("""COMPUTED_VALUE"""),0.0)</f>
        <v>0</v>
      </c>
    </row>
    <row r="26">
      <c r="A26" s="5" t="str">
        <f>IFERROR(__xludf.DUMMYFUNCTION("""COMPUTED_VALUE"""),"MEX16")</f>
        <v>MEX16</v>
      </c>
      <c r="B26" s="5" t="str">
        <f>IFERROR(__xludf.DUMMYFUNCTION("""COMPUTED_VALUE"""),"MEXICO")</f>
        <v>MEXICO</v>
      </c>
      <c r="C26" s="5" t="str">
        <f>IFERROR(__xludf.DUMMYFUNCTION("""COMPUTED_VALUE"""),"NORMAL")</f>
        <v>NORMAL</v>
      </c>
      <c r="D26" s="5" t="str">
        <f>IFERROR(__xludf.DUMMYFUNCTION("""COMPUTED_VALUE"""),"SANTIAGO GIMÉNEZ")</f>
        <v>SANTIAGO GIMÉNEZ</v>
      </c>
      <c r="E26" s="5">
        <f>IFERROR(__xludf.DUMMYFUNCTION("""COMPUTED_VALUE"""),0.0)</f>
        <v>0</v>
      </c>
    </row>
    <row r="27">
      <c r="A27" s="5" t="str">
        <f>IFERROR(__xludf.DUMMYFUNCTION("""COMPUTED_VALUE"""),"MEX17")</f>
        <v>MEX17</v>
      </c>
      <c r="B27" s="5" t="str">
        <f>IFERROR(__xludf.DUMMYFUNCTION("""COMPUTED_VALUE"""),"MEXICO")</f>
        <v>MEXICO</v>
      </c>
      <c r="C27" s="5" t="str">
        <f>IFERROR(__xludf.DUMMYFUNCTION("""COMPUTED_VALUE"""),"NORMAL")</f>
        <v>NORMAL</v>
      </c>
      <c r="D27" s="5" t="str">
        <f>IFERROR(__xludf.DUMMYFUNCTION("""COMPUTED_VALUE"""),"RAÚL JIMÉNEZ")</f>
        <v>RAÚL JIMÉNEZ</v>
      </c>
      <c r="E27" s="5">
        <f>IFERROR(__xludf.DUMMYFUNCTION("""COMPUTED_VALUE"""),0.0)</f>
        <v>0</v>
      </c>
    </row>
    <row r="28">
      <c r="A28" s="5" t="str">
        <f>IFERROR(__xludf.DUMMYFUNCTION("""COMPUTED_VALUE"""),"MEX18")</f>
        <v>MEX18</v>
      </c>
      <c r="B28" s="5" t="str">
        <f>IFERROR(__xludf.DUMMYFUNCTION("""COMPUTED_VALUE"""),"MEXICO")</f>
        <v>MEXICO</v>
      </c>
      <c r="C28" s="5" t="str">
        <f>IFERROR(__xludf.DUMMYFUNCTION("""COMPUTED_VALUE"""),"NORMAL")</f>
        <v>NORMAL</v>
      </c>
      <c r="D28" s="5" t="str">
        <f>IFERROR(__xludf.DUMMYFUNCTION("""COMPUTED_VALUE"""),"ALEXIS VEGA")</f>
        <v>ALEXIS VEGA</v>
      </c>
      <c r="E28" s="5">
        <f>IFERROR(__xludf.DUMMYFUNCTION("""COMPUTED_VALUE"""),0.0)</f>
        <v>0</v>
      </c>
    </row>
    <row r="29">
      <c r="A29" s="5" t="str">
        <f>IFERROR(__xludf.DUMMYFUNCTION("""COMPUTED_VALUE"""),"MEX19")</f>
        <v>MEX19</v>
      </c>
      <c r="B29" s="5" t="str">
        <f>IFERROR(__xludf.DUMMYFUNCTION("""COMPUTED_VALUE"""),"MEXICO")</f>
        <v>MEXICO</v>
      </c>
      <c r="C29" s="5" t="str">
        <f>IFERROR(__xludf.DUMMYFUNCTION("""COMPUTED_VALUE"""),"NORMAL")</f>
        <v>NORMAL</v>
      </c>
      <c r="D29" s="5" t="str">
        <f>IFERROR(__xludf.DUMMYFUNCTION("""COMPUTED_VALUE"""),"ROBERTO ALVARADO")</f>
        <v>ROBERTO ALVARADO</v>
      </c>
      <c r="E29" s="5">
        <f>IFERROR(__xludf.DUMMYFUNCTION("""COMPUTED_VALUE"""),0.0)</f>
        <v>0</v>
      </c>
    </row>
    <row r="30">
      <c r="A30" s="5" t="str">
        <f>IFERROR(__xludf.DUMMYFUNCTION("""COMPUTED_VALUE"""),"MEX20")</f>
        <v>MEX20</v>
      </c>
      <c r="B30" s="5" t="str">
        <f>IFERROR(__xludf.DUMMYFUNCTION("""COMPUTED_VALUE"""),"MEXICO")</f>
        <v>MEXICO</v>
      </c>
      <c r="C30" s="5" t="str">
        <f>IFERROR(__xludf.DUMMYFUNCTION("""COMPUTED_VALUE"""),"NORMAL")</f>
        <v>NORMAL</v>
      </c>
      <c r="D30" s="5" t="str">
        <f>IFERROR(__xludf.DUMMYFUNCTION("""COMPUTED_VALUE"""),"CÉSAR HUERTA")</f>
        <v>CÉSAR HUERTA</v>
      </c>
      <c r="E30" s="5">
        <f>IFERROR(__xludf.DUMMYFUNCTION("""COMPUTED_VALUE"""),0.0)</f>
        <v>0</v>
      </c>
    </row>
    <row r="31">
      <c r="A31" s="5" t="str">
        <f>IFERROR(__xludf.DUMMYFUNCTION("""COMPUTED_VALUE"""),"RSA01")</f>
        <v>RSA01</v>
      </c>
      <c r="B31" s="5" t="str">
        <f>IFERROR(__xludf.DUMMYFUNCTION("""COMPUTED_VALUE"""),"SOUTHAFRICA")</f>
        <v>SOUTHAFRICA</v>
      </c>
      <c r="C31" s="5" t="str">
        <f>IFERROR(__xludf.DUMMYFUNCTION("""COMPUTED_VALUE"""),"BADGE")</f>
        <v>BADGE</v>
      </c>
      <c r="D31" s="5" t="str">
        <f>IFERROR(__xludf.DUMMYFUNCTION("""COMPUTED_VALUE"""),"SOUTHAFRICA NATIONAL TEAM")</f>
        <v>SOUTHAFRICA NATIONAL TEAM</v>
      </c>
      <c r="E31" s="5">
        <f>IFERROR(__xludf.DUMMYFUNCTION("""COMPUTED_VALUE"""),0.0)</f>
        <v>0</v>
      </c>
    </row>
    <row r="32">
      <c r="A32" s="5" t="str">
        <f>IFERROR(__xludf.DUMMYFUNCTION("""COMPUTED_VALUE"""),"RSA02")</f>
        <v>RSA02</v>
      </c>
      <c r="B32" s="5" t="str">
        <f>IFERROR(__xludf.DUMMYFUNCTION("""COMPUTED_VALUE"""),"SOUTHAFRICA")</f>
        <v>SOUTHAFRICA</v>
      </c>
      <c r="C32" s="5" t="str">
        <f>IFERROR(__xludf.DUMMYFUNCTION("""COMPUTED_VALUE"""),"NORMAL")</f>
        <v>NORMAL</v>
      </c>
      <c r="D32" s="5" t="str">
        <f>IFERROR(__xludf.DUMMYFUNCTION("""COMPUTED_VALUE"""),"RONWEN WILLIAMS")</f>
        <v>RONWEN WILLIAMS</v>
      </c>
      <c r="E32" s="5">
        <f>IFERROR(__xludf.DUMMYFUNCTION("""COMPUTED_VALUE"""),0.0)</f>
        <v>0</v>
      </c>
    </row>
    <row r="33">
      <c r="A33" s="5" t="str">
        <f>IFERROR(__xludf.DUMMYFUNCTION("""COMPUTED_VALUE"""),"RSA03")</f>
        <v>RSA03</v>
      </c>
      <c r="B33" s="5" t="str">
        <f>IFERROR(__xludf.DUMMYFUNCTION("""COMPUTED_VALUE"""),"SOUTHAFRICA")</f>
        <v>SOUTHAFRICA</v>
      </c>
      <c r="C33" s="5" t="str">
        <f>IFERROR(__xludf.DUMMYFUNCTION("""COMPUTED_VALUE"""),"NORMAL")</f>
        <v>NORMAL</v>
      </c>
      <c r="D33" s="5" t="str">
        <f>IFERROR(__xludf.DUMMYFUNCTION("""COMPUTED_VALUE"""),"SIPHO CHAINE")</f>
        <v>SIPHO CHAINE</v>
      </c>
      <c r="E33" s="5">
        <f>IFERROR(__xludf.DUMMYFUNCTION("""COMPUTED_VALUE"""),0.0)</f>
        <v>0</v>
      </c>
    </row>
    <row r="34">
      <c r="A34" s="5" t="str">
        <f>IFERROR(__xludf.DUMMYFUNCTION("""COMPUTED_VALUE"""),"RSA04")</f>
        <v>RSA04</v>
      </c>
      <c r="B34" s="5" t="str">
        <f>IFERROR(__xludf.DUMMYFUNCTION("""COMPUTED_VALUE"""),"SOUTHAFRICA")</f>
        <v>SOUTHAFRICA</v>
      </c>
      <c r="C34" s="5" t="str">
        <f>IFERROR(__xludf.DUMMYFUNCTION("""COMPUTED_VALUE"""),"NORMAL")</f>
        <v>NORMAL</v>
      </c>
      <c r="D34" s="5" t="str">
        <f>IFERROR(__xludf.DUMMYFUNCTION("""COMPUTED_VALUE"""),"AUBREY MODIBA")</f>
        <v>AUBREY MODIBA</v>
      </c>
      <c r="E34" s="5">
        <f>IFERROR(__xludf.DUMMYFUNCTION("""COMPUTED_VALUE"""),0.0)</f>
        <v>0</v>
      </c>
    </row>
    <row r="35">
      <c r="A35" s="5" t="str">
        <f>IFERROR(__xludf.DUMMYFUNCTION("""COMPUTED_VALUE"""),"RSA05")</f>
        <v>RSA05</v>
      </c>
      <c r="B35" s="5" t="str">
        <f>IFERROR(__xludf.DUMMYFUNCTION("""COMPUTED_VALUE"""),"SOUTHAFRICA")</f>
        <v>SOUTHAFRICA</v>
      </c>
      <c r="C35" s="5" t="str">
        <f>IFERROR(__xludf.DUMMYFUNCTION("""COMPUTED_VALUE"""),"NORMAL")</f>
        <v>NORMAL</v>
      </c>
      <c r="D35" s="5" t="str">
        <f>IFERROR(__xludf.DUMMYFUNCTION("""COMPUTED_VALUE"""),"SAMUKELE KABINI")</f>
        <v>SAMUKELE KABINI</v>
      </c>
      <c r="E35" s="5">
        <f>IFERROR(__xludf.DUMMYFUNCTION("""COMPUTED_VALUE"""),0.0)</f>
        <v>0</v>
      </c>
    </row>
    <row r="36">
      <c r="A36" s="5" t="str">
        <f>IFERROR(__xludf.DUMMYFUNCTION("""COMPUTED_VALUE"""),"RSA06")</f>
        <v>RSA06</v>
      </c>
      <c r="B36" s="5" t="str">
        <f>IFERROR(__xludf.DUMMYFUNCTION("""COMPUTED_VALUE"""),"SOUTHAFRICA")</f>
        <v>SOUTHAFRICA</v>
      </c>
      <c r="C36" s="5" t="str">
        <f>IFERROR(__xludf.DUMMYFUNCTION("""COMPUTED_VALUE"""),"NORMAL")</f>
        <v>NORMAL</v>
      </c>
      <c r="D36" s="5" t="str">
        <f>IFERROR(__xludf.DUMMYFUNCTION("""COMPUTED_VALUE"""),"MBEKEZLI MBOKAZI")</f>
        <v>MBEKEZLI MBOKAZI</v>
      </c>
      <c r="E36" s="5">
        <f>IFERROR(__xludf.DUMMYFUNCTION("""COMPUTED_VALUE"""),0.0)</f>
        <v>0</v>
      </c>
    </row>
    <row r="37">
      <c r="A37" s="5" t="str">
        <f>IFERROR(__xludf.DUMMYFUNCTION("""COMPUTED_VALUE"""),"RSA07")</f>
        <v>RSA07</v>
      </c>
      <c r="B37" s="5" t="str">
        <f>IFERROR(__xludf.DUMMYFUNCTION("""COMPUTED_VALUE"""),"SOUTHAFRICA")</f>
        <v>SOUTHAFRICA</v>
      </c>
      <c r="C37" s="5" t="str">
        <f>IFERROR(__xludf.DUMMYFUNCTION("""COMPUTED_VALUE"""),"NORMAL")</f>
        <v>NORMAL</v>
      </c>
      <c r="D37" s="5" t="str">
        <f>IFERROR(__xludf.DUMMYFUNCTION("""COMPUTED_VALUE"""),"KHULUMANI NDAMANE")</f>
        <v>KHULUMANI NDAMANE</v>
      </c>
      <c r="E37" s="5">
        <f>IFERROR(__xludf.DUMMYFUNCTION("""COMPUTED_VALUE"""),0.0)</f>
        <v>0</v>
      </c>
    </row>
    <row r="38">
      <c r="A38" s="5" t="str">
        <f>IFERROR(__xludf.DUMMYFUNCTION("""COMPUTED_VALUE"""),"RSA08")</f>
        <v>RSA08</v>
      </c>
      <c r="B38" s="5" t="str">
        <f>IFERROR(__xludf.DUMMYFUNCTION("""COMPUTED_VALUE"""),"SOUTHAFRICA")</f>
        <v>SOUTHAFRICA</v>
      </c>
      <c r="C38" s="5" t="str">
        <f>IFERROR(__xludf.DUMMYFUNCTION("""COMPUTED_VALUE"""),"NORMAL")</f>
        <v>NORMAL</v>
      </c>
      <c r="D38" s="5" t="str">
        <f>IFERROR(__xludf.DUMMYFUNCTION("""COMPUTED_VALUE"""),"SIVABONGA NGEZANA")</f>
        <v>SIVABONGA NGEZANA</v>
      </c>
      <c r="E38" s="5">
        <f>IFERROR(__xludf.DUMMYFUNCTION("""COMPUTED_VALUE"""),0.0)</f>
        <v>0</v>
      </c>
    </row>
    <row r="39">
      <c r="A39" s="5" t="str">
        <f>IFERROR(__xludf.DUMMYFUNCTION("""COMPUTED_VALUE"""),"RSA09")</f>
        <v>RSA09</v>
      </c>
      <c r="B39" s="5" t="str">
        <f>IFERROR(__xludf.DUMMYFUNCTION("""COMPUTED_VALUE"""),"SOUTHAFRICA")</f>
        <v>SOUTHAFRICA</v>
      </c>
      <c r="C39" s="5" t="str">
        <f>IFERROR(__xludf.DUMMYFUNCTION("""COMPUTED_VALUE"""),"NORMAL")</f>
        <v>NORMAL</v>
      </c>
      <c r="D39" s="5" t="str">
        <f>IFERROR(__xludf.DUMMYFUNCTION("""COMPUTED_VALUE"""),"KHULISO MUDAU")</f>
        <v>KHULISO MUDAU</v>
      </c>
      <c r="E39" s="5">
        <f>IFERROR(__xludf.DUMMYFUNCTION("""COMPUTED_VALUE"""),0.0)</f>
        <v>0</v>
      </c>
    </row>
    <row r="40">
      <c r="A40" s="5" t="str">
        <f>IFERROR(__xludf.DUMMYFUNCTION("""COMPUTED_VALUE"""),"RSA10")</f>
        <v>RSA10</v>
      </c>
      <c r="B40" s="5" t="str">
        <f>IFERROR(__xludf.DUMMYFUNCTION("""COMPUTED_VALUE"""),"SOUTHAFRICA")</f>
        <v>SOUTHAFRICA</v>
      </c>
      <c r="C40" s="5" t="str">
        <f>IFERROR(__xludf.DUMMYFUNCTION("""COMPUTED_VALUE"""),"NORMAL")</f>
        <v>NORMAL</v>
      </c>
      <c r="D40" s="5" t="str">
        <f>IFERROR(__xludf.DUMMYFUNCTION("""COMPUTED_VALUE"""),"NKOSINATHI SIBISI")</f>
        <v>NKOSINATHI SIBISI</v>
      </c>
      <c r="E40" s="5">
        <f>IFERROR(__xludf.DUMMYFUNCTION("""COMPUTED_VALUE"""),0.0)</f>
        <v>0</v>
      </c>
    </row>
    <row r="41">
      <c r="A41" s="5" t="str">
        <f>IFERROR(__xludf.DUMMYFUNCTION("""COMPUTED_VALUE"""),"RSA11")</f>
        <v>RSA11</v>
      </c>
      <c r="B41" s="5" t="str">
        <f>IFERROR(__xludf.DUMMYFUNCTION("""COMPUTED_VALUE"""),"SOUTHAFRICA")</f>
        <v>SOUTHAFRICA</v>
      </c>
      <c r="C41" s="5" t="str">
        <f>IFERROR(__xludf.DUMMYFUNCTION("""COMPUTED_VALUE"""),"NORMAL")</f>
        <v>NORMAL</v>
      </c>
      <c r="D41" s="5" t="str">
        <f>IFERROR(__xludf.DUMMYFUNCTION("""COMPUTED_VALUE"""),"TEBOHO MOKOENA")</f>
        <v>TEBOHO MOKOENA</v>
      </c>
      <c r="E41" s="5">
        <f>IFERROR(__xludf.DUMMYFUNCTION("""COMPUTED_VALUE"""),0.0)</f>
        <v>0</v>
      </c>
    </row>
    <row r="42">
      <c r="A42" s="5" t="str">
        <f>IFERROR(__xludf.DUMMYFUNCTION("""COMPUTED_VALUE"""),"RSA12")</f>
        <v>RSA12</v>
      </c>
      <c r="B42" s="5" t="str">
        <f>IFERROR(__xludf.DUMMYFUNCTION("""COMPUTED_VALUE"""),"SOUTHAFRICA")</f>
        <v>SOUTHAFRICA</v>
      </c>
      <c r="C42" s="5" t="str">
        <f>IFERROR(__xludf.DUMMYFUNCTION("""COMPUTED_VALUE"""),"NORMAL")</f>
        <v>NORMAL</v>
      </c>
      <c r="D42" s="5" t="str">
        <f>IFERROR(__xludf.DUMMYFUNCTION("""COMPUTED_VALUE"""),"THALENTE MBATHA")</f>
        <v>THALENTE MBATHA</v>
      </c>
      <c r="E42" s="5">
        <f>IFERROR(__xludf.DUMMYFUNCTION("""COMPUTED_VALUE"""),0.0)</f>
        <v>0</v>
      </c>
    </row>
    <row r="43">
      <c r="A43" s="5" t="str">
        <f>IFERROR(__xludf.DUMMYFUNCTION("""COMPUTED_VALUE"""),"RSA13")</f>
        <v>RSA13</v>
      </c>
      <c r="B43" s="5" t="str">
        <f>IFERROR(__xludf.DUMMYFUNCTION("""COMPUTED_VALUE"""),"SOUTHAFRICA")</f>
        <v>SOUTHAFRICA</v>
      </c>
      <c r="C43" s="5" t="str">
        <f>IFERROR(__xludf.DUMMYFUNCTION("""COMPUTED_VALUE"""),"TEAM")</f>
        <v>TEAM</v>
      </c>
      <c r="D43" s="5" t="str">
        <f>IFERROR(__xludf.DUMMYFUNCTION("""COMPUTED_VALUE"""),"SOUTHAFRICA NATIONAL TEAM")</f>
        <v>SOUTHAFRICA NATIONAL TEAM</v>
      </c>
      <c r="E43" s="5">
        <f>IFERROR(__xludf.DUMMYFUNCTION("""COMPUTED_VALUE"""),0.0)</f>
        <v>0</v>
      </c>
    </row>
    <row r="44">
      <c r="A44" s="5" t="str">
        <f>IFERROR(__xludf.DUMMYFUNCTION("""COMPUTED_VALUE"""),"RSA14")</f>
        <v>RSA14</v>
      </c>
      <c r="B44" s="5" t="str">
        <f>IFERROR(__xludf.DUMMYFUNCTION("""COMPUTED_VALUE"""),"SOUTHAFRICA")</f>
        <v>SOUTHAFRICA</v>
      </c>
      <c r="C44" s="5" t="str">
        <f>IFERROR(__xludf.DUMMYFUNCTION("""COMPUTED_VALUE"""),"NORMAL")</f>
        <v>NORMAL</v>
      </c>
      <c r="D44" s="5" t="str">
        <f>IFERROR(__xludf.DUMMYFUNCTION("""COMPUTED_VALUE"""),"BATHUSI AUBAAS")</f>
        <v>BATHUSI AUBAAS</v>
      </c>
      <c r="E44" s="5">
        <f>IFERROR(__xludf.DUMMYFUNCTION("""COMPUTED_VALUE"""),0.0)</f>
        <v>0</v>
      </c>
    </row>
    <row r="45">
      <c r="A45" s="5" t="str">
        <f>IFERROR(__xludf.DUMMYFUNCTION("""COMPUTED_VALUE"""),"RSA15")</f>
        <v>RSA15</v>
      </c>
      <c r="B45" s="5" t="str">
        <f>IFERROR(__xludf.DUMMYFUNCTION("""COMPUTED_VALUE"""),"SOUTHAFRICA")</f>
        <v>SOUTHAFRICA</v>
      </c>
      <c r="C45" s="5" t="str">
        <f>IFERROR(__xludf.DUMMYFUNCTION("""COMPUTED_VALUE"""),"NORMAL")</f>
        <v>NORMAL</v>
      </c>
      <c r="D45" s="5" t="str">
        <f>IFERROR(__xludf.DUMMYFUNCTION("""COMPUTED_VALUE"""),"VAYA SITHOLE")</f>
        <v>VAYA SITHOLE</v>
      </c>
      <c r="E45" s="5">
        <f>IFERROR(__xludf.DUMMYFUNCTION("""COMPUTED_VALUE"""),0.0)</f>
        <v>0</v>
      </c>
    </row>
    <row r="46">
      <c r="A46" s="5" t="str">
        <f>IFERROR(__xludf.DUMMYFUNCTION("""COMPUTED_VALUE"""),"RSA16")</f>
        <v>RSA16</v>
      </c>
      <c r="B46" s="5" t="str">
        <f>IFERROR(__xludf.DUMMYFUNCTION("""COMPUTED_VALUE"""),"SOUTHAFRICA")</f>
        <v>SOUTHAFRICA</v>
      </c>
      <c r="C46" s="5" t="str">
        <f>IFERROR(__xludf.DUMMYFUNCTION("""COMPUTED_VALUE"""),"NORMAL")</f>
        <v>NORMAL</v>
      </c>
      <c r="D46" s="5" t="str">
        <f>IFERROR(__xludf.DUMMYFUNCTION("""COMPUTED_VALUE"""),"SIPHO MBULE")</f>
        <v>SIPHO MBULE</v>
      </c>
      <c r="E46" s="5">
        <f>IFERROR(__xludf.DUMMYFUNCTION("""COMPUTED_VALUE"""),0.0)</f>
        <v>0</v>
      </c>
    </row>
    <row r="47">
      <c r="A47" s="5" t="str">
        <f>IFERROR(__xludf.DUMMYFUNCTION("""COMPUTED_VALUE"""),"RSA17")</f>
        <v>RSA17</v>
      </c>
      <c r="B47" s="5" t="str">
        <f>IFERROR(__xludf.DUMMYFUNCTION("""COMPUTED_VALUE"""),"SOUTHAFRICA")</f>
        <v>SOUTHAFRICA</v>
      </c>
      <c r="C47" s="5" t="str">
        <f>IFERROR(__xludf.DUMMYFUNCTION("""COMPUTED_VALUE"""),"NORMAL")</f>
        <v>NORMAL</v>
      </c>
      <c r="D47" s="5" t="str">
        <f>IFERROR(__xludf.DUMMYFUNCTION("""COMPUTED_VALUE"""),"LYLE FOSTER")</f>
        <v>LYLE FOSTER</v>
      </c>
      <c r="E47" s="5">
        <f>IFERROR(__xludf.DUMMYFUNCTION("""COMPUTED_VALUE"""),0.0)</f>
        <v>0</v>
      </c>
    </row>
    <row r="48">
      <c r="A48" s="5" t="str">
        <f>IFERROR(__xludf.DUMMYFUNCTION("""COMPUTED_VALUE"""),"RSA18")</f>
        <v>RSA18</v>
      </c>
      <c r="B48" s="5" t="str">
        <f>IFERROR(__xludf.DUMMYFUNCTION("""COMPUTED_VALUE"""),"SOUTHAFRICA")</f>
        <v>SOUTHAFRICA</v>
      </c>
      <c r="C48" s="5" t="str">
        <f>IFERROR(__xludf.DUMMYFUNCTION("""COMPUTED_VALUE"""),"NORMAL")</f>
        <v>NORMAL</v>
      </c>
      <c r="D48" s="5" t="str">
        <f>IFERROR(__xludf.DUMMYFUNCTION("""COMPUTED_VALUE"""),"IORAAM RAVNERS")</f>
        <v>IORAAM RAVNERS</v>
      </c>
      <c r="E48" s="5">
        <f>IFERROR(__xludf.DUMMYFUNCTION("""COMPUTED_VALUE"""),0.0)</f>
        <v>0</v>
      </c>
    </row>
    <row r="49">
      <c r="A49" s="5" t="str">
        <f>IFERROR(__xludf.DUMMYFUNCTION("""COMPUTED_VALUE"""),"RSA19")</f>
        <v>RSA19</v>
      </c>
      <c r="B49" s="5" t="str">
        <f>IFERROR(__xludf.DUMMYFUNCTION("""COMPUTED_VALUE"""),"SOUTHAFRICA")</f>
        <v>SOUTHAFRICA</v>
      </c>
      <c r="C49" s="5" t="str">
        <f>IFERROR(__xludf.DUMMYFUNCTION("""COMPUTED_VALUE"""),"NORMAL")</f>
        <v>NORMAL</v>
      </c>
      <c r="D49" s="5" t="str">
        <f>IFERROR(__xludf.DUMMYFUNCTION("""COMPUTED_VALUE"""),"MOHAU NKOTA")</f>
        <v>MOHAU NKOTA</v>
      </c>
      <c r="E49" s="5">
        <f>IFERROR(__xludf.DUMMYFUNCTION("""COMPUTED_VALUE"""),0.0)</f>
        <v>0</v>
      </c>
    </row>
    <row r="50">
      <c r="A50" s="5" t="str">
        <f>IFERROR(__xludf.DUMMYFUNCTION("""COMPUTED_VALUE"""),"RSA20")</f>
        <v>RSA20</v>
      </c>
      <c r="B50" s="5" t="str">
        <f>IFERROR(__xludf.DUMMYFUNCTION("""COMPUTED_VALUE"""),"SOUTHAFRICA")</f>
        <v>SOUTHAFRICA</v>
      </c>
      <c r="C50" s="5" t="str">
        <f>IFERROR(__xludf.DUMMYFUNCTION("""COMPUTED_VALUE"""),"NORMAL")</f>
        <v>NORMAL</v>
      </c>
      <c r="D50" s="5" t="str">
        <f>IFERROR(__xludf.DUMMYFUNCTION("""COMPUTED_VALUE"""),"OSWIN APOLLIS")</f>
        <v>OSWIN APOLLIS</v>
      </c>
      <c r="E50" s="5">
        <f>IFERROR(__xludf.DUMMYFUNCTION("""COMPUTED_VALUE"""),0.0)</f>
        <v>0</v>
      </c>
    </row>
    <row r="51">
      <c r="A51" s="5" t="str">
        <f>IFERROR(__xludf.DUMMYFUNCTION("""COMPUTED_VALUE"""),"KOR01")</f>
        <v>KOR01</v>
      </c>
      <c r="B51" s="5" t="str">
        <f>IFERROR(__xludf.DUMMYFUNCTION("""COMPUTED_VALUE"""),"SOUTH KOREA")</f>
        <v>SOUTH KOREA</v>
      </c>
      <c r="C51" s="5" t="str">
        <f>IFERROR(__xludf.DUMMYFUNCTION("""COMPUTED_VALUE"""),"BADGE")</f>
        <v>BADGE</v>
      </c>
      <c r="D51" s="5" t="str">
        <f>IFERROR(__xludf.DUMMYFUNCTION("""COMPUTED_VALUE"""),"SOUTH KOREA NATIONAL TEAM")</f>
        <v>SOUTH KOREA NATIONAL TEAM</v>
      </c>
      <c r="E51" s="5">
        <f>IFERROR(__xludf.DUMMYFUNCTION("""COMPUTED_VALUE"""),0.0)</f>
        <v>0</v>
      </c>
    </row>
    <row r="52">
      <c r="A52" s="5" t="str">
        <f>IFERROR(__xludf.DUMMYFUNCTION("""COMPUTED_VALUE"""),"KOR02")</f>
        <v>KOR02</v>
      </c>
      <c r="B52" s="5" t="str">
        <f>IFERROR(__xludf.DUMMYFUNCTION("""COMPUTED_VALUE"""),"SOUTH KOREA")</f>
        <v>SOUTH KOREA</v>
      </c>
      <c r="C52" s="5" t="str">
        <f>IFERROR(__xludf.DUMMYFUNCTION("""COMPUTED_VALUE"""),"NORMAL")</f>
        <v>NORMAL</v>
      </c>
      <c r="D52" s="5" t="str">
        <f>IFERROR(__xludf.DUMMYFUNCTION("""COMPUTED_VALUE"""),"HYEONWOO JO")</f>
        <v>HYEONWOO JO</v>
      </c>
      <c r="E52" s="5">
        <f>IFERROR(__xludf.DUMMYFUNCTION("""COMPUTED_VALUE"""),0.0)</f>
        <v>0</v>
      </c>
    </row>
    <row r="53">
      <c r="A53" s="5" t="str">
        <f>IFERROR(__xludf.DUMMYFUNCTION("""COMPUTED_VALUE"""),"KOR03")</f>
        <v>KOR03</v>
      </c>
      <c r="B53" s="5" t="str">
        <f>IFERROR(__xludf.DUMMYFUNCTION("""COMPUTED_VALUE"""),"SOUTH KOREA")</f>
        <v>SOUTH KOREA</v>
      </c>
      <c r="C53" s="5" t="str">
        <f>IFERROR(__xludf.DUMMYFUNCTION("""COMPUTED_VALUE"""),"NORMAL")</f>
        <v>NORMAL</v>
      </c>
      <c r="D53" s="5" t="str">
        <f>IFERROR(__xludf.DUMMYFUNCTION("""COMPUTED_VALUE"""),"SEUNGGYU KIM")</f>
        <v>SEUNGGYU KIM</v>
      </c>
      <c r="E53" s="5">
        <f>IFERROR(__xludf.DUMMYFUNCTION("""COMPUTED_VALUE"""),0.0)</f>
        <v>0</v>
      </c>
    </row>
    <row r="54">
      <c r="A54" s="5" t="str">
        <f>IFERROR(__xludf.DUMMYFUNCTION("""COMPUTED_VALUE"""),"KOR04")</f>
        <v>KOR04</v>
      </c>
      <c r="B54" s="5" t="str">
        <f>IFERROR(__xludf.DUMMYFUNCTION("""COMPUTED_VALUE"""),"SOUTH KOREA")</f>
        <v>SOUTH KOREA</v>
      </c>
      <c r="C54" s="5" t="str">
        <f>IFERROR(__xludf.DUMMYFUNCTION("""COMPUTED_VALUE"""),"NORMAL")</f>
        <v>NORMAL</v>
      </c>
      <c r="D54" s="5" t="str">
        <f>IFERROR(__xludf.DUMMYFUNCTION("""COMPUTED_VALUE"""),"MIJNAE KIM")</f>
        <v>MIJNAE KIM</v>
      </c>
      <c r="E54" s="5">
        <f>IFERROR(__xludf.DUMMYFUNCTION("""COMPUTED_VALUE"""),0.0)</f>
        <v>0</v>
      </c>
    </row>
    <row r="55">
      <c r="A55" s="5" t="str">
        <f>IFERROR(__xludf.DUMMYFUNCTION("""COMPUTED_VALUE"""),"KOR05")</f>
        <v>KOR05</v>
      </c>
      <c r="B55" s="5" t="str">
        <f>IFERROR(__xludf.DUMMYFUNCTION("""COMPUTED_VALUE"""),"SOUTH KOREA")</f>
        <v>SOUTH KOREA</v>
      </c>
      <c r="C55" s="5" t="str">
        <f>IFERROR(__xludf.DUMMYFUNCTION("""COMPUTED_VALUE"""),"NORMAL")</f>
        <v>NORMAL</v>
      </c>
      <c r="D55" s="5" t="str">
        <f>IFERROR(__xludf.DUMMYFUNCTION("""COMPUTED_VALUE"""),"YUMIN CHO")</f>
        <v>YUMIN CHO</v>
      </c>
      <c r="E55" s="5">
        <f>IFERROR(__xludf.DUMMYFUNCTION("""COMPUTED_VALUE"""),0.0)</f>
        <v>0</v>
      </c>
    </row>
    <row r="56">
      <c r="A56" s="5" t="str">
        <f>IFERROR(__xludf.DUMMYFUNCTION("""COMPUTED_VALUE"""),"KOR06")</f>
        <v>KOR06</v>
      </c>
      <c r="B56" s="5" t="str">
        <f>IFERROR(__xludf.DUMMYFUNCTION("""COMPUTED_VALUE"""),"SOUTH KOREA")</f>
        <v>SOUTH KOREA</v>
      </c>
      <c r="C56" s="5" t="str">
        <f>IFERROR(__xludf.DUMMYFUNCTION("""COMPUTED_VALUE"""),"NORMAL")</f>
        <v>NORMAL</v>
      </c>
      <c r="D56" s="5" t="str">
        <f>IFERROR(__xludf.DUMMYFUNCTION("""COMPUTED_VALUE"""),"YOUNGWOO SEOL")</f>
        <v>YOUNGWOO SEOL</v>
      </c>
      <c r="E56" s="5">
        <f>IFERROR(__xludf.DUMMYFUNCTION("""COMPUTED_VALUE"""),0.0)</f>
        <v>0</v>
      </c>
    </row>
    <row r="57">
      <c r="A57" s="5" t="str">
        <f>IFERROR(__xludf.DUMMYFUNCTION("""COMPUTED_VALUE"""),"KOR07")</f>
        <v>KOR07</v>
      </c>
      <c r="B57" s="5" t="str">
        <f>IFERROR(__xludf.DUMMYFUNCTION("""COMPUTED_VALUE"""),"SOUTH KOREA")</f>
        <v>SOUTH KOREA</v>
      </c>
      <c r="C57" s="5" t="str">
        <f>IFERROR(__xludf.DUMMYFUNCTION("""COMPUTED_VALUE"""),"NORMAL")</f>
        <v>NORMAL</v>
      </c>
      <c r="D57" s="5" t="str">
        <f>IFERROR(__xludf.DUMMYFUNCTION("""COMPUTED_VALUE"""),"HANBEOM LEE")</f>
        <v>HANBEOM LEE</v>
      </c>
      <c r="E57" s="5">
        <f>IFERROR(__xludf.DUMMYFUNCTION("""COMPUTED_VALUE"""),0.0)</f>
        <v>0</v>
      </c>
    </row>
    <row r="58">
      <c r="A58" s="5" t="str">
        <f>IFERROR(__xludf.DUMMYFUNCTION("""COMPUTED_VALUE"""),"KOR08")</f>
        <v>KOR08</v>
      </c>
      <c r="B58" s="5" t="str">
        <f>IFERROR(__xludf.DUMMYFUNCTION("""COMPUTED_VALUE"""),"SOUTH KOREA")</f>
        <v>SOUTH KOREA</v>
      </c>
      <c r="C58" s="5" t="str">
        <f>IFERROR(__xludf.DUMMYFUNCTION("""COMPUTED_VALUE"""),"NORMAL")</f>
        <v>NORMAL</v>
      </c>
      <c r="D58" s="5" t="str">
        <f>IFERROR(__xludf.DUMMYFUNCTION("""COMPUTED_VALUE"""),"TAESEOK LEE")</f>
        <v>TAESEOK LEE</v>
      </c>
      <c r="E58" s="5">
        <f>IFERROR(__xludf.DUMMYFUNCTION("""COMPUTED_VALUE"""),0.0)</f>
        <v>0</v>
      </c>
    </row>
    <row r="59">
      <c r="A59" s="5" t="str">
        <f>IFERROR(__xludf.DUMMYFUNCTION("""COMPUTED_VALUE"""),"KOR09")</f>
        <v>KOR09</v>
      </c>
      <c r="B59" s="5" t="str">
        <f>IFERROR(__xludf.DUMMYFUNCTION("""COMPUTED_VALUE"""),"SOUTH KOREA")</f>
        <v>SOUTH KOREA</v>
      </c>
      <c r="C59" s="5" t="str">
        <f>IFERROR(__xludf.DUMMYFUNCTION("""COMPUTED_VALUE"""),"NORMAL")</f>
        <v>NORMAL</v>
      </c>
      <c r="D59" s="5" t="str">
        <f>IFERROR(__xludf.DUMMYFUNCTION("""COMPUTED_VALUE"""),"MUYNGJAE LEE")</f>
        <v>MUYNGJAE LEE</v>
      </c>
      <c r="E59" s="5">
        <f>IFERROR(__xludf.DUMMYFUNCTION("""COMPUTED_VALUE"""),0.0)</f>
        <v>0</v>
      </c>
    </row>
    <row r="60">
      <c r="A60" s="5" t="str">
        <f>IFERROR(__xludf.DUMMYFUNCTION("""COMPUTED_VALUE"""),"KOR10")</f>
        <v>KOR10</v>
      </c>
      <c r="B60" s="5" t="str">
        <f>IFERROR(__xludf.DUMMYFUNCTION("""COMPUTED_VALUE"""),"SOUTH KOREA")</f>
        <v>SOUTH KOREA</v>
      </c>
      <c r="C60" s="5" t="str">
        <f>IFERROR(__xludf.DUMMYFUNCTION("""COMPUTED_VALUE"""),"NORMAL")</f>
        <v>NORMAL</v>
      </c>
      <c r="D60" s="5" t="str">
        <f>IFERROR(__xludf.DUMMYFUNCTION("""COMPUTED_VALUE"""),"JAESUNG LEE")</f>
        <v>JAESUNG LEE</v>
      </c>
      <c r="E60" s="5">
        <f>IFERROR(__xludf.DUMMYFUNCTION("""COMPUTED_VALUE"""),0.0)</f>
        <v>0</v>
      </c>
    </row>
    <row r="61">
      <c r="A61" s="5" t="str">
        <f>IFERROR(__xludf.DUMMYFUNCTION("""COMPUTED_VALUE"""),"KOR11")</f>
        <v>KOR11</v>
      </c>
      <c r="B61" s="5" t="str">
        <f>IFERROR(__xludf.DUMMYFUNCTION("""COMPUTED_VALUE"""),"SOUTH KOREA")</f>
        <v>SOUTH KOREA</v>
      </c>
      <c r="C61" s="5" t="str">
        <f>IFERROR(__xludf.DUMMYFUNCTION("""COMPUTED_VALUE"""),"NORMAL")</f>
        <v>NORMAL</v>
      </c>
      <c r="D61" s="5" t="str">
        <f>IFERROR(__xludf.DUMMYFUNCTION("""COMPUTED_VALUE"""),"INBEOM HWANG")</f>
        <v>INBEOM HWANG</v>
      </c>
      <c r="E61" s="5">
        <f>IFERROR(__xludf.DUMMYFUNCTION("""COMPUTED_VALUE"""),0.0)</f>
        <v>0</v>
      </c>
    </row>
    <row r="62">
      <c r="A62" s="5" t="str">
        <f>IFERROR(__xludf.DUMMYFUNCTION("""COMPUTED_VALUE"""),"KOR12")</f>
        <v>KOR12</v>
      </c>
      <c r="B62" s="5" t="str">
        <f>IFERROR(__xludf.DUMMYFUNCTION("""COMPUTED_VALUE"""),"SOUTH KOREA")</f>
        <v>SOUTH KOREA</v>
      </c>
      <c r="C62" s="5" t="str">
        <f>IFERROR(__xludf.DUMMYFUNCTION("""COMPUTED_VALUE"""),"NORMAL")</f>
        <v>NORMAL</v>
      </c>
      <c r="D62" s="5" t="str">
        <f>IFERROR(__xludf.DUMMYFUNCTION("""COMPUTED_VALUE"""),"KANGIN LEE")</f>
        <v>KANGIN LEE</v>
      </c>
      <c r="E62" s="5">
        <f>IFERROR(__xludf.DUMMYFUNCTION("""COMPUTED_VALUE"""),0.0)</f>
        <v>0</v>
      </c>
    </row>
    <row r="63">
      <c r="A63" s="5" t="str">
        <f>IFERROR(__xludf.DUMMYFUNCTION("""COMPUTED_VALUE"""),"KOR13")</f>
        <v>KOR13</v>
      </c>
      <c r="B63" s="5" t="str">
        <f>IFERROR(__xludf.DUMMYFUNCTION("""COMPUTED_VALUE"""),"SOUTH KOREA")</f>
        <v>SOUTH KOREA</v>
      </c>
      <c r="C63" s="5" t="str">
        <f>IFERROR(__xludf.DUMMYFUNCTION("""COMPUTED_VALUE"""),"TEAM")</f>
        <v>TEAM</v>
      </c>
      <c r="D63" s="5" t="str">
        <f>IFERROR(__xludf.DUMMYFUNCTION("""COMPUTED_VALUE"""),"SOUTH KOREA NATIONAL TEAM")</f>
        <v>SOUTH KOREA NATIONAL TEAM</v>
      </c>
      <c r="E63" s="5">
        <f>IFERROR(__xludf.DUMMYFUNCTION("""COMPUTED_VALUE"""),0.0)</f>
        <v>0</v>
      </c>
    </row>
    <row r="64">
      <c r="A64" s="5" t="str">
        <f>IFERROR(__xludf.DUMMYFUNCTION("""COMPUTED_VALUE"""),"KOR14")</f>
        <v>KOR14</v>
      </c>
      <c r="B64" s="5" t="str">
        <f>IFERROR(__xludf.DUMMYFUNCTION("""COMPUTED_VALUE"""),"SOUTH KOREA")</f>
        <v>SOUTH KOREA</v>
      </c>
      <c r="C64" s="5" t="str">
        <f>IFERROR(__xludf.DUMMYFUNCTION("""COMPUTED_VALUE"""),"NORMAL")</f>
        <v>NORMAL</v>
      </c>
      <c r="D64" s="5" t="str">
        <f>IFERROR(__xludf.DUMMYFUNCTION("""COMPUTED_VALUE"""),"SEUNGHO PAIK")</f>
        <v>SEUNGHO PAIK</v>
      </c>
      <c r="E64" s="5">
        <f>IFERROR(__xludf.DUMMYFUNCTION("""COMPUTED_VALUE"""),0.0)</f>
        <v>0</v>
      </c>
    </row>
    <row r="65">
      <c r="A65" s="5" t="str">
        <f>IFERROR(__xludf.DUMMYFUNCTION("""COMPUTED_VALUE"""),"KOR15")</f>
        <v>KOR15</v>
      </c>
      <c r="B65" s="5" t="str">
        <f>IFERROR(__xludf.DUMMYFUNCTION("""COMPUTED_VALUE"""),"SOUTH KOREA")</f>
        <v>SOUTH KOREA</v>
      </c>
      <c r="C65" s="5" t="str">
        <f>IFERROR(__xludf.DUMMYFUNCTION("""COMPUTED_VALUE"""),"NORMAL")</f>
        <v>NORMAL</v>
      </c>
      <c r="D65" s="5" t="str">
        <f>IFERROR(__xludf.DUMMYFUNCTION("""COMPUTED_VALUE"""),"JENS CASTROP")</f>
        <v>JENS CASTROP</v>
      </c>
      <c r="E65" s="5">
        <f>IFERROR(__xludf.DUMMYFUNCTION("""COMPUTED_VALUE"""),0.0)</f>
        <v>0</v>
      </c>
    </row>
    <row r="66">
      <c r="A66" s="5" t="str">
        <f>IFERROR(__xludf.DUMMYFUNCTION("""COMPUTED_VALUE"""),"KOR16")</f>
        <v>KOR16</v>
      </c>
      <c r="B66" s="5" t="str">
        <f>IFERROR(__xludf.DUMMYFUNCTION("""COMPUTED_VALUE"""),"SOUTH KOREA")</f>
        <v>SOUTH KOREA</v>
      </c>
      <c r="C66" s="5" t="str">
        <f>IFERROR(__xludf.DUMMYFUNCTION("""COMPUTED_VALUE"""),"NORMAL")</f>
        <v>NORMAL</v>
      </c>
      <c r="D66" s="5" t="str">
        <f>IFERROR(__xludf.DUMMYFUNCTION("""COMPUTED_VALUE"""),"DONGGYEONG LEE")</f>
        <v>DONGGYEONG LEE</v>
      </c>
      <c r="E66" s="5">
        <f>IFERROR(__xludf.DUMMYFUNCTION("""COMPUTED_VALUE"""),0.0)</f>
        <v>0</v>
      </c>
    </row>
    <row r="67">
      <c r="A67" s="5" t="str">
        <f>IFERROR(__xludf.DUMMYFUNCTION("""COMPUTED_VALUE"""),"KOR17")</f>
        <v>KOR17</v>
      </c>
      <c r="B67" s="5" t="str">
        <f>IFERROR(__xludf.DUMMYFUNCTION("""COMPUTED_VALUE"""),"SOUTH KOREA")</f>
        <v>SOUTH KOREA</v>
      </c>
      <c r="C67" s="5" t="str">
        <f>IFERROR(__xludf.DUMMYFUNCTION("""COMPUTED_VALUE"""),"NORMAL")</f>
        <v>NORMAL</v>
      </c>
      <c r="D67" s="5" t="str">
        <f>IFERROR(__xludf.DUMMYFUNCTION("""COMPUTED_VALUE"""),"GUESUNG CHO")</f>
        <v>GUESUNG CHO</v>
      </c>
      <c r="E67" s="5">
        <f>IFERROR(__xludf.DUMMYFUNCTION("""COMPUTED_VALUE"""),0.0)</f>
        <v>0</v>
      </c>
    </row>
    <row r="68">
      <c r="A68" s="5" t="str">
        <f>IFERROR(__xludf.DUMMYFUNCTION("""COMPUTED_VALUE"""),"KOR18")</f>
        <v>KOR18</v>
      </c>
      <c r="B68" s="5" t="str">
        <f>IFERROR(__xludf.DUMMYFUNCTION("""COMPUTED_VALUE"""),"SOUTH KOREA")</f>
        <v>SOUTH KOREA</v>
      </c>
      <c r="C68" s="5" t="str">
        <f>IFERROR(__xludf.DUMMYFUNCTION("""COMPUTED_VALUE"""),"NORMAL")</f>
        <v>NORMAL</v>
      </c>
      <c r="D68" s="5" t="str">
        <f>IFERROR(__xludf.DUMMYFUNCTION("""COMPUTED_VALUE"""),"HEUNGMIN SON")</f>
        <v>HEUNGMIN SON</v>
      </c>
      <c r="E68" s="5">
        <f>IFERROR(__xludf.DUMMYFUNCTION("""COMPUTED_VALUE"""),0.0)</f>
        <v>0</v>
      </c>
    </row>
    <row r="69">
      <c r="A69" s="5" t="str">
        <f>IFERROR(__xludf.DUMMYFUNCTION("""COMPUTED_VALUE"""),"KOR19")</f>
        <v>KOR19</v>
      </c>
      <c r="B69" s="5" t="str">
        <f>IFERROR(__xludf.DUMMYFUNCTION("""COMPUTED_VALUE"""),"SOUTH KOREA")</f>
        <v>SOUTH KOREA</v>
      </c>
      <c r="C69" s="5" t="str">
        <f>IFERROR(__xludf.DUMMYFUNCTION("""COMPUTED_VALUE"""),"NORMAL")</f>
        <v>NORMAL</v>
      </c>
      <c r="D69" s="5" t="str">
        <f>IFERROR(__xludf.DUMMYFUNCTION("""COMPUTED_VALUE"""),"HEECHAN HWANG")</f>
        <v>HEECHAN HWANG</v>
      </c>
      <c r="E69" s="5">
        <f>IFERROR(__xludf.DUMMYFUNCTION("""COMPUTED_VALUE"""),0.0)</f>
        <v>0</v>
      </c>
    </row>
    <row r="70">
      <c r="A70" s="5" t="str">
        <f>IFERROR(__xludf.DUMMYFUNCTION("""COMPUTED_VALUE"""),"KOR20")</f>
        <v>KOR20</v>
      </c>
      <c r="B70" s="5" t="str">
        <f>IFERROR(__xludf.DUMMYFUNCTION("""COMPUTED_VALUE"""),"SOUTH KOREA")</f>
        <v>SOUTH KOREA</v>
      </c>
      <c r="C70" s="5" t="str">
        <f>IFERROR(__xludf.DUMMYFUNCTION("""COMPUTED_VALUE"""),"NORMAL")</f>
        <v>NORMAL</v>
      </c>
      <c r="D70" s="5" t="str">
        <f>IFERROR(__xludf.DUMMYFUNCTION("""COMPUTED_VALUE"""),"HYEONGYU OH")</f>
        <v>HYEONGYU OH</v>
      </c>
      <c r="E70" s="5">
        <f>IFERROR(__xludf.DUMMYFUNCTION("""COMPUTED_VALUE"""),0.0)</f>
        <v>0</v>
      </c>
    </row>
    <row r="71">
      <c r="A71" s="5" t="str">
        <f>IFERROR(__xludf.DUMMYFUNCTION("""COMPUTED_VALUE"""),"CZE01")</f>
        <v>CZE01</v>
      </c>
      <c r="B71" s="5" t="str">
        <f>IFERROR(__xludf.DUMMYFUNCTION("""COMPUTED_VALUE"""),"CZCECHIA")</f>
        <v>CZCECHIA</v>
      </c>
      <c r="C71" s="5" t="str">
        <f>IFERROR(__xludf.DUMMYFUNCTION("""COMPUTED_VALUE"""),"BADGE")</f>
        <v>BADGE</v>
      </c>
      <c r="D71" s="5" t="str">
        <f>IFERROR(__xludf.DUMMYFUNCTION("""COMPUTED_VALUE"""),"CZECHIA NATIONAL TEAM")</f>
        <v>CZECHIA NATIONAL TEAM</v>
      </c>
      <c r="E71" s="5">
        <f>IFERROR(__xludf.DUMMYFUNCTION("""COMPUTED_VALUE"""),0.0)</f>
        <v>0</v>
      </c>
    </row>
    <row r="72">
      <c r="A72" s="5" t="str">
        <f>IFERROR(__xludf.DUMMYFUNCTION("""COMPUTED_VALUE"""),"CZE02")</f>
        <v>CZE02</v>
      </c>
      <c r="B72" s="5" t="str">
        <f>IFERROR(__xludf.DUMMYFUNCTION("""COMPUTED_VALUE"""),"CZCECHIA")</f>
        <v>CZCECHIA</v>
      </c>
      <c r="C72" s="5" t="str">
        <f>IFERROR(__xludf.DUMMYFUNCTION("""COMPUTED_VALUE"""),"NORMAL")</f>
        <v>NORMAL</v>
      </c>
      <c r="D72" s="5" t="str">
        <f>IFERROR(__xludf.DUMMYFUNCTION("""COMPUTED_VALUE"""),"MATEJ KOVAR")</f>
        <v>MATEJ KOVAR</v>
      </c>
      <c r="E72" s="5">
        <f>IFERROR(__xludf.DUMMYFUNCTION("""COMPUTED_VALUE"""),0.0)</f>
        <v>0</v>
      </c>
    </row>
    <row r="73">
      <c r="A73" s="5" t="str">
        <f>IFERROR(__xludf.DUMMYFUNCTION("""COMPUTED_VALUE"""),"CZE03")</f>
        <v>CZE03</v>
      </c>
      <c r="B73" s="5" t="str">
        <f>IFERROR(__xludf.DUMMYFUNCTION("""COMPUTED_VALUE"""),"CZCECHIA")</f>
        <v>CZCECHIA</v>
      </c>
      <c r="C73" s="5" t="str">
        <f>IFERROR(__xludf.DUMMYFUNCTION("""COMPUTED_VALUE"""),"NORMAL")</f>
        <v>NORMAL</v>
      </c>
      <c r="D73" s="5" t="str">
        <f>IFERROR(__xludf.DUMMYFUNCTION("""COMPUTED_VALUE"""),"JINDRICH STANEK")</f>
        <v>JINDRICH STANEK</v>
      </c>
      <c r="E73" s="5">
        <f>IFERROR(__xludf.DUMMYFUNCTION("""COMPUTED_VALUE"""),0.0)</f>
        <v>0</v>
      </c>
    </row>
    <row r="74">
      <c r="A74" s="5" t="str">
        <f>IFERROR(__xludf.DUMMYFUNCTION("""COMPUTED_VALUE"""),"CZE04")</f>
        <v>CZE04</v>
      </c>
      <c r="B74" s="5" t="str">
        <f>IFERROR(__xludf.DUMMYFUNCTION("""COMPUTED_VALUE"""),"CZCECHIA")</f>
        <v>CZCECHIA</v>
      </c>
      <c r="C74" s="5" t="str">
        <f>IFERROR(__xludf.DUMMYFUNCTION("""COMPUTED_VALUE"""),"NORMAL")</f>
        <v>NORMAL</v>
      </c>
      <c r="D74" s="5" t="str">
        <f>IFERROR(__xludf.DUMMYFUNCTION("""COMPUTED_VALUE"""),"LADISLAV KREJCI")</f>
        <v>LADISLAV KREJCI</v>
      </c>
      <c r="E74" s="5">
        <f>IFERROR(__xludf.DUMMYFUNCTION("""COMPUTED_VALUE"""),0.0)</f>
        <v>0</v>
      </c>
    </row>
    <row r="75">
      <c r="A75" s="5" t="str">
        <f>IFERROR(__xludf.DUMMYFUNCTION("""COMPUTED_VALUE"""),"CZE05")</f>
        <v>CZE05</v>
      </c>
      <c r="B75" s="5" t="str">
        <f>IFERROR(__xludf.DUMMYFUNCTION("""COMPUTED_VALUE"""),"CZCECHIA")</f>
        <v>CZCECHIA</v>
      </c>
      <c r="C75" s="5" t="str">
        <f>IFERROR(__xludf.DUMMYFUNCTION("""COMPUTED_VALUE"""),"NORMAL")</f>
        <v>NORMAL</v>
      </c>
      <c r="D75" s="5" t="str">
        <f>IFERROR(__xludf.DUMMYFUNCTION("""COMPUTED_VALUE"""),"VLADIMIR COUFAL")</f>
        <v>VLADIMIR COUFAL</v>
      </c>
      <c r="E75" s="5">
        <f>IFERROR(__xludf.DUMMYFUNCTION("""COMPUTED_VALUE"""),0.0)</f>
        <v>0</v>
      </c>
    </row>
    <row r="76">
      <c r="A76" s="5" t="str">
        <f>IFERROR(__xludf.DUMMYFUNCTION("""COMPUTED_VALUE"""),"CZE06")</f>
        <v>CZE06</v>
      </c>
      <c r="B76" s="5" t="str">
        <f>IFERROR(__xludf.DUMMYFUNCTION("""COMPUTED_VALUE"""),"CZCECHIA")</f>
        <v>CZCECHIA</v>
      </c>
      <c r="C76" s="5" t="str">
        <f>IFERROR(__xludf.DUMMYFUNCTION("""COMPUTED_VALUE"""),"NORMAL")</f>
        <v>NORMAL</v>
      </c>
      <c r="D76" s="5" t="str">
        <f>IFERROR(__xludf.DUMMYFUNCTION("""COMPUTED_VALUE"""),"JAROSLAV ZELENY")</f>
        <v>JAROSLAV ZELENY</v>
      </c>
      <c r="E76" s="5">
        <f>IFERROR(__xludf.DUMMYFUNCTION("""COMPUTED_VALUE"""),0.0)</f>
        <v>0</v>
      </c>
    </row>
    <row r="77">
      <c r="A77" s="5" t="str">
        <f>IFERROR(__xludf.DUMMYFUNCTION("""COMPUTED_VALUE"""),"CZE07")</f>
        <v>CZE07</v>
      </c>
      <c r="B77" s="5" t="str">
        <f>IFERROR(__xludf.DUMMYFUNCTION("""COMPUTED_VALUE"""),"CZCECHIA")</f>
        <v>CZCECHIA</v>
      </c>
      <c r="C77" s="5" t="str">
        <f>IFERROR(__xludf.DUMMYFUNCTION("""COMPUTED_VALUE"""),"NORMAL")</f>
        <v>NORMAL</v>
      </c>
      <c r="D77" s="5" t="str">
        <f>IFERROR(__xludf.DUMMYFUNCTION("""COMPUTED_VALUE"""),"TOMAS HOLES")</f>
        <v>TOMAS HOLES</v>
      </c>
      <c r="E77" s="5">
        <f>IFERROR(__xludf.DUMMYFUNCTION("""COMPUTED_VALUE"""),0.0)</f>
        <v>0</v>
      </c>
    </row>
    <row r="78">
      <c r="A78" s="5" t="str">
        <f>IFERROR(__xludf.DUMMYFUNCTION("""COMPUTED_VALUE"""),"CZE08")</f>
        <v>CZE08</v>
      </c>
      <c r="B78" s="5" t="str">
        <f>IFERROR(__xludf.DUMMYFUNCTION("""COMPUTED_VALUE"""),"CZCECHIA")</f>
        <v>CZCECHIA</v>
      </c>
      <c r="C78" s="5" t="str">
        <f>IFERROR(__xludf.DUMMYFUNCTION("""COMPUTED_VALUE"""),"NORMAL")</f>
        <v>NORMAL</v>
      </c>
      <c r="D78" s="5" t="str">
        <f>IFERROR(__xludf.DUMMYFUNCTION("""COMPUTED_VALUE"""),"DAVID ZIMA")</f>
        <v>DAVID ZIMA</v>
      </c>
      <c r="E78" s="5">
        <f>IFERROR(__xludf.DUMMYFUNCTION("""COMPUTED_VALUE"""),0.0)</f>
        <v>0</v>
      </c>
    </row>
    <row r="79">
      <c r="A79" s="5" t="str">
        <f>IFERROR(__xludf.DUMMYFUNCTION("""COMPUTED_VALUE"""),"CZE09")</f>
        <v>CZE09</v>
      </c>
      <c r="B79" s="5" t="str">
        <f>IFERROR(__xludf.DUMMYFUNCTION("""COMPUTED_VALUE"""),"CZCECHIA")</f>
        <v>CZCECHIA</v>
      </c>
      <c r="C79" s="5" t="str">
        <f>IFERROR(__xludf.DUMMYFUNCTION("""COMPUTED_VALUE"""),"NORMAL")</f>
        <v>NORMAL</v>
      </c>
      <c r="D79" s="5" t="str">
        <f>IFERROR(__xludf.DUMMYFUNCTION("""COMPUTED_VALUE"""),"MICHAL SADILEK")</f>
        <v>MICHAL SADILEK</v>
      </c>
      <c r="E79" s="5">
        <f>IFERROR(__xludf.DUMMYFUNCTION("""COMPUTED_VALUE"""),0.0)</f>
        <v>0</v>
      </c>
    </row>
    <row r="80">
      <c r="A80" s="5" t="str">
        <f>IFERROR(__xludf.DUMMYFUNCTION("""COMPUTED_VALUE"""),"CZE10")</f>
        <v>CZE10</v>
      </c>
      <c r="B80" s="5" t="str">
        <f>IFERROR(__xludf.DUMMYFUNCTION("""COMPUTED_VALUE"""),"CZCECHIA")</f>
        <v>CZCECHIA</v>
      </c>
      <c r="C80" s="5" t="str">
        <f>IFERROR(__xludf.DUMMYFUNCTION("""COMPUTED_VALUE"""),"NORMAL")</f>
        <v>NORMAL</v>
      </c>
      <c r="D80" s="5" t="str">
        <f>IFERROR(__xludf.DUMMYFUNCTION("""COMPUTED_VALUE"""),"LUKAS PROVOD")</f>
        <v>LUKAS PROVOD</v>
      </c>
      <c r="E80" s="5">
        <f>IFERROR(__xludf.DUMMYFUNCTION("""COMPUTED_VALUE"""),0.0)</f>
        <v>0</v>
      </c>
    </row>
    <row r="81">
      <c r="A81" s="5" t="str">
        <f>IFERROR(__xludf.DUMMYFUNCTION("""COMPUTED_VALUE"""),"CZE11")</f>
        <v>CZE11</v>
      </c>
      <c r="B81" s="5" t="str">
        <f>IFERROR(__xludf.DUMMYFUNCTION("""COMPUTED_VALUE"""),"CZCECHIA")</f>
        <v>CZCECHIA</v>
      </c>
      <c r="C81" s="5" t="str">
        <f>IFERROR(__xludf.DUMMYFUNCTION("""COMPUTED_VALUE"""),"NORMAL")</f>
        <v>NORMAL</v>
      </c>
      <c r="D81" s="5" t="str">
        <f>IFERROR(__xludf.DUMMYFUNCTION("""COMPUTED_VALUE"""),"LUKAS CERV")</f>
        <v>LUKAS CERV</v>
      </c>
      <c r="E81" s="5">
        <f>IFERROR(__xludf.DUMMYFUNCTION("""COMPUTED_VALUE"""),0.0)</f>
        <v>0</v>
      </c>
    </row>
    <row r="82">
      <c r="A82" s="5" t="str">
        <f>IFERROR(__xludf.DUMMYFUNCTION("""COMPUTED_VALUE"""),"CZE12")</f>
        <v>CZE12</v>
      </c>
      <c r="B82" s="5" t="str">
        <f>IFERROR(__xludf.DUMMYFUNCTION("""COMPUTED_VALUE"""),"CZCECHIA")</f>
        <v>CZCECHIA</v>
      </c>
      <c r="C82" s="5" t="str">
        <f>IFERROR(__xludf.DUMMYFUNCTION("""COMPUTED_VALUE"""),"NORMAL")</f>
        <v>NORMAL</v>
      </c>
      <c r="D82" s="5" t="str">
        <f>IFERROR(__xludf.DUMMYFUNCTION("""COMPUTED_VALUE"""),"TOMAS SOUCEK")</f>
        <v>TOMAS SOUCEK</v>
      </c>
      <c r="E82" s="5">
        <f>IFERROR(__xludf.DUMMYFUNCTION("""COMPUTED_VALUE"""),0.0)</f>
        <v>0</v>
      </c>
    </row>
    <row r="83">
      <c r="A83" s="5" t="str">
        <f>IFERROR(__xludf.DUMMYFUNCTION("""COMPUTED_VALUE"""),"CZE13")</f>
        <v>CZE13</v>
      </c>
      <c r="B83" s="5" t="str">
        <f>IFERROR(__xludf.DUMMYFUNCTION("""COMPUTED_VALUE"""),"CZCECHIA")</f>
        <v>CZCECHIA</v>
      </c>
      <c r="C83" s="5" t="str">
        <f>IFERROR(__xludf.DUMMYFUNCTION("""COMPUTED_VALUE"""),"TEAM")</f>
        <v>TEAM</v>
      </c>
      <c r="D83" s="5" t="str">
        <f>IFERROR(__xludf.DUMMYFUNCTION("""COMPUTED_VALUE"""),"CZECHIA NATIONAL TEAM")</f>
        <v>CZECHIA NATIONAL TEAM</v>
      </c>
      <c r="E83" s="5">
        <f>IFERROR(__xludf.DUMMYFUNCTION("""COMPUTED_VALUE"""),0.0)</f>
        <v>0</v>
      </c>
    </row>
    <row r="84">
      <c r="A84" s="5" t="str">
        <f>IFERROR(__xludf.DUMMYFUNCTION("""COMPUTED_VALUE"""),"CZE14")</f>
        <v>CZE14</v>
      </c>
      <c r="B84" s="5" t="str">
        <f>IFERROR(__xludf.DUMMYFUNCTION("""COMPUTED_VALUE"""),"CZCECHIA")</f>
        <v>CZCECHIA</v>
      </c>
      <c r="C84" s="5" t="str">
        <f>IFERROR(__xludf.DUMMYFUNCTION("""COMPUTED_VALUE"""),"NORMAL")</f>
        <v>NORMAL</v>
      </c>
      <c r="D84" s="5" t="str">
        <f>IFERROR(__xludf.DUMMYFUNCTION("""COMPUTED_VALUE"""),"PAVEL SULC")</f>
        <v>PAVEL SULC</v>
      </c>
      <c r="E84" s="5">
        <f>IFERROR(__xludf.DUMMYFUNCTION("""COMPUTED_VALUE"""),0.0)</f>
        <v>0</v>
      </c>
    </row>
    <row r="85">
      <c r="A85" s="5" t="str">
        <f>IFERROR(__xludf.DUMMYFUNCTION("""COMPUTED_VALUE"""),"CZE15")</f>
        <v>CZE15</v>
      </c>
      <c r="B85" s="5" t="str">
        <f>IFERROR(__xludf.DUMMYFUNCTION("""COMPUTED_VALUE"""),"CZCECHIA")</f>
        <v>CZCECHIA</v>
      </c>
      <c r="C85" s="5" t="str">
        <f>IFERROR(__xludf.DUMMYFUNCTION("""COMPUTED_VALUE"""),"NORMAL")</f>
        <v>NORMAL</v>
      </c>
      <c r="D85" s="5" t="str">
        <f>IFERROR(__xludf.DUMMYFUNCTION("""COMPUTED_VALUE"""),"MATEJ VYDRA")</f>
        <v>MATEJ VYDRA</v>
      </c>
      <c r="E85" s="5">
        <f>IFERROR(__xludf.DUMMYFUNCTION("""COMPUTED_VALUE"""),0.0)</f>
        <v>0</v>
      </c>
    </row>
    <row r="86">
      <c r="A86" s="5" t="str">
        <f>IFERROR(__xludf.DUMMYFUNCTION("""COMPUTED_VALUE"""),"CZE16")</f>
        <v>CZE16</v>
      </c>
      <c r="B86" s="5" t="str">
        <f>IFERROR(__xludf.DUMMYFUNCTION("""COMPUTED_VALUE"""),"CZCECHIA")</f>
        <v>CZCECHIA</v>
      </c>
      <c r="C86" s="5" t="str">
        <f>IFERROR(__xludf.DUMMYFUNCTION("""COMPUTED_VALUE"""),"NORMAL")</f>
        <v>NORMAL</v>
      </c>
      <c r="D86" s="5" t="str">
        <f>IFERROR(__xludf.DUMMYFUNCTION("""COMPUTED_VALUE"""),"VASIL KUSEJ")</f>
        <v>VASIL KUSEJ</v>
      </c>
      <c r="E86" s="5">
        <f>IFERROR(__xludf.DUMMYFUNCTION("""COMPUTED_VALUE"""),0.0)</f>
        <v>0</v>
      </c>
    </row>
    <row r="87">
      <c r="A87" s="5" t="str">
        <f>IFERROR(__xludf.DUMMYFUNCTION("""COMPUTED_VALUE"""),"CZE17")</f>
        <v>CZE17</v>
      </c>
      <c r="B87" s="5" t="str">
        <f>IFERROR(__xludf.DUMMYFUNCTION("""COMPUTED_VALUE"""),"CZCECHIA")</f>
        <v>CZCECHIA</v>
      </c>
      <c r="C87" s="5" t="str">
        <f>IFERROR(__xludf.DUMMYFUNCTION("""COMPUTED_VALUE"""),"NORMAL")</f>
        <v>NORMAL</v>
      </c>
      <c r="D87" s="5" t="str">
        <f>IFERROR(__xludf.DUMMYFUNCTION("""COMPUTED_VALUE"""),"TOMAS CHORY")</f>
        <v>TOMAS CHORY</v>
      </c>
      <c r="E87" s="5">
        <f>IFERROR(__xludf.DUMMYFUNCTION("""COMPUTED_VALUE"""),0.0)</f>
        <v>0</v>
      </c>
    </row>
    <row r="88">
      <c r="A88" s="5" t="str">
        <f>IFERROR(__xludf.DUMMYFUNCTION("""COMPUTED_VALUE"""),"CZE18")</f>
        <v>CZE18</v>
      </c>
      <c r="B88" s="5" t="str">
        <f>IFERROR(__xludf.DUMMYFUNCTION("""COMPUTED_VALUE"""),"CZCECHIA")</f>
        <v>CZCECHIA</v>
      </c>
      <c r="C88" s="5" t="str">
        <f>IFERROR(__xludf.DUMMYFUNCTION("""COMPUTED_VALUE"""),"NORMAL")</f>
        <v>NORMAL</v>
      </c>
      <c r="D88" s="5" t="str">
        <f>IFERROR(__xludf.DUMMYFUNCTION("""COMPUTED_VALUE"""),"VACLAV CHERNY")</f>
        <v>VACLAV CHERNY</v>
      </c>
      <c r="E88" s="5">
        <f>IFERROR(__xludf.DUMMYFUNCTION("""COMPUTED_VALUE"""),0.0)</f>
        <v>0</v>
      </c>
    </row>
    <row r="89">
      <c r="A89" s="5" t="str">
        <f>IFERROR(__xludf.DUMMYFUNCTION("""COMPUTED_VALUE"""),"CZE19")</f>
        <v>CZE19</v>
      </c>
      <c r="B89" s="5" t="str">
        <f>IFERROR(__xludf.DUMMYFUNCTION("""COMPUTED_VALUE"""),"CZCECHIA")</f>
        <v>CZCECHIA</v>
      </c>
      <c r="C89" s="5" t="str">
        <f>IFERROR(__xludf.DUMMYFUNCTION("""COMPUTED_VALUE"""),"NORMAL")</f>
        <v>NORMAL</v>
      </c>
      <c r="D89" s="5" t="str">
        <f>IFERROR(__xludf.DUMMYFUNCTION("""COMPUTED_VALUE"""),"ADAM HLOZEK")</f>
        <v>ADAM HLOZEK</v>
      </c>
      <c r="E89" s="5">
        <f>IFERROR(__xludf.DUMMYFUNCTION("""COMPUTED_VALUE"""),0.0)</f>
        <v>0</v>
      </c>
    </row>
    <row r="90">
      <c r="A90" s="5" t="str">
        <f>IFERROR(__xludf.DUMMYFUNCTION("""COMPUTED_VALUE"""),"CZE20")</f>
        <v>CZE20</v>
      </c>
      <c r="B90" s="5" t="str">
        <f>IFERROR(__xludf.DUMMYFUNCTION("""COMPUTED_VALUE"""),"CZCECHIA")</f>
        <v>CZCECHIA</v>
      </c>
      <c r="C90" s="5" t="str">
        <f>IFERROR(__xludf.DUMMYFUNCTION("""COMPUTED_VALUE"""),"NORMAL")</f>
        <v>NORMAL</v>
      </c>
      <c r="D90" s="5" t="str">
        <f>IFERROR(__xludf.DUMMYFUNCTION("""COMPUTED_VALUE"""),"PATRICK SHICK")</f>
        <v>PATRICK SHICK</v>
      </c>
      <c r="E90" s="5">
        <f>IFERROR(__xludf.DUMMYFUNCTION("""COMPUTED_VALUE"""),0.0)</f>
        <v>0</v>
      </c>
    </row>
    <row r="91">
      <c r="A91" s="5" t="str">
        <f>IFERROR(__xludf.DUMMYFUNCTION("""COMPUTED_VALUE"""),"CAN01")</f>
        <v>CAN01</v>
      </c>
      <c r="B91" s="5" t="str">
        <f>IFERROR(__xludf.DUMMYFUNCTION("""COMPUTED_VALUE"""),"CANADA")</f>
        <v>CANADA</v>
      </c>
      <c r="C91" s="5" t="str">
        <f>IFERROR(__xludf.DUMMYFUNCTION("""COMPUTED_VALUE"""),"BADGE")</f>
        <v>BADGE</v>
      </c>
      <c r="D91" s="5" t="str">
        <f>IFERROR(__xludf.DUMMYFUNCTION("""COMPUTED_VALUE"""),"CANADA NATIONAL TEAM")</f>
        <v>CANADA NATIONAL TEAM</v>
      </c>
      <c r="E91" s="5">
        <f>IFERROR(__xludf.DUMMYFUNCTION("""COMPUTED_VALUE"""),0.0)</f>
        <v>0</v>
      </c>
    </row>
    <row r="92">
      <c r="A92" s="5" t="str">
        <f>IFERROR(__xludf.DUMMYFUNCTION("""COMPUTED_VALUE"""),"CAN02")</f>
        <v>CAN02</v>
      </c>
      <c r="B92" s="5" t="str">
        <f>IFERROR(__xludf.DUMMYFUNCTION("""COMPUTED_VALUE"""),"CANADA")</f>
        <v>CANADA</v>
      </c>
      <c r="C92" s="5" t="str">
        <f>IFERROR(__xludf.DUMMYFUNCTION("""COMPUTED_VALUE"""),"NORMAL")</f>
        <v>NORMAL</v>
      </c>
      <c r="D92" s="5" t="str">
        <f>IFERROR(__xludf.DUMMYFUNCTION("""COMPUTED_VALUE"""),"DAYNE ST. CLAIR")</f>
        <v>DAYNE ST. CLAIR</v>
      </c>
      <c r="E92" s="5">
        <f>IFERROR(__xludf.DUMMYFUNCTION("""COMPUTED_VALUE"""),0.0)</f>
        <v>0</v>
      </c>
    </row>
    <row r="93">
      <c r="A93" s="5" t="str">
        <f>IFERROR(__xludf.DUMMYFUNCTION("""COMPUTED_VALUE"""),"CAN03")</f>
        <v>CAN03</v>
      </c>
      <c r="B93" s="5" t="str">
        <f>IFERROR(__xludf.DUMMYFUNCTION("""COMPUTED_VALUE"""),"CANADA")</f>
        <v>CANADA</v>
      </c>
      <c r="C93" s="5" t="str">
        <f>IFERROR(__xludf.DUMMYFUNCTION("""COMPUTED_VALUE"""),"NORMAL")</f>
        <v>NORMAL</v>
      </c>
      <c r="D93" s="5" t="str">
        <f>IFERROR(__xludf.DUMMYFUNCTION("""COMPUTED_VALUE"""),"ALPHONSO DAVIES")</f>
        <v>ALPHONSO DAVIES</v>
      </c>
      <c r="E93" s="5">
        <f>IFERROR(__xludf.DUMMYFUNCTION("""COMPUTED_VALUE"""),0.0)</f>
        <v>0</v>
      </c>
    </row>
    <row r="94">
      <c r="A94" s="5" t="str">
        <f>IFERROR(__xludf.DUMMYFUNCTION("""COMPUTED_VALUE"""),"CAN04")</f>
        <v>CAN04</v>
      </c>
      <c r="B94" s="5" t="str">
        <f>IFERROR(__xludf.DUMMYFUNCTION("""COMPUTED_VALUE"""),"CANADA")</f>
        <v>CANADA</v>
      </c>
      <c r="C94" s="5" t="str">
        <f>IFERROR(__xludf.DUMMYFUNCTION("""COMPUTED_VALUE"""),"NORMAL")</f>
        <v>NORMAL</v>
      </c>
      <c r="D94" s="5" t="str">
        <f>IFERROR(__xludf.DUMMYFUNCTION("""COMPUTED_VALUE"""),"ALISTAIR JOHNSTON")</f>
        <v>ALISTAIR JOHNSTON</v>
      </c>
      <c r="E94" s="5">
        <f>IFERROR(__xludf.DUMMYFUNCTION("""COMPUTED_VALUE"""),0.0)</f>
        <v>0</v>
      </c>
    </row>
    <row r="95">
      <c r="A95" s="5" t="str">
        <f>IFERROR(__xludf.DUMMYFUNCTION("""COMPUTED_VALUE"""),"CAN05")</f>
        <v>CAN05</v>
      </c>
      <c r="B95" s="5" t="str">
        <f>IFERROR(__xludf.DUMMYFUNCTION("""COMPUTED_VALUE"""),"CANADA")</f>
        <v>CANADA</v>
      </c>
      <c r="C95" s="5" t="str">
        <f>IFERROR(__xludf.DUMMYFUNCTION("""COMPUTED_VALUE"""),"NORMAL")</f>
        <v>NORMAL</v>
      </c>
      <c r="D95" s="5" t="str">
        <f>IFERROR(__xludf.DUMMYFUNCTION("""COMPUTED_VALUE"""),"SAMUEL ADEKUGBE")</f>
        <v>SAMUEL ADEKUGBE</v>
      </c>
      <c r="E95" s="5">
        <f>IFERROR(__xludf.DUMMYFUNCTION("""COMPUTED_VALUE"""),0.0)</f>
        <v>0</v>
      </c>
    </row>
    <row r="96">
      <c r="A96" s="5" t="str">
        <f>IFERROR(__xludf.DUMMYFUNCTION("""COMPUTED_VALUE"""),"CAN06")</f>
        <v>CAN06</v>
      </c>
      <c r="B96" s="5" t="str">
        <f>IFERROR(__xludf.DUMMYFUNCTION("""COMPUTED_VALUE"""),"CANADA")</f>
        <v>CANADA</v>
      </c>
      <c r="C96" s="5" t="str">
        <f>IFERROR(__xludf.DUMMYFUNCTION("""COMPUTED_VALUE"""),"NORMAL")</f>
        <v>NORMAL</v>
      </c>
      <c r="D96" s="5" t="str">
        <f>IFERROR(__xludf.DUMMYFUNCTION("""COMPUTED_VALUE"""),"RICHIE LARVEA")</f>
        <v>RICHIE LARVEA</v>
      </c>
      <c r="E96" s="5">
        <f>IFERROR(__xludf.DUMMYFUNCTION("""COMPUTED_VALUE"""),0.0)</f>
        <v>0</v>
      </c>
    </row>
    <row r="97">
      <c r="A97" s="5" t="str">
        <f>IFERROR(__xludf.DUMMYFUNCTION("""COMPUTED_VALUE"""),"CAN07")</f>
        <v>CAN07</v>
      </c>
      <c r="B97" s="5" t="str">
        <f>IFERROR(__xludf.DUMMYFUNCTION("""COMPUTED_VALUE"""),"CANADA")</f>
        <v>CANADA</v>
      </c>
      <c r="C97" s="5" t="str">
        <f>IFERROR(__xludf.DUMMYFUNCTION("""COMPUTED_VALUE"""),"NORMAL")</f>
        <v>NORMAL</v>
      </c>
      <c r="D97" s="5" t="str">
        <f>IFERROR(__xludf.DUMMYFUNCTION("""COMPUTED_VALUE"""),"DEREK CORNELIUS")</f>
        <v>DEREK CORNELIUS</v>
      </c>
      <c r="E97" s="5">
        <f>IFERROR(__xludf.DUMMYFUNCTION("""COMPUTED_VALUE"""),0.0)</f>
        <v>0</v>
      </c>
    </row>
    <row r="98">
      <c r="A98" s="5" t="str">
        <f>IFERROR(__xludf.DUMMYFUNCTION("""COMPUTED_VALUE"""),"CAN08")</f>
        <v>CAN08</v>
      </c>
      <c r="B98" s="5" t="str">
        <f>IFERROR(__xludf.DUMMYFUNCTION("""COMPUTED_VALUE"""),"CANADA")</f>
        <v>CANADA</v>
      </c>
      <c r="C98" s="5" t="str">
        <f>IFERROR(__xludf.DUMMYFUNCTION("""COMPUTED_VALUE"""),"NORMAL")</f>
        <v>NORMAL</v>
      </c>
      <c r="D98" s="5" t="str">
        <f>IFERROR(__xludf.DUMMYFUNCTION("""COMPUTED_VALUE"""),"MOISE BOMBITO")</f>
        <v>MOISE BOMBITO</v>
      </c>
      <c r="E98" s="5">
        <f>IFERROR(__xludf.DUMMYFUNCTION("""COMPUTED_VALUE"""),0.0)</f>
        <v>0</v>
      </c>
    </row>
    <row r="99">
      <c r="A99" s="5" t="str">
        <f>IFERROR(__xludf.DUMMYFUNCTION("""COMPUTED_VALUE"""),"CAN09")</f>
        <v>CAN09</v>
      </c>
      <c r="B99" s="5" t="str">
        <f>IFERROR(__xludf.DUMMYFUNCTION("""COMPUTED_VALUE"""),"CANADA")</f>
        <v>CANADA</v>
      </c>
      <c r="C99" s="5" t="str">
        <f>IFERROR(__xludf.DUMMYFUNCTION("""COMPUTED_VALUE"""),"NORMAL")</f>
        <v>NORMAL</v>
      </c>
      <c r="D99" s="5" t="str">
        <f>IFERROR(__xludf.DUMMYFUNCTION("""COMPUTED_VALUE"""),"KAMAL MILLER")</f>
        <v>KAMAL MILLER</v>
      </c>
      <c r="E99" s="5">
        <f>IFERROR(__xludf.DUMMYFUNCTION("""COMPUTED_VALUE"""),0.0)</f>
        <v>0</v>
      </c>
    </row>
    <row r="100">
      <c r="A100" s="5" t="str">
        <f>IFERROR(__xludf.DUMMYFUNCTION("""COMPUTED_VALUE"""),"CAN10")</f>
        <v>CAN10</v>
      </c>
      <c r="B100" s="5" t="str">
        <f>IFERROR(__xludf.DUMMYFUNCTION("""COMPUTED_VALUE"""),"CANADA")</f>
        <v>CANADA</v>
      </c>
      <c r="C100" s="5" t="str">
        <f>IFERROR(__xludf.DUMMYFUNCTION("""COMPUTED_VALUE"""),"NORMAL")</f>
        <v>NORMAL</v>
      </c>
      <c r="D100" s="5" t="str">
        <f>IFERROR(__xludf.DUMMYFUNCTION("""COMPUTED_VALUE"""),"STEPHEN EUSTAQUIO")</f>
        <v>STEPHEN EUSTAQUIO</v>
      </c>
      <c r="E100" s="5">
        <f>IFERROR(__xludf.DUMMYFUNCTION("""COMPUTED_VALUE"""),0.0)</f>
        <v>0</v>
      </c>
    </row>
    <row r="101">
      <c r="A101" s="5" t="str">
        <f>IFERROR(__xludf.DUMMYFUNCTION("""COMPUTED_VALUE"""),"CAN11")</f>
        <v>CAN11</v>
      </c>
      <c r="B101" s="5" t="str">
        <f>IFERROR(__xludf.DUMMYFUNCTION("""COMPUTED_VALUE"""),"CANADA")</f>
        <v>CANADA</v>
      </c>
      <c r="C101" s="5" t="str">
        <f>IFERROR(__xludf.DUMMYFUNCTION("""COMPUTED_VALUE"""),"NORMAL")</f>
        <v>NORMAL</v>
      </c>
      <c r="D101" s="5" t="str">
        <f>IFERROR(__xludf.DUMMYFUNCTION("""COMPUTED_VALUE"""),"ISMAEL KONE")</f>
        <v>ISMAEL KONE</v>
      </c>
      <c r="E101" s="5">
        <f>IFERROR(__xludf.DUMMYFUNCTION("""COMPUTED_VALUE"""),0.0)</f>
        <v>0</v>
      </c>
    </row>
    <row r="102">
      <c r="A102" s="5" t="str">
        <f>IFERROR(__xludf.DUMMYFUNCTION("""COMPUTED_VALUE"""),"CAN12")</f>
        <v>CAN12</v>
      </c>
      <c r="B102" s="5" t="str">
        <f>IFERROR(__xludf.DUMMYFUNCTION("""COMPUTED_VALUE"""),"CANADA")</f>
        <v>CANADA</v>
      </c>
      <c r="C102" s="5" t="str">
        <f>IFERROR(__xludf.DUMMYFUNCTION("""COMPUTED_VALUE"""),"NORMAL")</f>
        <v>NORMAL</v>
      </c>
      <c r="D102" s="5" t="str">
        <f>IFERROR(__xludf.DUMMYFUNCTION("""COMPUTED_VALUE"""),"JONATHAN OSORIO")</f>
        <v>JONATHAN OSORIO</v>
      </c>
      <c r="E102" s="5">
        <f>IFERROR(__xludf.DUMMYFUNCTION("""COMPUTED_VALUE"""),0.0)</f>
        <v>0</v>
      </c>
    </row>
    <row r="103">
      <c r="A103" s="5" t="str">
        <f>IFERROR(__xludf.DUMMYFUNCTION("""COMPUTED_VALUE"""),"CAN13")</f>
        <v>CAN13</v>
      </c>
      <c r="B103" s="5" t="str">
        <f>IFERROR(__xludf.DUMMYFUNCTION("""COMPUTED_VALUE"""),"CANADA")</f>
        <v>CANADA</v>
      </c>
      <c r="C103" s="5" t="str">
        <f>IFERROR(__xludf.DUMMYFUNCTION("""COMPUTED_VALUE"""),"TEAM")</f>
        <v>TEAM</v>
      </c>
      <c r="D103" s="5" t="str">
        <f>IFERROR(__xludf.DUMMYFUNCTION("""COMPUTED_VALUE"""),"CANADA NATIONAL TEAM")</f>
        <v>CANADA NATIONAL TEAM</v>
      </c>
      <c r="E103" s="5">
        <f>IFERROR(__xludf.DUMMYFUNCTION("""COMPUTED_VALUE"""),0.0)</f>
        <v>0</v>
      </c>
    </row>
    <row r="104">
      <c r="A104" s="5" t="str">
        <f>IFERROR(__xludf.DUMMYFUNCTION("""COMPUTED_VALUE"""),"CAN14")</f>
        <v>CAN14</v>
      </c>
      <c r="B104" s="5" t="str">
        <f>IFERROR(__xludf.DUMMYFUNCTION("""COMPUTED_VALUE"""),"CANADA")</f>
        <v>CANADA</v>
      </c>
      <c r="C104" s="5" t="str">
        <f>IFERROR(__xludf.DUMMYFUNCTION("""COMPUTED_VALUE"""),"NORMAL")</f>
        <v>NORMAL</v>
      </c>
      <c r="D104" s="5" t="str">
        <f>IFERROR(__xludf.DUMMYFUNCTION("""COMPUTED_VALUE"""),"JACOB SHAFFELBURG")</f>
        <v>JACOB SHAFFELBURG</v>
      </c>
      <c r="E104" s="5">
        <f>IFERROR(__xludf.DUMMYFUNCTION("""COMPUTED_VALUE"""),0.0)</f>
        <v>0</v>
      </c>
    </row>
    <row r="105">
      <c r="A105" s="5" t="str">
        <f>IFERROR(__xludf.DUMMYFUNCTION("""COMPUTED_VALUE"""),"CAN15")</f>
        <v>CAN15</v>
      </c>
      <c r="B105" s="5" t="str">
        <f>IFERROR(__xludf.DUMMYFUNCTION("""COMPUTED_VALUE"""),"CANADA")</f>
        <v>CANADA</v>
      </c>
      <c r="C105" s="5" t="str">
        <f>IFERROR(__xludf.DUMMYFUNCTION("""COMPUTED_VALUE"""),"NORMAL")</f>
        <v>NORMAL</v>
      </c>
      <c r="D105" s="5" t="str">
        <f>IFERROR(__xludf.DUMMYFUNCTION("""COMPUTED_VALUE"""),"MATHIEU CHOINIERE")</f>
        <v>MATHIEU CHOINIERE</v>
      </c>
      <c r="E105" s="5">
        <f>IFERROR(__xludf.DUMMYFUNCTION("""COMPUTED_VALUE"""),0.0)</f>
        <v>0</v>
      </c>
    </row>
    <row r="106">
      <c r="A106" s="5" t="str">
        <f>IFERROR(__xludf.DUMMYFUNCTION("""COMPUTED_VALUE"""),"CAN16")</f>
        <v>CAN16</v>
      </c>
      <c r="B106" s="5" t="str">
        <f>IFERROR(__xludf.DUMMYFUNCTION("""COMPUTED_VALUE"""),"CANADA")</f>
        <v>CANADA</v>
      </c>
      <c r="C106" s="5" t="str">
        <f>IFERROR(__xludf.DUMMYFUNCTION("""COMPUTED_VALUE"""),"NORMAL")</f>
        <v>NORMAL</v>
      </c>
      <c r="D106" s="5" t="str">
        <f>IFERROR(__xludf.DUMMYFUNCTION("""COMPUTED_VALUE"""),"NIKO SIGUR")</f>
        <v>NIKO SIGUR</v>
      </c>
      <c r="E106" s="5">
        <f>IFERROR(__xludf.DUMMYFUNCTION("""COMPUTED_VALUE"""),0.0)</f>
        <v>0</v>
      </c>
    </row>
    <row r="107">
      <c r="A107" s="5" t="str">
        <f>IFERROR(__xludf.DUMMYFUNCTION("""COMPUTED_VALUE"""),"CAN17")</f>
        <v>CAN17</v>
      </c>
      <c r="B107" s="5" t="str">
        <f>IFERROR(__xludf.DUMMYFUNCTION("""COMPUTED_VALUE"""),"CANADA")</f>
        <v>CANADA</v>
      </c>
      <c r="C107" s="5" t="str">
        <f>IFERROR(__xludf.DUMMYFUNCTION("""COMPUTED_VALUE"""),"NORMAL")</f>
        <v>NORMAL</v>
      </c>
      <c r="D107" s="5" t="str">
        <f>IFERROR(__xludf.DUMMYFUNCTION("""COMPUTED_VALUE"""),"TAJON BUCHANAN")</f>
        <v>TAJON BUCHANAN</v>
      </c>
      <c r="E107" s="5">
        <f>IFERROR(__xludf.DUMMYFUNCTION("""COMPUTED_VALUE"""),0.0)</f>
        <v>0</v>
      </c>
    </row>
    <row r="108">
      <c r="A108" s="5" t="str">
        <f>IFERROR(__xludf.DUMMYFUNCTION("""COMPUTED_VALUE"""),"CAN18")</f>
        <v>CAN18</v>
      </c>
      <c r="B108" s="5" t="str">
        <f>IFERROR(__xludf.DUMMYFUNCTION("""COMPUTED_VALUE"""),"CANADA")</f>
        <v>CANADA</v>
      </c>
      <c r="C108" s="5" t="str">
        <f>IFERROR(__xludf.DUMMYFUNCTION("""COMPUTED_VALUE"""),"NORMAL")</f>
        <v>NORMAL</v>
      </c>
      <c r="D108" s="5" t="str">
        <f>IFERROR(__xludf.DUMMYFUNCTION("""COMPUTED_VALUE"""),"LIAM MILLAR")</f>
        <v>LIAM MILLAR</v>
      </c>
      <c r="E108" s="5">
        <f>IFERROR(__xludf.DUMMYFUNCTION("""COMPUTED_VALUE"""),0.0)</f>
        <v>0</v>
      </c>
    </row>
    <row r="109">
      <c r="A109" s="5" t="str">
        <f>IFERROR(__xludf.DUMMYFUNCTION("""COMPUTED_VALUE"""),"CAN19")</f>
        <v>CAN19</v>
      </c>
      <c r="B109" s="5" t="str">
        <f>IFERROR(__xludf.DUMMYFUNCTION("""COMPUTED_VALUE"""),"CANADA")</f>
        <v>CANADA</v>
      </c>
      <c r="C109" s="5" t="str">
        <f>IFERROR(__xludf.DUMMYFUNCTION("""COMPUTED_VALUE"""),"NORMAL")</f>
        <v>NORMAL</v>
      </c>
      <c r="D109" s="5" t="str">
        <f>IFERROR(__xludf.DUMMYFUNCTION("""COMPUTED_VALUE"""),"CYLE LARIN")</f>
        <v>CYLE LARIN</v>
      </c>
      <c r="E109" s="5">
        <f>IFERROR(__xludf.DUMMYFUNCTION("""COMPUTED_VALUE"""),0.0)</f>
        <v>0</v>
      </c>
    </row>
    <row r="110">
      <c r="A110" s="5" t="str">
        <f>IFERROR(__xludf.DUMMYFUNCTION("""COMPUTED_VALUE"""),"CAN20")</f>
        <v>CAN20</v>
      </c>
      <c r="B110" s="5" t="str">
        <f>IFERROR(__xludf.DUMMYFUNCTION("""COMPUTED_VALUE"""),"CANADA")</f>
        <v>CANADA</v>
      </c>
      <c r="C110" s="5" t="str">
        <f>IFERROR(__xludf.DUMMYFUNCTION("""COMPUTED_VALUE"""),"NORMAL")</f>
        <v>NORMAL</v>
      </c>
      <c r="D110" s="5" t="str">
        <f>IFERROR(__xludf.DUMMYFUNCTION("""COMPUTED_VALUE"""),"JONATHAN DAVID")</f>
        <v>JONATHAN DAVID</v>
      </c>
      <c r="E110" s="5">
        <f>IFERROR(__xludf.DUMMYFUNCTION("""COMPUTED_VALUE"""),0.0)</f>
        <v>0</v>
      </c>
    </row>
    <row r="111">
      <c r="A111" s="5" t="str">
        <f>IFERROR(__xludf.DUMMYFUNCTION("""COMPUTED_VALUE"""),"BIH01")</f>
        <v>BIH01</v>
      </c>
      <c r="B111" s="5" t="str">
        <f>IFERROR(__xludf.DUMMYFUNCTION("""COMPUTED_VALUE"""),"BOSNIA HERZEGOVINA")</f>
        <v>BOSNIA HERZEGOVINA</v>
      </c>
      <c r="C111" s="5" t="str">
        <f>IFERROR(__xludf.DUMMYFUNCTION("""COMPUTED_VALUE"""),"BADGE")</f>
        <v>BADGE</v>
      </c>
      <c r="D111" s="5" t="str">
        <f>IFERROR(__xludf.DUMMYFUNCTION("""COMPUTED_VALUE"""),"BOSNIA HERZEGOVINA NATIONAL TEAM")</f>
        <v>BOSNIA HERZEGOVINA NATIONAL TEAM</v>
      </c>
      <c r="E111" s="5">
        <f>IFERROR(__xludf.DUMMYFUNCTION("""COMPUTED_VALUE"""),0.0)</f>
        <v>0</v>
      </c>
    </row>
    <row r="112">
      <c r="A112" s="5" t="str">
        <f>IFERROR(__xludf.DUMMYFUNCTION("""COMPUTED_VALUE"""),"BIH02")</f>
        <v>BIH02</v>
      </c>
      <c r="B112" s="5" t="str">
        <f>IFERROR(__xludf.DUMMYFUNCTION("""COMPUTED_VALUE"""),"BOSNIA HERZEGOVINA")</f>
        <v>BOSNIA HERZEGOVINA</v>
      </c>
      <c r="C112" s="5" t="str">
        <f>IFERROR(__xludf.DUMMYFUNCTION("""COMPUTED_VALUE"""),"NORMAL")</f>
        <v>NORMAL</v>
      </c>
      <c r="D112" s="5" t="str">
        <f>IFERROR(__xludf.DUMMYFUNCTION("""COMPUTED_VALUE"""),"NIKOLA VASILJ")</f>
        <v>NIKOLA VASILJ</v>
      </c>
      <c r="E112" s="5">
        <f>IFERROR(__xludf.DUMMYFUNCTION("""COMPUTED_VALUE"""),0.0)</f>
        <v>0</v>
      </c>
    </row>
    <row r="113">
      <c r="A113" s="5" t="str">
        <f>IFERROR(__xludf.DUMMYFUNCTION("""COMPUTED_VALUE"""),"BIH03")</f>
        <v>BIH03</v>
      </c>
      <c r="B113" s="5" t="str">
        <f>IFERROR(__xludf.DUMMYFUNCTION("""COMPUTED_VALUE"""),"BOSNIA HERZEGOVINA")</f>
        <v>BOSNIA HERZEGOVINA</v>
      </c>
      <c r="C113" s="5" t="str">
        <f>IFERROR(__xludf.DUMMYFUNCTION("""COMPUTED_VALUE"""),"NORMAL")</f>
        <v>NORMAL</v>
      </c>
      <c r="D113" s="5" t="str">
        <f>IFERROR(__xludf.DUMMYFUNCTION("""COMPUTED_VALUE"""),"AMAR DEDIC")</f>
        <v>AMAR DEDIC</v>
      </c>
      <c r="E113" s="5">
        <f>IFERROR(__xludf.DUMMYFUNCTION("""COMPUTED_VALUE"""),0.0)</f>
        <v>0</v>
      </c>
    </row>
    <row r="114">
      <c r="A114" s="5" t="str">
        <f>IFERROR(__xludf.DUMMYFUNCTION("""COMPUTED_VALUE"""),"BIH04")</f>
        <v>BIH04</v>
      </c>
      <c r="B114" s="5" t="str">
        <f>IFERROR(__xludf.DUMMYFUNCTION("""COMPUTED_VALUE"""),"BOSNIA HERZEGOVINA")</f>
        <v>BOSNIA HERZEGOVINA</v>
      </c>
      <c r="C114" s="5" t="str">
        <f>IFERROR(__xludf.DUMMYFUNCTION("""COMPUTED_VALUE"""),"NORMAL")</f>
        <v>NORMAL</v>
      </c>
      <c r="D114" s="5" t="str">
        <f>IFERROR(__xludf.DUMMYFUNCTION("""COMPUTED_VALUE"""),"SEAD KOLASINAC")</f>
        <v>SEAD KOLASINAC</v>
      </c>
      <c r="E114" s="5">
        <f>IFERROR(__xludf.DUMMYFUNCTION("""COMPUTED_VALUE"""),0.0)</f>
        <v>0</v>
      </c>
    </row>
    <row r="115">
      <c r="A115" s="5" t="str">
        <f>IFERROR(__xludf.DUMMYFUNCTION("""COMPUTED_VALUE"""),"BIH05")</f>
        <v>BIH05</v>
      </c>
      <c r="B115" s="5" t="str">
        <f>IFERROR(__xludf.DUMMYFUNCTION("""COMPUTED_VALUE"""),"BOSNIA HERZEGOVINA")</f>
        <v>BOSNIA HERZEGOVINA</v>
      </c>
      <c r="C115" s="5" t="str">
        <f>IFERROR(__xludf.DUMMYFUNCTION("""COMPUTED_VALUE"""),"NORMAL")</f>
        <v>NORMAL</v>
      </c>
      <c r="D115" s="5" t="str">
        <f>IFERROR(__xludf.DUMMYFUNCTION("""COMPUTED_VALUE"""),"TARIK MUHAREMOVIC")</f>
        <v>TARIK MUHAREMOVIC</v>
      </c>
      <c r="E115" s="5">
        <f>IFERROR(__xludf.DUMMYFUNCTION("""COMPUTED_VALUE"""),0.0)</f>
        <v>0</v>
      </c>
    </row>
    <row r="116">
      <c r="A116" s="5" t="str">
        <f>IFERROR(__xludf.DUMMYFUNCTION("""COMPUTED_VALUE"""),"BIH06")</f>
        <v>BIH06</v>
      </c>
      <c r="B116" s="5" t="str">
        <f>IFERROR(__xludf.DUMMYFUNCTION("""COMPUTED_VALUE"""),"BOSNIA HERZEGOVINA")</f>
        <v>BOSNIA HERZEGOVINA</v>
      </c>
      <c r="C116" s="5" t="str">
        <f>IFERROR(__xludf.DUMMYFUNCTION("""COMPUTED_VALUE"""),"NORMAL")</f>
        <v>NORMAL</v>
      </c>
      <c r="D116" s="5" t="str">
        <f>IFERROR(__xludf.DUMMYFUNCTION("""COMPUTED_VALUE"""),"NIIHAD MUJAKIC")</f>
        <v>NIIHAD MUJAKIC</v>
      </c>
      <c r="E116" s="5">
        <f>IFERROR(__xludf.DUMMYFUNCTION("""COMPUTED_VALUE"""),0.0)</f>
        <v>0</v>
      </c>
    </row>
    <row r="117">
      <c r="A117" s="5" t="str">
        <f>IFERROR(__xludf.DUMMYFUNCTION("""COMPUTED_VALUE"""),"BIH07")</f>
        <v>BIH07</v>
      </c>
      <c r="B117" s="5" t="str">
        <f>IFERROR(__xludf.DUMMYFUNCTION("""COMPUTED_VALUE"""),"BOSNIA HERZEGOVINA")</f>
        <v>BOSNIA HERZEGOVINA</v>
      </c>
      <c r="C117" s="5" t="str">
        <f>IFERROR(__xludf.DUMMYFUNCTION("""COMPUTED_VALUE"""),"NORMAL")</f>
        <v>NORMAL</v>
      </c>
      <c r="D117" s="5" t="str">
        <f>IFERROR(__xludf.DUMMYFUNCTION("""COMPUTED_VALUE"""),"NICOLA KATIC")</f>
        <v>NICOLA KATIC</v>
      </c>
      <c r="E117" s="5">
        <f>IFERROR(__xludf.DUMMYFUNCTION("""COMPUTED_VALUE"""),0.0)</f>
        <v>0</v>
      </c>
    </row>
    <row r="118">
      <c r="A118" s="5" t="str">
        <f>IFERROR(__xludf.DUMMYFUNCTION("""COMPUTED_VALUE"""),"BIH08")</f>
        <v>BIH08</v>
      </c>
      <c r="B118" s="5" t="str">
        <f>IFERROR(__xludf.DUMMYFUNCTION("""COMPUTED_VALUE"""),"BOSNIA HERZEGOVINA")</f>
        <v>BOSNIA HERZEGOVINA</v>
      </c>
      <c r="C118" s="5" t="str">
        <f>IFERROR(__xludf.DUMMYFUNCTION("""COMPUTED_VALUE"""),"NORMAL")</f>
        <v>NORMAL</v>
      </c>
      <c r="D118" s="5" t="str">
        <f>IFERROR(__xludf.DUMMYFUNCTION("""COMPUTED_VALUE"""),"AMIR HADZIAHMETOVIC")</f>
        <v>AMIR HADZIAHMETOVIC</v>
      </c>
      <c r="E118" s="5">
        <f>IFERROR(__xludf.DUMMYFUNCTION("""COMPUTED_VALUE"""),0.0)</f>
        <v>0</v>
      </c>
    </row>
    <row r="119">
      <c r="A119" s="5" t="str">
        <f>IFERROR(__xludf.DUMMYFUNCTION("""COMPUTED_VALUE"""),"BIH09")</f>
        <v>BIH09</v>
      </c>
      <c r="B119" s="5" t="str">
        <f>IFERROR(__xludf.DUMMYFUNCTION("""COMPUTED_VALUE"""),"BOSNIA HERZEGOVINA")</f>
        <v>BOSNIA HERZEGOVINA</v>
      </c>
      <c r="C119" s="5" t="str">
        <f>IFERROR(__xludf.DUMMYFUNCTION("""COMPUTED_VALUE"""),"NORMAL")</f>
        <v>NORMAL</v>
      </c>
      <c r="D119" s="5" t="str">
        <f>IFERROR(__xludf.DUMMYFUNCTION("""COMPUTED_VALUE"""),"BENJAMIN TAHIROVIC")</f>
        <v>BENJAMIN TAHIROVIC</v>
      </c>
      <c r="E119" s="5">
        <f>IFERROR(__xludf.DUMMYFUNCTION("""COMPUTED_VALUE"""),0.0)</f>
        <v>0</v>
      </c>
    </row>
    <row r="120">
      <c r="A120" s="5" t="str">
        <f>IFERROR(__xludf.DUMMYFUNCTION("""COMPUTED_VALUE"""),"BIH10")</f>
        <v>BIH10</v>
      </c>
      <c r="B120" s="5" t="str">
        <f>IFERROR(__xludf.DUMMYFUNCTION("""COMPUTED_VALUE"""),"BOSNIA HERZEGOVINA")</f>
        <v>BOSNIA HERZEGOVINA</v>
      </c>
      <c r="C120" s="5" t="str">
        <f>IFERROR(__xludf.DUMMYFUNCTION("""COMPUTED_VALUE"""),"NORMAL")</f>
        <v>NORMAL</v>
      </c>
      <c r="D120" s="5" t="str">
        <f>IFERROR(__xludf.DUMMYFUNCTION("""COMPUTED_VALUE"""),"ARMIN GIGOVIC")</f>
        <v>ARMIN GIGOVIC</v>
      </c>
      <c r="E120" s="5">
        <f>IFERROR(__xludf.DUMMYFUNCTION("""COMPUTED_VALUE"""),0.0)</f>
        <v>0</v>
      </c>
    </row>
    <row r="121">
      <c r="A121" s="5" t="str">
        <f>IFERROR(__xludf.DUMMYFUNCTION("""COMPUTED_VALUE"""),"BIH11")</f>
        <v>BIH11</v>
      </c>
      <c r="B121" s="5" t="str">
        <f>IFERROR(__xludf.DUMMYFUNCTION("""COMPUTED_VALUE"""),"BOSNIA HERZEGOVINA")</f>
        <v>BOSNIA HERZEGOVINA</v>
      </c>
      <c r="C121" s="5" t="str">
        <f>IFERROR(__xludf.DUMMYFUNCTION("""COMPUTED_VALUE"""),"NORMAL")</f>
        <v>NORMAL</v>
      </c>
      <c r="D121" s="5" t="str">
        <f>IFERROR(__xludf.DUMMYFUNCTION("""COMPUTED_VALUE"""),"IVAN SUNJIC")</f>
        <v>IVAN SUNJIC</v>
      </c>
      <c r="E121" s="5">
        <f>IFERROR(__xludf.DUMMYFUNCTION("""COMPUTED_VALUE"""),0.0)</f>
        <v>0</v>
      </c>
    </row>
    <row r="122">
      <c r="A122" s="5" t="str">
        <f>IFERROR(__xludf.DUMMYFUNCTION("""COMPUTED_VALUE"""),"BIH12")</f>
        <v>BIH12</v>
      </c>
      <c r="B122" s="5" t="str">
        <f>IFERROR(__xludf.DUMMYFUNCTION("""COMPUTED_VALUE"""),"BOSNIA HERZEGOVINA")</f>
        <v>BOSNIA HERZEGOVINA</v>
      </c>
      <c r="C122" s="5" t="str">
        <f>IFERROR(__xludf.DUMMYFUNCTION("""COMPUTED_VALUE"""),"NORMAL")</f>
        <v>NORMAL</v>
      </c>
      <c r="D122" s="5" t="str">
        <f>IFERROR(__xludf.DUMMYFUNCTION("""COMPUTED_VALUE"""),"IVAN BASIC")</f>
        <v>IVAN BASIC</v>
      </c>
      <c r="E122" s="5">
        <f>IFERROR(__xludf.DUMMYFUNCTION("""COMPUTED_VALUE"""),0.0)</f>
        <v>0</v>
      </c>
    </row>
    <row r="123">
      <c r="A123" s="5" t="str">
        <f>IFERROR(__xludf.DUMMYFUNCTION("""COMPUTED_VALUE"""),"BIH13")</f>
        <v>BIH13</v>
      </c>
      <c r="B123" s="5" t="str">
        <f>IFERROR(__xludf.DUMMYFUNCTION("""COMPUTED_VALUE"""),"BOSNIA HERZEGOVINA")</f>
        <v>BOSNIA HERZEGOVINA</v>
      </c>
      <c r="C123" s="5" t="str">
        <f>IFERROR(__xludf.DUMMYFUNCTION("""COMPUTED_VALUE"""),"TEAM")</f>
        <v>TEAM</v>
      </c>
      <c r="D123" s="5" t="str">
        <f>IFERROR(__xludf.DUMMYFUNCTION("""COMPUTED_VALUE"""),"BOSNIA HERZEGOVINA NATIONAL TEAM")</f>
        <v>BOSNIA HERZEGOVINA NATIONAL TEAM</v>
      </c>
      <c r="E123" s="5">
        <f>IFERROR(__xludf.DUMMYFUNCTION("""COMPUTED_VALUE"""),0.0)</f>
        <v>0</v>
      </c>
    </row>
    <row r="124">
      <c r="A124" s="5" t="str">
        <f>IFERROR(__xludf.DUMMYFUNCTION("""COMPUTED_VALUE"""),"BIH14")</f>
        <v>BIH14</v>
      </c>
      <c r="B124" s="5" t="str">
        <f>IFERROR(__xludf.DUMMYFUNCTION("""COMPUTED_VALUE"""),"BOSNIA HERZEGOVINA")</f>
        <v>BOSNIA HERZEGOVINA</v>
      </c>
      <c r="C124" s="5" t="str">
        <f>IFERROR(__xludf.DUMMYFUNCTION("""COMPUTED_VALUE"""),"NORMAL")</f>
        <v>NORMAL</v>
      </c>
      <c r="D124" s="5" t="str">
        <f>IFERROR(__xludf.DUMMYFUNCTION("""COMPUTED_VALUE"""),"DZENIS BURNIC")</f>
        <v>DZENIS BURNIC</v>
      </c>
      <c r="E124" s="5">
        <f>IFERROR(__xludf.DUMMYFUNCTION("""COMPUTED_VALUE"""),0.0)</f>
        <v>0</v>
      </c>
    </row>
    <row r="125">
      <c r="A125" s="5" t="str">
        <f>IFERROR(__xludf.DUMMYFUNCTION("""COMPUTED_VALUE"""),"BIH15")</f>
        <v>BIH15</v>
      </c>
      <c r="B125" s="5" t="str">
        <f>IFERROR(__xludf.DUMMYFUNCTION("""COMPUTED_VALUE"""),"BOSNIA HERZEGOVINA")</f>
        <v>BOSNIA HERZEGOVINA</v>
      </c>
      <c r="C125" s="5" t="str">
        <f>IFERROR(__xludf.DUMMYFUNCTION("""COMPUTED_VALUE"""),"NORMAL")</f>
        <v>NORMAL</v>
      </c>
      <c r="D125" s="5" t="str">
        <f>IFERROR(__xludf.DUMMYFUNCTION("""COMPUTED_VALUE"""),"ESMIR BAJRAKTAREVIC")</f>
        <v>ESMIR BAJRAKTAREVIC</v>
      </c>
      <c r="E125" s="5">
        <f>IFERROR(__xludf.DUMMYFUNCTION("""COMPUTED_VALUE"""),0.0)</f>
        <v>0</v>
      </c>
    </row>
    <row r="126">
      <c r="A126" s="5" t="str">
        <f>IFERROR(__xludf.DUMMYFUNCTION("""COMPUTED_VALUE"""),"BIH16")</f>
        <v>BIH16</v>
      </c>
      <c r="B126" s="5" t="str">
        <f>IFERROR(__xludf.DUMMYFUNCTION("""COMPUTED_VALUE"""),"BOSNIA HERZEGOVINA")</f>
        <v>BOSNIA HERZEGOVINA</v>
      </c>
      <c r="C126" s="5" t="str">
        <f>IFERROR(__xludf.DUMMYFUNCTION("""COMPUTED_VALUE"""),"NORMAL")</f>
        <v>NORMAL</v>
      </c>
      <c r="D126" s="5" t="str">
        <f>IFERROR(__xludf.DUMMYFUNCTION("""COMPUTED_VALUE"""),"AMAR MEMIC")</f>
        <v>AMAR MEMIC</v>
      </c>
      <c r="E126" s="5">
        <f>IFERROR(__xludf.DUMMYFUNCTION("""COMPUTED_VALUE"""),0.0)</f>
        <v>0</v>
      </c>
    </row>
    <row r="127">
      <c r="A127" s="5" t="str">
        <f>IFERROR(__xludf.DUMMYFUNCTION("""COMPUTED_VALUE"""),"BIH17")</f>
        <v>BIH17</v>
      </c>
      <c r="B127" s="5" t="str">
        <f>IFERROR(__xludf.DUMMYFUNCTION("""COMPUTED_VALUE"""),"BOSNIA HERZEGOVINA")</f>
        <v>BOSNIA HERZEGOVINA</v>
      </c>
      <c r="C127" s="5" t="str">
        <f>IFERROR(__xludf.DUMMYFUNCTION("""COMPUTED_VALUE"""),"NORMAL")</f>
        <v>NORMAL</v>
      </c>
      <c r="D127" s="5" t="str">
        <f>IFERROR(__xludf.DUMMYFUNCTION("""COMPUTED_VALUE"""),"ERMEDIN DEMIROVIC")</f>
        <v>ERMEDIN DEMIROVIC</v>
      </c>
      <c r="E127" s="5">
        <f>IFERROR(__xludf.DUMMYFUNCTION("""COMPUTED_VALUE"""),0.0)</f>
        <v>0</v>
      </c>
    </row>
    <row r="128">
      <c r="A128" s="5" t="str">
        <f>IFERROR(__xludf.DUMMYFUNCTION("""COMPUTED_VALUE"""),"BIH18")</f>
        <v>BIH18</v>
      </c>
      <c r="B128" s="5" t="str">
        <f>IFERROR(__xludf.DUMMYFUNCTION("""COMPUTED_VALUE"""),"BOSNIA HERZEGOVINA")</f>
        <v>BOSNIA HERZEGOVINA</v>
      </c>
      <c r="C128" s="5" t="str">
        <f>IFERROR(__xludf.DUMMYFUNCTION("""COMPUTED_VALUE"""),"NORMAL")</f>
        <v>NORMAL</v>
      </c>
      <c r="D128" s="5" t="str">
        <f>IFERROR(__xludf.DUMMYFUNCTION("""COMPUTED_VALUE"""),"EDIN DZEKO")</f>
        <v>EDIN DZEKO</v>
      </c>
      <c r="E128" s="5">
        <f>IFERROR(__xludf.DUMMYFUNCTION("""COMPUTED_VALUE"""),0.0)</f>
        <v>0</v>
      </c>
    </row>
    <row r="129">
      <c r="A129" s="5" t="str">
        <f>IFERROR(__xludf.DUMMYFUNCTION("""COMPUTED_VALUE"""),"BIH19")</f>
        <v>BIH19</v>
      </c>
      <c r="B129" s="5" t="str">
        <f>IFERROR(__xludf.DUMMYFUNCTION("""COMPUTED_VALUE"""),"BOSNIA HERZEGOVINA")</f>
        <v>BOSNIA HERZEGOVINA</v>
      </c>
      <c r="C129" s="5" t="str">
        <f>IFERROR(__xludf.DUMMYFUNCTION("""COMPUTED_VALUE"""),"NORMAL")</f>
        <v>NORMAL</v>
      </c>
      <c r="D129" s="5" t="str">
        <f>IFERROR(__xludf.DUMMYFUNCTION("""COMPUTED_VALUE"""),"SAMED BAZDAR")</f>
        <v>SAMED BAZDAR</v>
      </c>
      <c r="E129" s="5">
        <f>IFERROR(__xludf.DUMMYFUNCTION("""COMPUTED_VALUE"""),0.0)</f>
        <v>0</v>
      </c>
    </row>
    <row r="130">
      <c r="A130" s="5" t="str">
        <f>IFERROR(__xludf.DUMMYFUNCTION("""COMPUTED_VALUE"""),"BIH20")</f>
        <v>BIH20</v>
      </c>
      <c r="B130" s="5" t="str">
        <f>IFERROR(__xludf.DUMMYFUNCTION("""COMPUTED_VALUE"""),"BOSNIA HERZEGOVINA")</f>
        <v>BOSNIA HERZEGOVINA</v>
      </c>
      <c r="C130" s="5" t="str">
        <f>IFERROR(__xludf.DUMMYFUNCTION("""COMPUTED_VALUE"""),"NORMAL")</f>
        <v>NORMAL</v>
      </c>
      <c r="D130" s="5" t="str">
        <f>IFERROR(__xludf.DUMMYFUNCTION("""COMPUTED_VALUE"""),"HARIS TABAKOVIC")</f>
        <v>HARIS TABAKOVIC</v>
      </c>
      <c r="E130" s="5">
        <f>IFERROR(__xludf.DUMMYFUNCTION("""COMPUTED_VALUE"""),0.0)</f>
        <v>0</v>
      </c>
    </row>
    <row r="131">
      <c r="A131" s="5" t="str">
        <f>IFERROR(__xludf.DUMMYFUNCTION("""COMPUTED_VALUE"""),"QAT01")</f>
        <v>QAT01</v>
      </c>
      <c r="B131" s="5" t="str">
        <f>IFERROR(__xludf.DUMMYFUNCTION("""COMPUTED_VALUE"""),"QATAR")</f>
        <v>QATAR</v>
      </c>
      <c r="C131" s="5" t="str">
        <f>IFERROR(__xludf.DUMMYFUNCTION("""COMPUTED_VALUE"""),"BADGE")</f>
        <v>BADGE</v>
      </c>
      <c r="D131" s="5" t="str">
        <f>IFERROR(__xludf.DUMMYFUNCTION("""COMPUTED_VALUE"""),"QATAR NATIONAL TEAM")</f>
        <v>QATAR NATIONAL TEAM</v>
      </c>
      <c r="E131" s="5">
        <f>IFERROR(__xludf.DUMMYFUNCTION("""COMPUTED_VALUE"""),0.0)</f>
        <v>0</v>
      </c>
    </row>
    <row r="132">
      <c r="A132" s="5" t="str">
        <f>IFERROR(__xludf.DUMMYFUNCTION("""COMPUTED_VALUE"""),"QAT02")</f>
        <v>QAT02</v>
      </c>
      <c r="B132" s="5" t="str">
        <f>IFERROR(__xludf.DUMMYFUNCTION("""COMPUTED_VALUE"""),"QATAR")</f>
        <v>QATAR</v>
      </c>
      <c r="C132" s="5" t="str">
        <f>IFERROR(__xludf.DUMMYFUNCTION("""COMPUTED_VALUE"""),"NORMAL")</f>
        <v>NORMAL</v>
      </c>
      <c r="D132" s="5" t="str">
        <f>IFERROR(__xludf.DUMMYFUNCTION("""COMPUTED_VALUE"""),"MESHAAL BARSHAM")</f>
        <v>MESHAAL BARSHAM</v>
      </c>
      <c r="E132" s="5">
        <f>IFERROR(__xludf.DUMMYFUNCTION("""COMPUTED_VALUE"""),0.0)</f>
        <v>0</v>
      </c>
    </row>
    <row r="133">
      <c r="A133" s="5" t="str">
        <f>IFERROR(__xludf.DUMMYFUNCTION("""COMPUTED_VALUE"""),"QAT03")</f>
        <v>QAT03</v>
      </c>
      <c r="B133" s="5" t="str">
        <f>IFERROR(__xludf.DUMMYFUNCTION("""COMPUTED_VALUE"""),"QATAR")</f>
        <v>QATAR</v>
      </c>
      <c r="C133" s="5" t="str">
        <f>IFERROR(__xludf.DUMMYFUNCTION("""COMPUTED_VALUE"""),"NORMAL")</f>
        <v>NORMAL</v>
      </c>
      <c r="D133" s="5" t="str">
        <f>IFERROR(__xludf.DUMMYFUNCTION("""COMPUTED_VALUE"""),"SULTAN ALBRAKE")</f>
        <v>SULTAN ALBRAKE</v>
      </c>
      <c r="E133" s="5">
        <f>IFERROR(__xludf.DUMMYFUNCTION("""COMPUTED_VALUE"""),0.0)</f>
        <v>0</v>
      </c>
    </row>
    <row r="134">
      <c r="A134" s="5" t="str">
        <f>IFERROR(__xludf.DUMMYFUNCTION("""COMPUTED_VALUE"""),"QAT04")</f>
        <v>QAT04</v>
      </c>
      <c r="B134" s="5" t="str">
        <f>IFERROR(__xludf.DUMMYFUNCTION("""COMPUTED_VALUE"""),"QATAR")</f>
        <v>QATAR</v>
      </c>
      <c r="C134" s="5" t="str">
        <f>IFERROR(__xludf.DUMMYFUNCTION("""COMPUTED_VALUE"""),"NORMAL")</f>
        <v>NORMAL</v>
      </c>
      <c r="D134" s="5" t="str">
        <f>IFERROR(__xludf.DUMMYFUNCTION("""COMPUTED_VALUE"""),"LUCAS MENDES")</f>
        <v>LUCAS MENDES</v>
      </c>
      <c r="E134" s="5">
        <f>IFERROR(__xludf.DUMMYFUNCTION("""COMPUTED_VALUE"""),0.0)</f>
        <v>0</v>
      </c>
    </row>
    <row r="135">
      <c r="A135" s="5" t="str">
        <f>IFERROR(__xludf.DUMMYFUNCTION("""COMPUTED_VALUE"""),"QAT05")</f>
        <v>QAT05</v>
      </c>
      <c r="B135" s="5" t="str">
        <f>IFERROR(__xludf.DUMMYFUNCTION("""COMPUTED_VALUE"""),"QATAR")</f>
        <v>QATAR</v>
      </c>
      <c r="C135" s="5" t="str">
        <f>IFERROR(__xludf.DUMMYFUNCTION("""COMPUTED_VALUE"""),"NORMAL")</f>
        <v>NORMAL</v>
      </c>
      <c r="D135" s="5" t="str">
        <f>IFERROR(__xludf.DUMMYFUNCTION("""COMPUTED_VALUE"""),"HOMAM AHMED")</f>
        <v>HOMAM AHMED</v>
      </c>
      <c r="E135" s="5">
        <f>IFERROR(__xludf.DUMMYFUNCTION("""COMPUTED_VALUE"""),0.0)</f>
        <v>0</v>
      </c>
    </row>
    <row r="136">
      <c r="A136" s="5" t="str">
        <f>IFERROR(__xludf.DUMMYFUNCTION("""COMPUTED_VALUE"""),"QAT06")</f>
        <v>QAT06</v>
      </c>
      <c r="B136" s="5" t="str">
        <f>IFERROR(__xludf.DUMMYFUNCTION("""COMPUTED_VALUE"""),"QATAR")</f>
        <v>QATAR</v>
      </c>
      <c r="C136" s="5" t="str">
        <f>IFERROR(__xludf.DUMMYFUNCTION("""COMPUTED_VALUE"""),"NORMAL")</f>
        <v>NORMAL</v>
      </c>
      <c r="D136" s="5" t="str">
        <f>IFERROR(__xludf.DUMMYFUNCTION("""COMPUTED_VALUE"""),"BOUALEM KHOUKHI")</f>
        <v>BOUALEM KHOUKHI</v>
      </c>
      <c r="E136" s="5">
        <f>IFERROR(__xludf.DUMMYFUNCTION("""COMPUTED_VALUE"""),0.0)</f>
        <v>0</v>
      </c>
    </row>
    <row r="137">
      <c r="A137" s="5" t="str">
        <f>IFERROR(__xludf.DUMMYFUNCTION("""COMPUTED_VALUE"""),"QAT07")</f>
        <v>QAT07</v>
      </c>
      <c r="B137" s="5" t="str">
        <f>IFERROR(__xludf.DUMMYFUNCTION("""COMPUTED_VALUE"""),"QATAR")</f>
        <v>QATAR</v>
      </c>
      <c r="C137" s="5" t="str">
        <f>IFERROR(__xludf.DUMMYFUNCTION("""COMPUTED_VALUE"""),"NORMAL")</f>
        <v>NORMAL</v>
      </c>
      <c r="D137" s="5" t="str">
        <f>IFERROR(__xludf.DUMMYFUNCTION("""COMPUTED_VALUE"""),"PEDRO MIGUEL")</f>
        <v>PEDRO MIGUEL</v>
      </c>
      <c r="E137" s="5">
        <f>IFERROR(__xludf.DUMMYFUNCTION("""COMPUTED_VALUE"""),0.0)</f>
        <v>0</v>
      </c>
    </row>
    <row r="138">
      <c r="A138" s="5" t="str">
        <f>IFERROR(__xludf.DUMMYFUNCTION("""COMPUTED_VALUE"""),"QAT08")</f>
        <v>QAT08</v>
      </c>
      <c r="B138" s="5" t="str">
        <f>IFERROR(__xludf.DUMMYFUNCTION("""COMPUTED_VALUE"""),"QATAR")</f>
        <v>QATAR</v>
      </c>
      <c r="C138" s="5" t="str">
        <f>IFERROR(__xludf.DUMMYFUNCTION("""COMPUTED_VALUE"""),"NORMAL")</f>
        <v>NORMAL</v>
      </c>
      <c r="D138" s="5" t="str">
        <f>IFERROR(__xludf.DUMMYFUNCTION("""COMPUTED_VALUE"""),"TAREK SALMAN")</f>
        <v>TAREK SALMAN</v>
      </c>
      <c r="E138" s="5">
        <f>IFERROR(__xludf.DUMMYFUNCTION("""COMPUTED_VALUE"""),0.0)</f>
        <v>0</v>
      </c>
    </row>
    <row r="139">
      <c r="A139" s="5" t="str">
        <f>IFERROR(__xludf.DUMMYFUNCTION("""COMPUTED_VALUE"""),"QAT09")</f>
        <v>QAT09</v>
      </c>
      <c r="B139" s="5" t="str">
        <f>IFERROR(__xludf.DUMMYFUNCTION("""COMPUTED_VALUE"""),"QATAR")</f>
        <v>QATAR</v>
      </c>
      <c r="C139" s="5" t="str">
        <f>IFERROR(__xludf.DUMMYFUNCTION("""COMPUTED_VALUE"""),"NORMAL")</f>
        <v>NORMAL</v>
      </c>
      <c r="D139" s="5" t="str">
        <f>IFERROR(__xludf.DUMMYFUNCTION("""COMPUTED_VALUE"""),"MOHAMMED MANNAI")</f>
        <v>MOHAMMED MANNAI</v>
      </c>
      <c r="E139" s="5">
        <f>IFERROR(__xludf.DUMMYFUNCTION("""COMPUTED_VALUE"""),0.0)</f>
        <v>0</v>
      </c>
    </row>
    <row r="140">
      <c r="A140" s="5" t="str">
        <f>IFERROR(__xludf.DUMMYFUNCTION("""COMPUTED_VALUE"""),"QAT10")</f>
        <v>QAT10</v>
      </c>
      <c r="B140" s="5" t="str">
        <f>IFERROR(__xludf.DUMMYFUNCTION("""COMPUTED_VALUE"""),"QATAR")</f>
        <v>QATAR</v>
      </c>
      <c r="C140" s="5" t="str">
        <f>IFERROR(__xludf.DUMMYFUNCTION("""COMPUTED_VALUE"""),"NORMAL")</f>
        <v>NORMAL</v>
      </c>
      <c r="D140" s="5" t="str">
        <f>IFERROR(__xludf.DUMMYFUNCTION("""COMPUTED_VALUE"""),"KARIM BOUDIAF")</f>
        <v>KARIM BOUDIAF</v>
      </c>
      <c r="E140" s="5">
        <f>IFERROR(__xludf.DUMMYFUNCTION("""COMPUTED_VALUE"""),0.0)</f>
        <v>0</v>
      </c>
    </row>
    <row r="141">
      <c r="A141" s="5" t="str">
        <f>IFERROR(__xludf.DUMMYFUNCTION("""COMPUTED_VALUE"""),"QAT11")</f>
        <v>QAT11</v>
      </c>
      <c r="B141" s="5" t="str">
        <f>IFERROR(__xludf.DUMMYFUNCTION("""COMPUTED_VALUE"""),"QATAR")</f>
        <v>QATAR</v>
      </c>
      <c r="C141" s="5" t="str">
        <f>IFERROR(__xludf.DUMMYFUNCTION("""COMPUTED_VALUE"""),"NORMAL")</f>
        <v>NORMAL</v>
      </c>
      <c r="D141" s="5" t="str">
        <f>IFERROR(__xludf.DUMMYFUNCTION("""COMPUTED_VALUE"""),"ASSIM MADIBO")</f>
        <v>ASSIM MADIBO</v>
      </c>
      <c r="E141" s="5">
        <f>IFERROR(__xludf.DUMMYFUNCTION("""COMPUTED_VALUE"""),0.0)</f>
        <v>0</v>
      </c>
    </row>
    <row r="142">
      <c r="A142" s="5" t="str">
        <f>IFERROR(__xludf.DUMMYFUNCTION("""COMPUTED_VALUE"""),"QAT12")</f>
        <v>QAT12</v>
      </c>
      <c r="B142" s="5" t="str">
        <f>IFERROR(__xludf.DUMMYFUNCTION("""COMPUTED_VALUE"""),"QATAR")</f>
        <v>QATAR</v>
      </c>
      <c r="C142" s="5" t="str">
        <f>IFERROR(__xludf.DUMMYFUNCTION("""COMPUTED_VALUE"""),"NORMAL")</f>
        <v>NORMAL</v>
      </c>
      <c r="D142" s="5" t="str">
        <f>IFERROR(__xludf.DUMMYFUNCTION("""COMPUTED_VALUE"""),"HAMED FATEHI")</f>
        <v>HAMED FATEHI</v>
      </c>
      <c r="E142" s="5">
        <f>IFERROR(__xludf.DUMMYFUNCTION("""COMPUTED_VALUE"""),0.0)</f>
        <v>0</v>
      </c>
    </row>
    <row r="143">
      <c r="A143" s="5" t="str">
        <f>IFERROR(__xludf.DUMMYFUNCTION("""COMPUTED_VALUE"""),"QAT13")</f>
        <v>QAT13</v>
      </c>
      <c r="B143" s="5" t="str">
        <f>IFERROR(__xludf.DUMMYFUNCTION("""COMPUTED_VALUE"""),"QATAR")</f>
        <v>QATAR</v>
      </c>
      <c r="C143" s="5" t="str">
        <f>IFERROR(__xludf.DUMMYFUNCTION("""COMPUTED_VALUE"""),"TEAM")</f>
        <v>TEAM</v>
      </c>
      <c r="D143" s="5" t="str">
        <f>IFERROR(__xludf.DUMMYFUNCTION("""COMPUTED_VALUE"""),"QATAR NATIONAL TEAM")</f>
        <v>QATAR NATIONAL TEAM</v>
      </c>
      <c r="E143" s="5">
        <f>IFERROR(__xludf.DUMMYFUNCTION("""COMPUTED_VALUE"""),0.0)</f>
        <v>0</v>
      </c>
    </row>
    <row r="144">
      <c r="A144" s="5" t="str">
        <f>IFERROR(__xludf.DUMMYFUNCTION("""COMPUTED_VALUE"""),"QAT14")</f>
        <v>QAT14</v>
      </c>
      <c r="B144" s="5" t="str">
        <f>IFERROR(__xludf.DUMMYFUNCTION("""COMPUTED_VALUE"""),"QATAR")</f>
        <v>QATAR</v>
      </c>
      <c r="C144" s="5" t="str">
        <f>IFERROR(__xludf.DUMMYFUNCTION("""COMPUTED_VALUE"""),"NORMAL")</f>
        <v>NORMAL</v>
      </c>
      <c r="D144" s="5" t="str">
        <f>IFERROR(__xludf.DUMMYFUNCTION("""COMPUTED_VALUE"""),"MOHAMMED WAAD")</f>
        <v>MOHAMMED WAAD</v>
      </c>
      <c r="E144" s="5">
        <f>IFERROR(__xludf.DUMMYFUNCTION("""COMPUTED_VALUE"""),0.0)</f>
        <v>0</v>
      </c>
    </row>
    <row r="145">
      <c r="A145" s="5" t="str">
        <f>IFERROR(__xludf.DUMMYFUNCTION("""COMPUTED_VALUE"""),"QAT15")</f>
        <v>QAT15</v>
      </c>
      <c r="B145" s="5" t="str">
        <f>IFERROR(__xludf.DUMMYFUNCTION("""COMPUTED_VALUE"""),"QATAR")</f>
        <v>QATAR</v>
      </c>
      <c r="C145" s="5" t="str">
        <f>IFERROR(__xludf.DUMMYFUNCTION("""COMPUTED_VALUE"""),"NORMAL")</f>
        <v>NORMAL</v>
      </c>
      <c r="D145" s="5" t="str">
        <f>IFERROR(__xludf.DUMMYFUNCTION("""COMPUTED_VALUE"""),"ABDULAZIZ HATEM")</f>
        <v>ABDULAZIZ HATEM</v>
      </c>
      <c r="E145" s="5">
        <f>IFERROR(__xludf.DUMMYFUNCTION("""COMPUTED_VALUE"""),0.0)</f>
        <v>0</v>
      </c>
    </row>
    <row r="146">
      <c r="A146" s="5" t="str">
        <f>IFERROR(__xludf.DUMMYFUNCTION("""COMPUTED_VALUE"""),"QAT16")</f>
        <v>QAT16</v>
      </c>
      <c r="B146" s="5" t="str">
        <f>IFERROR(__xludf.DUMMYFUNCTION("""COMPUTED_VALUE"""),"QATAR")</f>
        <v>QATAR</v>
      </c>
      <c r="C146" s="5" t="str">
        <f>IFERROR(__xludf.DUMMYFUNCTION("""COMPUTED_VALUE"""),"NORMAL")</f>
        <v>NORMAL</v>
      </c>
      <c r="D146" s="5" t="str">
        <f>IFERROR(__xludf.DUMMYFUNCTION("""COMPUTED_VALUE"""),"HASSAN AL-HAVDOS")</f>
        <v>HASSAN AL-HAVDOS</v>
      </c>
      <c r="E146" s="5">
        <f>IFERROR(__xludf.DUMMYFUNCTION("""COMPUTED_VALUE"""),0.0)</f>
        <v>0</v>
      </c>
    </row>
    <row r="147">
      <c r="A147" s="5" t="str">
        <f>IFERROR(__xludf.DUMMYFUNCTION("""COMPUTED_VALUE"""),"QAT17")</f>
        <v>QAT17</v>
      </c>
      <c r="B147" s="5" t="str">
        <f>IFERROR(__xludf.DUMMYFUNCTION("""COMPUTED_VALUE"""),"QATAR")</f>
        <v>QATAR</v>
      </c>
      <c r="C147" s="5" t="str">
        <f>IFERROR(__xludf.DUMMYFUNCTION("""COMPUTED_VALUE"""),"NORMAL")</f>
        <v>NORMAL</v>
      </c>
      <c r="D147" s="5" t="str">
        <f>IFERROR(__xludf.DUMMYFUNCTION("""COMPUTED_VALUE"""),"EDMILSON JUNIOR")</f>
        <v>EDMILSON JUNIOR</v>
      </c>
      <c r="E147" s="5">
        <f>IFERROR(__xludf.DUMMYFUNCTION("""COMPUTED_VALUE"""),0.0)</f>
        <v>0</v>
      </c>
    </row>
    <row r="148">
      <c r="A148" s="5" t="str">
        <f>IFERROR(__xludf.DUMMYFUNCTION("""COMPUTED_VALUE"""),"QAT18")</f>
        <v>QAT18</v>
      </c>
      <c r="B148" s="5" t="str">
        <f>IFERROR(__xludf.DUMMYFUNCTION("""COMPUTED_VALUE"""),"QATAR")</f>
        <v>QATAR</v>
      </c>
      <c r="C148" s="5" t="str">
        <f>IFERROR(__xludf.DUMMYFUNCTION("""COMPUTED_VALUE"""),"NORMAL")</f>
        <v>NORMAL</v>
      </c>
      <c r="D148" s="5" t="str">
        <f>IFERROR(__xludf.DUMMYFUNCTION("""COMPUTED_VALUE"""),"AKRAM HASSAN AFIF")</f>
        <v>AKRAM HASSAN AFIF</v>
      </c>
      <c r="E148" s="5">
        <f>IFERROR(__xludf.DUMMYFUNCTION("""COMPUTED_VALUE"""),0.0)</f>
        <v>0</v>
      </c>
    </row>
    <row r="149">
      <c r="A149" s="5" t="str">
        <f>IFERROR(__xludf.DUMMYFUNCTION("""COMPUTED_VALUE"""),"QAT19")</f>
        <v>QAT19</v>
      </c>
      <c r="B149" s="5" t="str">
        <f>IFERROR(__xludf.DUMMYFUNCTION("""COMPUTED_VALUE"""),"QATAR")</f>
        <v>QATAR</v>
      </c>
      <c r="C149" s="5" t="str">
        <f>IFERROR(__xludf.DUMMYFUNCTION("""COMPUTED_VALUE"""),"NORMAL")</f>
        <v>NORMAL</v>
      </c>
      <c r="D149" s="5" t="str">
        <f>IFERROR(__xludf.DUMMYFUNCTION("""COMPUTED_VALUE"""),"AHMED AL-GANEHI")</f>
        <v>AHMED AL-GANEHI</v>
      </c>
      <c r="E149" s="5">
        <f>IFERROR(__xludf.DUMMYFUNCTION("""COMPUTED_VALUE"""),0.0)</f>
        <v>0</v>
      </c>
    </row>
    <row r="150">
      <c r="A150" s="5" t="str">
        <f>IFERROR(__xludf.DUMMYFUNCTION("""COMPUTED_VALUE"""),"QAT20")</f>
        <v>QAT20</v>
      </c>
      <c r="B150" s="5" t="str">
        <f>IFERROR(__xludf.DUMMYFUNCTION("""COMPUTED_VALUE"""),"QATAR")</f>
        <v>QATAR</v>
      </c>
      <c r="C150" s="5" t="str">
        <f>IFERROR(__xludf.DUMMYFUNCTION("""COMPUTED_VALUE"""),"NORMAL")</f>
        <v>NORMAL</v>
      </c>
      <c r="D150" s="5" t="str">
        <f>IFERROR(__xludf.DUMMYFUNCTION("""COMPUTED_VALUE"""),"ALMOEZ ALI")</f>
        <v>ALMOEZ ALI</v>
      </c>
      <c r="E150" s="5">
        <f>IFERROR(__xludf.DUMMYFUNCTION("""COMPUTED_VALUE"""),0.0)</f>
        <v>0</v>
      </c>
    </row>
    <row r="151">
      <c r="A151" s="5" t="str">
        <f>IFERROR(__xludf.DUMMYFUNCTION("""COMPUTED_VALUE"""),"SUI01")</f>
        <v>SUI01</v>
      </c>
      <c r="B151" s="5" t="str">
        <f>IFERROR(__xludf.DUMMYFUNCTION("""COMPUTED_VALUE"""),"SWITZERLAND")</f>
        <v>SWITZERLAND</v>
      </c>
      <c r="C151" s="5" t="str">
        <f>IFERROR(__xludf.DUMMYFUNCTION("""COMPUTED_VALUE"""),"BADGE")</f>
        <v>BADGE</v>
      </c>
      <c r="D151" s="5" t="str">
        <f>IFERROR(__xludf.DUMMYFUNCTION("""COMPUTED_VALUE"""),"SWITZERLAND NATIONAL TEAM")</f>
        <v>SWITZERLAND NATIONAL TEAM</v>
      </c>
      <c r="E151" s="5">
        <f>IFERROR(__xludf.DUMMYFUNCTION("""COMPUTED_VALUE"""),0.0)</f>
        <v>0</v>
      </c>
    </row>
    <row r="152">
      <c r="A152" s="5" t="str">
        <f>IFERROR(__xludf.DUMMYFUNCTION("""COMPUTED_VALUE"""),"SUI02")</f>
        <v>SUI02</v>
      </c>
      <c r="B152" s="5" t="str">
        <f>IFERROR(__xludf.DUMMYFUNCTION("""COMPUTED_VALUE"""),"SWITZERLAND")</f>
        <v>SWITZERLAND</v>
      </c>
      <c r="C152" s="5" t="str">
        <f>IFERROR(__xludf.DUMMYFUNCTION("""COMPUTED_VALUE"""),"NORMAL")</f>
        <v>NORMAL</v>
      </c>
      <c r="D152" s="5" t="str">
        <f>IFERROR(__xludf.DUMMYFUNCTION("""COMPUTED_VALUE"""),"GREGOR KOBEL")</f>
        <v>GREGOR KOBEL</v>
      </c>
      <c r="E152" s="5">
        <f>IFERROR(__xludf.DUMMYFUNCTION("""COMPUTED_VALUE"""),0.0)</f>
        <v>0</v>
      </c>
    </row>
    <row r="153">
      <c r="A153" s="5" t="str">
        <f>IFERROR(__xludf.DUMMYFUNCTION("""COMPUTED_VALUE"""),"SUI03")</f>
        <v>SUI03</v>
      </c>
      <c r="B153" s="5" t="str">
        <f>IFERROR(__xludf.DUMMYFUNCTION("""COMPUTED_VALUE"""),"SWITZERLAND")</f>
        <v>SWITZERLAND</v>
      </c>
      <c r="C153" s="5" t="str">
        <f>IFERROR(__xludf.DUMMYFUNCTION("""COMPUTED_VALUE"""),"NORMAL")</f>
        <v>NORMAL</v>
      </c>
      <c r="D153" s="5" t="str">
        <f>IFERROR(__xludf.DUMMYFUNCTION("""COMPUTED_VALUE"""),"YVON MVOGO")</f>
        <v>YVON MVOGO</v>
      </c>
      <c r="E153" s="5">
        <f>IFERROR(__xludf.DUMMYFUNCTION("""COMPUTED_VALUE"""),0.0)</f>
        <v>0</v>
      </c>
    </row>
    <row r="154">
      <c r="A154" s="5" t="str">
        <f>IFERROR(__xludf.DUMMYFUNCTION("""COMPUTED_VALUE"""),"SUI04")</f>
        <v>SUI04</v>
      </c>
      <c r="B154" s="5" t="str">
        <f>IFERROR(__xludf.DUMMYFUNCTION("""COMPUTED_VALUE"""),"SWITZERLAND")</f>
        <v>SWITZERLAND</v>
      </c>
      <c r="C154" s="5" t="str">
        <f>IFERROR(__xludf.DUMMYFUNCTION("""COMPUTED_VALUE"""),"NORMAL")</f>
        <v>NORMAL</v>
      </c>
      <c r="D154" s="5" t="str">
        <f>IFERROR(__xludf.DUMMYFUNCTION("""COMPUTED_VALUE"""),"MANUEL AKANJI")</f>
        <v>MANUEL AKANJI</v>
      </c>
      <c r="E154" s="5">
        <f>IFERROR(__xludf.DUMMYFUNCTION("""COMPUTED_VALUE"""),0.0)</f>
        <v>0</v>
      </c>
    </row>
    <row r="155">
      <c r="A155" s="5" t="str">
        <f>IFERROR(__xludf.DUMMYFUNCTION("""COMPUTED_VALUE"""),"SUI05")</f>
        <v>SUI05</v>
      </c>
      <c r="B155" s="5" t="str">
        <f>IFERROR(__xludf.DUMMYFUNCTION("""COMPUTED_VALUE"""),"SWITZERLAND")</f>
        <v>SWITZERLAND</v>
      </c>
      <c r="C155" s="5" t="str">
        <f>IFERROR(__xludf.DUMMYFUNCTION("""COMPUTED_VALUE"""),"NORMAL")</f>
        <v>NORMAL</v>
      </c>
      <c r="D155" s="5" t="str">
        <f>IFERROR(__xludf.DUMMYFUNCTION("""COMPUTED_VALUE"""),"RICARDO RODRIGUEZ")</f>
        <v>RICARDO RODRIGUEZ</v>
      </c>
      <c r="E155" s="5">
        <f>IFERROR(__xludf.DUMMYFUNCTION("""COMPUTED_VALUE"""),0.0)</f>
        <v>0</v>
      </c>
    </row>
    <row r="156">
      <c r="A156" s="5" t="str">
        <f>IFERROR(__xludf.DUMMYFUNCTION("""COMPUTED_VALUE"""),"SUI06")</f>
        <v>SUI06</v>
      </c>
      <c r="B156" s="5" t="str">
        <f>IFERROR(__xludf.DUMMYFUNCTION("""COMPUTED_VALUE"""),"SWITZERLAND")</f>
        <v>SWITZERLAND</v>
      </c>
      <c r="C156" s="5" t="str">
        <f>IFERROR(__xludf.DUMMYFUNCTION("""COMPUTED_VALUE"""),"NORMAL")</f>
        <v>NORMAL</v>
      </c>
      <c r="D156" s="5" t="str">
        <f>IFERROR(__xludf.DUMMYFUNCTION("""COMPUTED_VALUE"""),"NICO ELVEDI")</f>
        <v>NICO ELVEDI</v>
      </c>
      <c r="E156" s="5">
        <f>IFERROR(__xludf.DUMMYFUNCTION("""COMPUTED_VALUE"""),0.0)</f>
        <v>0</v>
      </c>
    </row>
    <row r="157">
      <c r="A157" s="5" t="str">
        <f>IFERROR(__xludf.DUMMYFUNCTION("""COMPUTED_VALUE"""),"SUI07")</f>
        <v>SUI07</v>
      </c>
      <c r="B157" s="5" t="str">
        <f>IFERROR(__xludf.DUMMYFUNCTION("""COMPUTED_VALUE"""),"SWITZERLAND")</f>
        <v>SWITZERLAND</v>
      </c>
      <c r="C157" s="5" t="str">
        <f>IFERROR(__xludf.DUMMYFUNCTION("""COMPUTED_VALUE"""),"NORMAL")</f>
        <v>NORMAL</v>
      </c>
      <c r="D157" s="5" t="str">
        <f>IFERROR(__xludf.DUMMYFUNCTION("""COMPUTED_VALUE"""),"AURELE AMENDA")</f>
        <v>AURELE AMENDA</v>
      </c>
      <c r="E157" s="5">
        <f>IFERROR(__xludf.DUMMYFUNCTION("""COMPUTED_VALUE"""),0.0)</f>
        <v>0</v>
      </c>
    </row>
    <row r="158">
      <c r="A158" s="5" t="str">
        <f>IFERROR(__xludf.DUMMYFUNCTION("""COMPUTED_VALUE"""),"SUI08")</f>
        <v>SUI08</v>
      </c>
      <c r="B158" s="5" t="str">
        <f>IFERROR(__xludf.DUMMYFUNCTION("""COMPUTED_VALUE"""),"SWITZERLAND")</f>
        <v>SWITZERLAND</v>
      </c>
      <c r="C158" s="5" t="str">
        <f>IFERROR(__xludf.DUMMYFUNCTION("""COMPUTED_VALUE"""),"NORMAL")</f>
        <v>NORMAL</v>
      </c>
      <c r="D158" s="5" t="str">
        <f>IFERROR(__xludf.DUMMYFUNCTION("""COMPUTED_VALUE"""),"SILVAN WIDMER")</f>
        <v>SILVAN WIDMER</v>
      </c>
      <c r="E158" s="5">
        <f>IFERROR(__xludf.DUMMYFUNCTION("""COMPUTED_VALUE"""),0.0)</f>
        <v>0</v>
      </c>
    </row>
    <row r="159">
      <c r="A159" s="5" t="str">
        <f>IFERROR(__xludf.DUMMYFUNCTION("""COMPUTED_VALUE"""),"SUI09")</f>
        <v>SUI09</v>
      </c>
      <c r="B159" s="5" t="str">
        <f>IFERROR(__xludf.DUMMYFUNCTION("""COMPUTED_VALUE"""),"SWITZERLAND")</f>
        <v>SWITZERLAND</v>
      </c>
      <c r="C159" s="5" t="str">
        <f>IFERROR(__xludf.DUMMYFUNCTION("""COMPUTED_VALUE"""),"NORMAL")</f>
        <v>NORMAL</v>
      </c>
      <c r="D159" s="5" t="str">
        <f>IFERROR(__xludf.DUMMYFUNCTION("""COMPUTED_VALUE"""),"GRANIT XHAKA")</f>
        <v>GRANIT XHAKA</v>
      </c>
      <c r="E159" s="5">
        <f>IFERROR(__xludf.DUMMYFUNCTION("""COMPUTED_VALUE"""),0.0)</f>
        <v>0</v>
      </c>
    </row>
    <row r="160">
      <c r="A160" s="5" t="str">
        <f>IFERROR(__xludf.DUMMYFUNCTION("""COMPUTED_VALUE"""),"SUI10")</f>
        <v>SUI10</v>
      </c>
      <c r="B160" s="5" t="str">
        <f>IFERROR(__xludf.DUMMYFUNCTION("""COMPUTED_VALUE"""),"SWITZERLAND")</f>
        <v>SWITZERLAND</v>
      </c>
      <c r="C160" s="5" t="str">
        <f>IFERROR(__xludf.DUMMYFUNCTION("""COMPUTED_VALUE"""),"NORMAL")</f>
        <v>NORMAL</v>
      </c>
      <c r="D160" s="5" t="str">
        <f>IFERROR(__xludf.DUMMYFUNCTION("""COMPUTED_VALUE"""),"DENIS ZAKARIA")</f>
        <v>DENIS ZAKARIA</v>
      </c>
      <c r="E160" s="5">
        <f>IFERROR(__xludf.DUMMYFUNCTION("""COMPUTED_VALUE"""),0.0)</f>
        <v>0</v>
      </c>
    </row>
    <row r="161">
      <c r="A161" s="5" t="str">
        <f>IFERROR(__xludf.DUMMYFUNCTION("""COMPUTED_VALUE"""),"SUI11")</f>
        <v>SUI11</v>
      </c>
      <c r="B161" s="5" t="str">
        <f>IFERROR(__xludf.DUMMYFUNCTION("""COMPUTED_VALUE"""),"SWITZERLAND")</f>
        <v>SWITZERLAND</v>
      </c>
      <c r="C161" s="5" t="str">
        <f>IFERROR(__xludf.DUMMYFUNCTION("""COMPUTED_VALUE"""),"NORMAL")</f>
        <v>NORMAL</v>
      </c>
      <c r="D161" s="5" t="str">
        <f>IFERROR(__xludf.DUMMYFUNCTION("""COMPUTED_VALUE"""),"REMO FREULER")</f>
        <v>REMO FREULER</v>
      </c>
      <c r="E161" s="5">
        <f>IFERROR(__xludf.DUMMYFUNCTION("""COMPUTED_VALUE"""),0.0)</f>
        <v>0</v>
      </c>
    </row>
    <row r="162">
      <c r="A162" s="5" t="str">
        <f>IFERROR(__xludf.DUMMYFUNCTION("""COMPUTED_VALUE"""),"SUI12")</f>
        <v>SUI12</v>
      </c>
      <c r="B162" s="5" t="str">
        <f>IFERROR(__xludf.DUMMYFUNCTION("""COMPUTED_VALUE"""),"SWITZERLAND")</f>
        <v>SWITZERLAND</v>
      </c>
      <c r="C162" s="5" t="str">
        <f>IFERROR(__xludf.DUMMYFUNCTION("""COMPUTED_VALUE"""),"NORMAL")</f>
        <v>NORMAL</v>
      </c>
      <c r="D162" s="5" t="str">
        <f>IFERROR(__xludf.DUMMYFUNCTION("""COMPUTED_VALUE"""),"FABIAN RIEDER")</f>
        <v>FABIAN RIEDER</v>
      </c>
      <c r="E162" s="5">
        <f>IFERROR(__xludf.DUMMYFUNCTION("""COMPUTED_VALUE"""),0.0)</f>
        <v>0</v>
      </c>
    </row>
    <row r="163">
      <c r="A163" s="5" t="str">
        <f>IFERROR(__xludf.DUMMYFUNCTION("""COMPUTED_VALUE"""),"SUI13")</f>
        <v>SUI13</v>
      </c>
      <c r="B163" s="5" t="str">
        <f>IFERROR(__xludf.DUMMYFUNCTION("""COMPUTED_VALUE"""),"SWITZERLAND")</f>
        <v>SWITZERLAND</v>
      </c>
      <c r="C163" s="5" t="str">
        <f>IFERROR(__xludf.DUMMYFUNCTION("""COMPUTED_VALUE"""),"TEAM")</f>
        <v>TEAM</v>
      </c>
      <c r="D163" s="5" t="str">
        <f>IFERROR(__xludf.DUMMYFUNCTION("""COMPUTED_VALUE"""),"SWITZERLAND NATIONAL TEAM")</f>
        <v>SWITZERLAND NATIONAL TEAM</v>
      </c>
      <c r="E163" s="5">
        <f>IFERROR(__xludf.DUMMYFUNCTION("""COMPUTED_VALUE"""),0.0)</f>
        <v>0</v>
      </c>
    </row>
    <row r="164">
      <c r="A164" s="5" t="str">
        <f>IFERROR(__xludf.DUMMYFUNCTION("""COMPUTED_VALUE"""),"SUI14")</f>
        <v>SUI14</v>
      </c>
      <c r="B164" s="5" t="str">
        <f>IFERROR(__xludf.DUMMYFUNCTION("""COMPUTED_VALUE"""),"SWITZERLAND")</f>
        <v>SWITZERLAND</v>
      </c>
      <c r="C164" s="5" t="str">
        <f>IFERROR(__xludf.DUMMYFUNCTION("""COMPUTED_VALUE"""),"NORMAL")</f>
        <v>NORMAL</v>
      </c>
      <c r="D164" s="5" t="str">
        <f>IFERROR(__xludf.DUMMYFUNCTION("""COMPUTED_VALUE"""),"AARON JASHARI")</f>
        <v>AARON JASHARI</v>
      </c>
      <c r="E164" s="5">
        <f>IFERROR(__xludf.DUMMYFUNCTION("""COMPUTED_VALUE"""),0.0)</f>
        <v>0</v>
      </c>
    </row>
    <row r="165">
      <c r="A165" s="5" t="str">
        <f>IFERROR(__xludf.DUMMYFUNCTION("""COMPUTED_VALUE"""),"SUI15")</f>
        <v>SUI15</v>
      </c>
      <c r="B165" s="5" t="str">
        <f>IFERROR(__xludf.DUMMYFUNCTION("""COMPUTED_VALUE"""),"SWITZERLAND")</f>
        <v>SWITZERLAND</v>
      </c>
      <c r="C165" s="5" t="str">
        <f>IFERROR(__xludf.DUMMYFUNCTION("""COMPUTED_VALUE"""),"NORMAL")</f>
        <v>NORMAL</v>
      </c>
      <c r="D165" s="5" t="str">
        <f>IFERROR(__xludf.DUMMYFUNCTION("""COMPUTED_VALUE"""),"JOHAN MANZAMBI")</f>
        <v>JOHAN MANZAMBI</v>
      </c>
      <c r="E165" s="5">
        <f>IFERROR(__xludf.DUMMYFUNCTION("""COMPUTED_VALUE"""),0.0)</f>
        <v>0</v>
      </c>
    </row>
    <row r="166">
      <c r="A166" s="5" t="str">
        <f>IFERROR(__xludf.DUMMYFUNCTION("""COMPUTED_VALUE"""),"SUI16")</f>
        <v>SUI16</v>
      </c>
      <c r="B166" s="5" t="str">
        <f>IFERROR(__xludf.DUMMYFUNCTION("""COMPUTED_VALUE"""),"SWITZERLAND")</f>
        <v>SWITZERLAND</v>
      </c>
      <c r="C166" s="5" t="str">
        <f>IFERROR(__xludf.DUMMYFUNCTION("""COMPUTED_VALUE"""),"NORMAL")</f>
        <v>NORMAL</v>
      </c>
      <c r="D166" s="5" t="str">
        <f>IFERROR(__xludf.DUMMYFUNCTION("""COMPUTED_VALUE"""),"MICHEL AEBISCHER")</f>
        <v>MICHEL AEBISCHER</v>
      </c>
      <c r="E166" s="5">
        <f>IFERROR(__xludf.DUMMYFUNCTION("""COMPUTED_VALUE"""),0.0)</f>
        <v>0</v>
      </c>
    </row>
    <row r="167">
      <c r="A167" s="5" t="str">
        <f>IFERROR(__xludf.DUMMYFUNCTION("""COMPUTED_VALUE"""),"SUI17")</f>
        <v>SUI17</v>
      </c>
      <c r="B167" s="5" t="str">
        <f>IFERROR(__xludf.DUMMYFUNCTION("""COMPUTED_VALUE"""),"SWITZERLAND")</f>
        <v>SWITZERLAND</v>
      </c>
      <c r="C167" s="5" t="str">
        <f>IFERROR(__xludf.DUMMYFUNCTION("""COMPUTED_VALUE"""),"NORMAL")</f>
        <v>NORMAL</v>
      </c>
      <c r="D167" s="5" t="str">
        <f>IFERROR(__xludf.DUMMYFUNCTION("""COMPUTED_VALUE"""),"BREEL EMBOLO")</f>
        <v>BREEL EMBOLO</v>
      </c>
      <c r="E167" s="5">
        <f>IFERROR(__xludf.DUMMYFUNCTION("""COMPUTED_VALUE"""),0.0)</f>
        <v>0</v>
      </c>
    </row>
    <row r="168">
      <c r="A168" s="5" t="str">
        <f>IFERROR(__xludf.DUMMYFUNCTION("""COMPUTED_VALUE"""),"SUI18")</f>
        <v>SUI18</v>
      </c>
      <c r="B168" s="5" t="str">
        <f>IFERROR(__xludf.DUMMYFUNCTION("""COMPUTED_VALUE"""),"SWITZERLAND")</f>
        <v>SWITZERLAND</v>
      </c>
      <c r="C168" s="5" t="str">
        <f>IFERROR(__xludf.DUMMYFUNCTION("""COMPUTED_VALUE"""),"NORMAL")</f>
        <v>NORMAL</v>
      </c>
      <c r="D168" s="5" t="str">
        <f>IFERROR(__xludf.DUMMYFUNCTION("""COMPUTED_VALUE"""),"RUBEN VARGAS")</f>
        <v>RUBEN VARGAS</v>
      </c>
      <c r="E168" s="5">
        <f>IFERROR(__xludf.DUMMYFUNCTION("""COMPUTED_VALUE"""),0.0)</f>
        <v>0</v>
      </c>
    </row>
    <row r="169">
      <c r="A169" s="5" t="str">
        <f>IFERROR(__xludf.DUMMYFUNCTION("""COMPUTED_VALUE"""),"SUI19")</f>
        <v>SUI19</v>
      </c>
      <c r="B169" s="5" t="str">
        <f>IFERROR(__xludf.DUMMYFUNCTION("""COMPUTED_VALUE"""),"SWITZERLAND")</f>
        <v>SWITZERLAND</v>
      </c>
      <c r="C169" s="5" t="str">
        <f>IFERROR(__xludf.DUMMYFUNCTION("""COMPUTED_VALUE"""),"NORMAL")</f>
        <v>NORMAL</v>
      </c>
      <c r="D169" s="5" t="str">
        <f>IFERROR(__xludf.DUMMYFUNCTION("""COMPUTED_VALUE"""),"DAN NDOVE")</f>
        <v>DAN NDOVE</v>
      </c>
      <c r="E169" s="5">
        <f>IFERROR(__xludf.DUMMYFUNCTION("""COMPUTED_VALUE"""),0.0)</f>
        <v>0</v>
      </c>
    </row>
    <row r="170">
      <c r="A170" s="5" t="str">
        <f>IFERROR(__xludf.DUMMYFUNCTION("""COMPUTED_VALUE"""),"SUI20")</f>
        <v>SUI20</v>
      </c>
      <c r="B170" s="5" t="str">
        <f>IFERROR(__xludf.DUMMYFUNCTION("""COMPUTED_VALUE"""),"SWITZERLAND")</f>
        <v>SWITZERLAND</v>
      </c>
      <c r="C170" s="5" t="str">
        <f>IFERROR(__xludf.DUMMYFUNCTION("""COMPUTED_VALUE"""),"NORMAL")</f>
        <v>NORMAL</v>
      </c>
      <c r="D170" s="5" t="str">
        <f>IFERROR(__xludf.DUMMYFUNCTION("""COMPUTED_VALUE"""),"ZEKI AMDOUNI")</f>
        <v>ZEKI AMDOUNI</v>
      </c>
      <c r="E170" s="5">
        <f>IFERROR(__xludf.DUMMYFUNCTION("""COMPUTED_VALUE"""),0.0)</f>
        <v>0</v>
      </c>
    </row>
    <row r="171">
      <c r="A171" s="5" t="str">
        <f>IFERROR(__xludf.DUMMYFUNCTION("""COMPUTED_VALUE"""),"BRA01")</f>
        <v>BRA01</v>
      </c>
      <c r="B171" s="5" t="str">
        <f>IFERROR(__xludf.DUMMYFUNCTION("""COMPUTED_VALUE"""),"BRAZIL")</f>
        <v>BRAZIL</v>
      </c>
      <c r="C171" s="5" t="str">
        <f>IFERROR(__xludf.DUMMYFUNCTION("""COMPUTED_VALUE"""),"BADGE")</f>
        <v>BADGE</v>
      </c>
      <c r="D171" s="5" t="str">
        <f>IFERROR(__xludf.DUMMYFUNCTION("""COMPUTED_VALUE"""),"BRAZIL NATIONAL TEAM")</f>
        <v>BRAZIL NATIONAL TEAM</v>
      </c>
      <c r="E171" s="5">
        <f>IFERROR(__xludf.DUMMYFUNCTION("""COMPUTED_VALUE"""),0.0)</f>
        <v>0</v>
      </c>
    </row>
    <row r="172">
      <c r="A172" s="5" t="str">
        <f>IFERROR(__xludf.DUMMYFUNCTION("""COMPUTED_VALUE"""),"BRA02")</f>
        <v>BRA02</v>
      </c>
      <c r="B172" s="5" t="str">
        <f>IFERROR(__xludf.DUMMYFUNCTION("""COMPUTED_VALUE"""),"BRAZIL")</f>
        <v>BRAZIL</v>
      </c>
      <c r="C172" s="5" t="str">
        <f>IFERROR(__xludf.DUMMYFUNCTION("""COMPUTED_VALUE"""),"NORMAL")</f>
        <v>NORMAL</v>
      </c>
      <c r="D172" s="5" t="str">
        <f>IFERROR(__xludf.DUMMYFUNCTION("""COMPUTED_VALUE"""),"ALISSON")</f>
        <v>ALISSON</v>
      </c>
      <c r="E172" s="5">
        <f>IFERROR(__xludf.DUMMYFUNCTION("""COMPUTED_VALUE"""),0.0)</f>
        <v>0</v>
      </c>
    </row>
    <row r="173">
      <c r="A173" s="5" t="str">
        <f>IFERROR(__xludf.DUMMYFUNCTION("""COMPUTED_VALUE"""),"BRA03")</f>
        <v>BRA03</v>
      </c>
      <c r="B173" s="5" t="str">
        <f>IFERROR(__xludf.DUMMYFUNCTION("""COMPUTED_VALUE"""),"BRAZIL")</f>
        <v>BRAZIL</v>
      </c>
      <c r="C173" s="5" t="str">
        <f>IFERROR(__xludf.DUMMYFUNCTION("""COMPUTED_VALUE"""),"NORMAL")</f>
        <v>NORMAL</v>
      </c>
      <c r="D173" s="5" t="str">
        <f>IFERROR(__xludf.DUMMYFUNCTION("""COMPUTED_VALUE"""),"BENTO")</f>
        <v>BENTO</v>
      </c>
      <c r="E173" s="5">
        <f>IFERROR(__xludf.DUMMYFUNCTION("""COMPUTED_VALUE"""),0.0)</f>
        <v>0</v>
      </c>
    </row>
    <row r="174">
      <c r="A174" s="5" t="str">
        <f>IFERROR(__xludf.DUMMYFUNCTION("""COMPUTED_VALUE"""),"BRA04")</f>
        <v>BRA04</v>
      </c>
      <c r="B174" s="5" t="str">
        <f>IFERROR(__xludf.DUMMYFUNCTION("""COMPUTED_VALUE"""),"BRAZIL")</f>
        <v>BRAZIL</v>
      </c>
      <c r="C174" s="5" t="str">
        <f>IFERROR(__xludf.DUMMYFUNCTION("""COMPUTED_VALUE"""),"NORMAL")</f>
        <v>NORMAL</v>
      </c>
      <c r="D174" s="5" t="str">
        <f>IFERROR(__xludf.DUMMYFUNCTION("""COMPUTED_VALUE"""),"MARQUINOS")</f>
        <v>MARQUINOS</v>
      </c>
      <c r="E174" s="5">
        <f>IFERROR(__xludf.DUMMYFUNCTION("""COMPUTED_VALUE"""),0.0)</f>
        <v>0</v>
      </c>
    </row>
    <row r="175">
      <c r="A175" s="5" t="str">
        <f>IFERROR(__xludf.DUMMYFUNCTION("""COMPUTED_VALUE"""),"BRA05")</f>
        <v>BRA05</v>
      </c>
      <c r="B175" s="5" t="str">
        <f>IFERROR(__xludf.DUMMYFUNCTION("""COMPUTED_VALUE"""),"BRAZIL")</f>
        <v>BRAZIL</v>
      </c>
      <c r="C175" s="5" t="str">
        <f>IFERROR(__xludf.DUMMYFUNCTION("""COMPUTED_VALUE"""),"NORMAL")</f>
        <v>NORMAL</v>
      </c>
      <c r="D175" s="5" t="str">
        <f>IFERROR(__xludf.DUMMYFUNCTION("""COMPUTED_VALUE"""),"EDER MILITAO")</f>
        <v>EDER MILITAO</v>
      </c>
      <c r="E175" s="5">
        <f>IFERROR(__xludf.DUMMYFUNCTION("""COMPUTED_VALUE"""),0.0)</f>
        <v>0</v>
      </c>
    </row>
    <row r="176">
      <c r="A176" s="5" t="str">
        <f>IFERROR(__xludf.DUMMYFUNCTION("""COMPUTED_VALUE"""),"BRA06")</f>
        <v>BRA06</v>
      </c>
      <c r="B176" s="5" t="str">
        <f>IFERROR(__xludf.DUMMYFUNCTION("""COMPUTED_VALUE"""),"BRAZIL")</f>
        <v>BRAZIL</v>
      </c>
      <c r="C176" s="5" t="str">
        <f>IFERROR(__xludf.DUMMYFUNCTION("""COMPUTED_VALUE"""),"NORMAL")</f>
        <v>NORMAL</v>
      </c>
      <c r="D176" s="5" t="str">
        <f>IFERROR(__xludf.DUMMYFUNCTION("""COMPUTED_VALUE"""),"GABRIEL MAGALHAES")</f>
        <v>GABRIEL MAGALHAES</v>
      </c>
      <c r="E176" s="5">
        <f>IFERROR(__xludf.DUMMYFUNCTION("""COMPUTED_VALUE"""),0.0)</f>
        <v>0</v>
      </c>
    </row>
    <row r="177">
      <c r="A177" s="5" t="str">
        <f>IFERROR(__xludf.DUMMYFUNCTION("""COMPUTED_VALUE"""),"BRA07")</f>
        <v>BRA07</v>
      </c>
      <c r="B177" s="5" t="str">
        <f>IFERROR(__xludf.DUMMYFUNCTION("""COMPUTED_VALUE"""),"BRAZIL")</f>
        <v>BRAZIL</v>
      </c>
      <c r="C177" s="5" t="str">
        <f>IFERROR(__xludf.DUMMYFUNCTION("""COMPUTED_VALUE"""),"NORMAL")</f>
        <v>NORMAL</v>
      </c>
      <c r="D177" s="5" t="str">
        <f>IFERROR(__xludf.DUMMYFUNCTION("""COMPUTED_VALUE"""),"DANILO")</f>
        <v>DANILO</v>
      </c>
      <c r="E177" s="5">
        <f>IFERROR(__xludf.DUMMYFUNCTION("""COMPUTED_VALUE"""),0.0)</f>
        <v>0</v>
      </c>
    </row>
    <row r="178">
      <c r="A178" s="5" t="str">
        <f>IFERROR(__xludf.DUMMYFUNCTION("""COMPUTED_VALUE"""),"BRA08")</f>
        <v>BRA08</v>
      </c>
      <c r="B178" s="5" t="str">
        <f>IFERROR(__xludf.DUMMYFUNCTION("""COMPUTED_VALUE"""),"BRAZIL")</f>
        <v>BRAZIL</v>
      </c>
      <c r="C178" s="5" t="str">
        <f>IFERROR(__xludf.DUMMYFUNCTION("""COMPUTED_VALUE"""),"NORMAL")</f>
        <v>NORMAL</v>
      </c>
      <c r="D178" s="5" t="str">
        <f>IFERROR(__xludf.DUMMYFUNCTION("""COMPUTED_VALUE"""),"WESLEY")</f>
        <v>WESLEY</v>
      </c>
      <c r="E178" s="5">
        <f>IFERROR(__xludf.DUMMYFUNCTION("""COMPUTED_VALUE"""),0.0)</f>
        <v>0</v>
      </c>
    </row>
    <row r="179">
      <c r="A179" s="5" t="str">
        <f>IFERROR(__xludf.DUMMYFUNCTION("""COMPUTED_VALUE"""),"BRA09")</f>
        <v>BRA09</v>
      </c>
      <c r="B179" s="5" t="str">
        <f>IFERROR(__xludf.DUMMYFUNCTION("""COMPUTED_VALUE"""),"BRAZIL")</f>
        <v>BRAZIL</v>
      </c>
      <c r="C179" s="5" t="str">
        <f>IFERROR(__xludf.DUMMYFUNCTION("""COMPUTED_VALUE"""),"NORMAL")</f>
        <v>NORMAL</v>
      </c>
      <c r="D179" s="5" t="str">
        <f>IFERROR(__xludf.DUMMYFUNCTION("""COMPUTED_VALUE"""),"LUCAS PAQUETÁ")</f>
        <v>LUCAS PAQUETÁ</v>
      </c>
      <c r="E179" s="5">
        <f>IFERROR(__xludf.DUMMYFUNCTION("""COMPUTED_VALUE"""),0.0)</f>
        <v>0</v>
      </c>
    </row>
    <row r="180">
      <c r="A180" s="5" t="str">
        <f>IFERROR(__xludf.DUMMYFUNCTION("""COMPUTED_VALUE"""),"BRA10")</f>
        <v>BRA10</v>
      </c>
      <c r="B180" s="5" t="str">
        <f>IFERROR(__xludf.DUMMYFUNCTION("""COMPUTED_VALUE"""),"BRAZIL")</f>
        <v>BRAZIL</v>
      </c>
      <c r="C180" s="5" t="str">
        <f>IFERROR(__xludf.DUMMYFUNCTION("""COMPUTED_VALUE"""),"NORMAL")</f>
        <v>NORMAL</v>
      </c>
      <c r="D180" s="5" t="str">
        <f>IFERROR(__xludf.DUMMYFUNCTION("""COMPUTED_VALUE"""),"CASEMIRO")</f>
        <v>CASEMIRO</v>
      </c>
      <c r="E180" s="5">
        <f>IFERROR(__xludf.DUMMYFUNCTION("""COMPUTED_VALUE"""),0.0)</f>
        <v>0</v>
      </c>
    </row>
    <row r="181">
      <c r="A181" s="5" t="str">
        <f>IFERROR(__xludf.DUMMYFUNCTION("""COMPUTED_VALUE"""),"BRA11")</f>
        <v>BRA11</v>
      </c>
      <c r="B181" s="5" t="str">
        <f>IFERROR(__xludf.DUMMYFUNCTION("""COMPUTED_VALUE"""),"BRAZIL")</f>
        <v>BRAZIL</v>
      </c>
      <c r="C181" s="5" t="str">
        <f>IFERROR(__xludf.DUMMYFUNCTION("""COMPUTED_VALUE"""),"NORMAL")</f>
        <v>NORMAL</v>
      </c>
      <c r="D181" s="5" t="str">
        <f>IFERROR(__xludf.DUMMYFUNCTION("""COMPUTED_VALUE"""),"BRUNO GUIMARAES")</f>
        <v>BRUNO GUIMARAES</v>
      </c>
      <c r="E181" s="5">
        <f>IFERROR(__xludf.DUMMYFUNCTION("""COMPUTED_VALUE"""),0.0)</f>
        <v>0</v>
      </c>
    </row>
    <row r="182">
      <c r="A182" s="5" t="str">
        <f>IFERROR(__xludf.DUMMYFUNCTION("""COMPUTED_VALUE"""),"BRA12")</f>
        <v>BRA12</v>
      </c>
      <c r="B182" s="5" t="str">
        <f>IFERROR(__xludf.DUMMYFUNCTION("""COMPUTED_VALUE"""),"BRAZIL")</f>
        <v>BRAZIL</v>
      </c>
      <c r="C182" s="5" t="str">
        <f>IFERROR(__xludf.DUMMYFUNCTION("""COMPUTED_VALUE"""),"NORMAL")</f>
        <v>NORMAL</v>
      </c>
      <c r="D182" s="5" t="str">
        <f>IFERROR(__xludf.DUMMYFUNCTION("""COMPUTED_VALUE"""),"LUIZ HENRIQUE")</f>
        <v>LUIZ HENRIQUE</v>
      </c>
      <c r="E182" s="5">
        <f>IFERROR(__xludf.DUMMYFUNCTION("""COMPUTED_VALUE"""),0.0)</f>
        <v>0</v>
      </c>
    </row>
    <row r="183">
      <c r="A183" s="5" t="str">
        <f>IFERROR(__xludf.DUMMYFUNCTION("""COMPUTED_VALUE"""),"BRA13")</f>
        <v>BRA13</v>
      </c>
      <c r="B183" s="5" t="str">
        <f>IFERROR(__xludf.DUMMYFUNCTION("""COMPUTED_VALUE"""),"BRAZIL")</f>
        <v>BRAZIL</v>
      </c>
      <c r="C183" s="5" t="str">
        <f>IFERROR(__xludf.DUMMYFUNCTION("""COMPUTED_VALUE"""),"TEAM")</f>
        <v>TEAM</v>
      </c>
      <c r="D183" s="5" t="str">
        <f>IFERROR(__xludf.DUMMYFUNCTION("""COMPUTED_VALUE"""),"BRAZIL NATIONAL TEAM")</f>
        <v>BRAZIL NATIONAL TEAM</v>
      </c>
      <c r="E183" s="5">
        <f>IFERROR(__xludf.DUMMYFUNCTION("""COMPUTED_VALUE"""),0.0)</f>
        <v>0</v>
      </c>
    </row>
    <row r="184">
      <c r="A184" s="5" t="str">
        <f>IFERROR(__xludf.DUMMYFUNCTION("""COMPUTED_VALUE"""),"BRA14")</f>
        <v>BRA14</v>
      </c>
      <c r="B184" s="5" t="str">
        <f>IFERROR(__xludf.DUMMYFUNCTION("""COMPUTED_VALUE"""),"BRAZIL")</f>
        <v>BRAZIL</v>
      </c>
      <c r="C184" s="5" t="str">
        <f>IFERROR(__xludf.DUMMYFUNCTION("""COMPUTED_VALUE"""),"NORMAL")</f>
        <v>NORMAL</v>
      </c>
      <c r="D184" s="5" t="str">
        <f>IFERROR(__xludf.DUMMYFUNCTION("""COMPUTED_VALUE"""),"VINICIUS JUNIOR")</f>
        <v>VINICIUS JUNIOR</v>
      </c>
      <c r="E184" s="5">
        <f>IFERROR(__xludf.DUMMYFUNCTION("""COMPUTED_VALUE"""),0.0)</f>
        <v>0</v>
      </c>
    </row>
    <row r="185">
      <c r="A185" s="5" t="str">
        <f>IFERROR(__xludf.DUMMYFUNCTION("""COMPUTED_VALUE"""),"BRA15")</f>
        <v>BRA15</v>
      </c>
      <c r="B185" s="5" t="str">
        <f>IFERROR(__xludf.DUMMYFUNCTION("""COMPUTED_VALUE"""),"BRAZIL")</f>
        <v>BRAZIL</v>
      </c>
      <c r="C185" s="5" t="str">
        <f>IFERROR(__xludf.DUMMYFUNCTION("""COMPUTED_VALUE"""),"NORMAL")</f>
        <v>NORMAL</v>
      </c>
      <c r="D185" s="5" t="str">
        <f>IFERROR(__xludf.DUMMYFUNCTION("""COMPUTED_VALUE"""),"RODRYGO")</f>
        <v>RODRYGO</v>
      </c>
      <c r="E185" s="5">
        <f>IFERROR(__xludf.DUMMYFUNCTION("""COMPUTED_VALUE"""),0.0)</f>
        <v>0</v>
      </c>
    </row>
    <row r="186">
      <c r="A186" s="5" t="str">
        <f>IFERROR(__xludf.DUMMYFUNCTION("""COMPUTED_VALUE"""),"BRA16")</f>
        <v>BRA16</v>
      </c>
      <c r="B186" s="5" t="str">
        <f>IFERROR(__xludf.DUMMYFUNCTION("""COMPUTED_VALUE"""),"BRAZIL")</f>
        <v>BRAZIL</v>
      </c>
      <c r="C186" s="5" t="str">
        <f>IFERROR(__xludf.DUMMYFUNCTION("""COMPUTED_VALUE"""),"NORMAL")</f>
        <v>NORMAL</v>
      </c>
      <c r="D186" s="5" t="str">
        <f>IFERROR(__xludf.DUMMYFUNCTION("""COMPUTED_VALUE"""),"JOAO PEDRO")</f>
        <v>JOAO PEDRO</v>
      </c>
      <c r="E186" s="5">
        <f>IFERROR(__xludf.DUMMYFUNCTION("""COMPUTED_VALUE"""),0.0)</f>
        <v>0</v>
      </c>
    </row>
    <row r="187">
      <c r="A187" s="5" t="str">
        <f>IFERROR(__xludf.DUMMYFUNCTION("""COMPUTED_VALUE"""),"BRA17")</f>
        <v>BRA17</v>
      </c>
      <c r="B187" s="5" t="str">
        <f>IFERROR(__xludf.DUMMYFUNCTION("""COMPUTED_VALUE"""),"BRAZIL")</f>
        <v>BRAZIL</v>
      </c>
      <c r="C187" s="5" t="str">
        <f>IFERROR(__xludf.DUMMYFUNCTION("""COMPUTED_VALUE"""),"NORMAL")</f>
        <v>NORMAL</v>
      </c>
      <c r="D187" s="5" t="str">
        <f>IFERROR(__xludf.DUMMYFUNCTION("""COMPUTED_VALUE"""),"MATHEUS CUNHA")</f>
        <v>MATHEUS CUNHA</v>
      </c>
      <c r="E187" s="5">
        <f>IFERROR(__xludf.DUMMYFUNCTION("""COMPUTED_VALUE"""),0.0)</f>
        <v>0</v>
      </c>
    </row>
    <row r="188">
      <c r="A188" s="5" t="str">
        <f>IFERROR(__xludf.DUMMYFUNCTION("""COMPUTED_VALUE"""),"BRA18")</f>
        <v>BRA18</v>
      </c>
      <c r="B188" s="5" t="str">
        <f>IFERROR(__xludf.DUMMYFUNCTION("""COMPUTED_VALUE"""),"BRAZIL")</f>
        <v>BRAZIL</v>
      </c>
      <c r="C188" s="5" t="str">
        <f>IFERROR(__xludf.DUMMYFUNCTION("""COMPUTED_VALUE"""),"NORMAL")</f>
        <v>NORMAL</v>
      </c>
      <c r="D188" s="5" t="str">
        <f>IFERROR(__xludf.DUMMYFUNCTION("""COMPUTED_VALUE"""),"GABRIEL MARTINELLI")</f>
        <v>GABRIEL MARTINELLI</v>
      </c>
      <c r="E188" s="5">
        <f>IFERROR(__xludf.DUMMYFUNCTION("""COMPUTED_VALUE"""),0.0)</f>
        <v>0</v>
      </c>
    </row>
    <row r="189">
      <c r="A189" s="5" t="str">
        <f>IFERROR(__xludf.DUMMYFUNCTION("""COMPUTED_VALUE"""),"BRA19")</f>
        <v>BRA19</v>
      </c>
      <c r="B189" s="5" t="str">
        <f>IFERROR(__xludf.DUMMYFUNCTION("""COMPUTED_VALUE"""),"BRAZIL")</f>
        <v>BRAZIL</v>
      </c>
      <c r="C189" s="5" t="str">
        <f>IFERROR(__xludf.DUMMYFUNCTION("""COMPUTED_VALUE"""),"NORMAL")</f>
        <v>NORMAL</v>
      </c>
      <c r="D189" s="5" t="str">
        <f>IFERROR(__xludf.DUMMYFUNCTION("""COMPUTED_VALUE"""),"RAPHINHA")</f>
        <v>RAPHINHA</v>
      </c>
      <c r="E189" s="5">
        <f>IFERROR(__xludf.DUMMYFUNCTION("""COMPUTED_VALUE"""),0.0)</f>
        <v>0</v>
      </c>
    </row>
    <row r="190">
      <c r="A190" s="5" t="str">
        <f>IFERROR(__xludf.DUMMYFUNCTION("""COMPUTED_VALUE"""),"BRA20")</f>
        <v>BRA20</v>
      </c>
      <c r="B190" s="5" t="str">
        <f>IFERROR(__xludf.DUMMYFUNCTION("""COMPUTED_VALUE"""),"BRAZIL")</f>
        <v>BRAZIL</v>
      </c>
      <c r="C190" s="5" t="str">
        <f>IFERROR(__xludf.DUMMYFUNCTION("""COMPUTED_VALUE"""),"NORMAL")</f>
        <v>NORMAL</v>
      </c>
      <c r="D190" s="5" t="str">
        <f>IFERROR(__xludf.DUMMYFUNCTION("""COMPUTED_VALUE"""),"ESTEVAO")</f>
        <v>ESTEVAO</v>
      </c>
      <c r="E190" s="5">
        <f>IFERROR(__xludf.DUMMYFUNCTION("""COMPUTED_VALUE"""),0.0)</f>
        <v>0</v>
      </c>
    </row>
    <row r="191">
      <c r="A191" s="7" t="str">
        <f>IFERROR(__xludf.DUMMYFUNCTION("""COMPUTED_VALUE"""),"MAR01")</f>
        <v>MAR01</v>
      </c>
      <c r="B191" s="5" t="str">
        <f>IFERROR(__xludf.DUMMYFUNCTION("""COMPUTED_VALUE"""),"MOROCCO")</f>
        <v>MOROCCO</v>
      </c>
      <c r="C191" s="5" t="str">
        <f>IFERROR(__xludf.DUMMYFUNCTION("""COMPUTED_VALUE"""),"BADGE")</f>
        <v>BADGE</v>
      </c>
      <c r="D191" s="5" t="str">
        <f>IFERROR(__xludf.DUMMYFUNCTION("""COMPUTED_VALUE"""),"MOROCCO NATIONAL TEAM")</f>
        <v>MOROCCO NATIONAL TEAM</v>
      </c>
      <c r="E191" s="5">
        <f>IFERROR(__xludf.DUMMYFUNCTION("""COMPUTED_VALUE"""),0.0)</f>
        <v>0</v>
      </c>
    </row>
    <row r="192">
      <c r="A192" s="7" t="str">
        <f>IFERROR(__xludf.DUMMYFUNCTION("""COMPUTED_VALUE"""),"MAR02")</f>
        <v>MAR02</v>
      </c>
      <c r="B192" s="5" t="str">
        <f>IFERROR(__xludf.DUMMYFUNCTION("""COMPUTED_VALUE"""),"MOROCCO")</f>
        <v>MOROCCO</v>
      </c>
      <c r="C192" s="5" t="str">
        <f>IFERROR(__xludf.DUMMYFUNCTION("""COMPUTED_VALUE"""),"NORMAL")</f>
        <v>NORMAL</v>
      </c>
      <c r="D192" s="5" t="str">
        <f>IFERROR(__xludf.DUMMYFUNCTION("""COMPUTED_VALUE"""),"YASSINE BOUNOU")</f>
        <v>YASSINE BOUNOU</v>
      </c>
      <c r="E192" s="5">
        <f>IFERROR(__xludf.DUMMYFUNCTION("""COMPUTED_VALUE"""),0.0)</f>
        <v>0</v>
      </c>
    </row>
    <row r="193">
      <c r="A193" s="7" t="str">
        <f>IFERROR(__xludf.DUMMYFUNCTION("""COMPUTED_VALUE"""),"MAR03")</f>
        <v>MAR03</v>
      </c>
      <c r="B193" s="5" t="str">
        <f>IFERROR(__xludf.DUMMYFUNCTION("""COMPUTED_VALUE"""),"MOROCCO")</f>
        <v>MOROCCO</v>
      </c>
      <c r="C193" s="5" t="str">
        <f>IFERROR(__xludf.DUMMYFUNCTION("""COMPUTED_VALUE"""),"NORMAL")</f>
        <v>NORMAL</v>
      </c>
      <c r="D193" s="5" t="str">
        <f>IFERROR(__xludf.DUMMYFUNCTION("""COMPUTED_VALUE"""),"MUNIR EL KAJOUR")</f>
        <v>MUNIR EL KAJOUR</v>
      </c>
      <c r="E193" s="5">
        <f>IFERROR(__xludf.DUMMYFUNCTION("""COMPUTED_VALUE"""),0.0)</f>
        <v>0</v>
      </c>
    </row>
    <row r="194">
      <c r="A194" s="7" t="str">
        <f>IFERROR(__xludf.DUMMYFUNCTION("""COMPUTED_VALUE"""),"MAR04")</f>
        <v>MAR04</v>
      </c>
      <c r="B194" s="5" t="str">
        <f>IFERROR(__xludf.DUMMYFUNCTION("""COMPUTED_VALUE"""),"MOROCCO")</f>
        <v>MOROCCO</v>
      </c>
      <c r="C194" s="5" t="str">
        <f>IFERROR(__xludf.DUMMYFUNCTION("""COMPUTED_VALUE"""),"NORMAL")</f>
        <v>NORMAL</v>
      </c>
      <c r="D194" s="5" t="str">
        <f>IFERROR(__xludf.DUMMYFUNCTION("""COMPUTED_VALUE"""),"ACHRAF HAKIMI")</f>
        <v>ACHRAF HAKIMI</v>
      </c>
      <c r="E194" s="5">
        <f>IFERROR(__xludf.DUMMYFUNCTION("""COMPUTED_VALUE"""),0.0)</f>
        <v>0</v>
      </c>
    </row>
    <row r="195">
      <c r="A195" s="7" t="str">
        <f>IFERROR(__xludf.DUMMYFUNCTION("""COMPUTED_VALUE"""),"MAR05")</f>
        <v>MAR05</v>
      </c>
      <c r="B195" s="5" t="str">
        <f>IFERROR(__xludf.DUMMYFUNCTION("""COMPUTED_VALUE"""),"MOROCCO")</f>
        <v>MOROCCO</v>
      </c>
      <c r="C195" s="5" t="str">
        <f>IFERROR(__xludf.DUMMYFUNCTION("""COMPUTED_VALUE"""),"NORMAL")</f>
        <v>NORMAL</v>
      </c>
      <c r="D195" s="5" t="str">
        <f>IFERROR(__xludf.DUMMYFUNCTION("""COMPUTED_VALUE"""),"NOUSSAIR MAZRAOUI")</f>
        <v>NOUSSAIR MAZRAOUI</v>
      </c>
      <c r="E195" s="5">
        <f>IFERROR(__xludf.DUMMYFUNCTION("""COMPUTED_VALUE"""),0.0)</f>
        <v>0</v>
      </c>
    </row>
    <row r="196">
      <c r="A196" s="7" t="str">
        <f>IFERROR(__xludf.DUMMYFUNCTION("""COMPUTED_VALUE"""),"MAR06")</f>
        <v>MAR06</v>
      </c>
      <c r="B196" s="5" t="str">
        <f>IFERROR(__xludf.DUMMYFUNCTION("""COMPUTED_VALUE"""),"MOROCCO")</f>
        <v>MOROCCO</v>
      </c>
      <c r="C196" s="5" t="str">
        <f>IFERROR(__xludf.DUMMYFUNCTION("""COMPUTED_VALUE"""),"NORMAL")</f>
        <v>NORMAL</v>
      </c>
      <c r="D196" s="5" t="str">
        <f>IFERROR(__xludf.DUMMYFUNCTION("""COMPUTED_VALUE"""),"NAYEF AGUERD")</f>
        <v>NAYEF AGUERD</v>
      </c>
      <c r="E196" s="5">
        <f>IFERROR(__xludf.DUMMYFUNCTION("""COMPUTED_VALUE"""),0.0)</f>
        <v>0</v>
      </c>
    </row>
    <row r="197">
      <c r="A197" s="7" t="str">
        <f>IFERROR(__xludf.DUMMYFUNCTION("""COMPUTED_VALUE"""),"MAR07")</f>
        <v>MAR07</v>
      </c>
      <c r="B197" s="5" t="str">
        <f>IFERROR(__xludf.DUMMYFUNCTION("""COMPUTED_VALUE"""),"MOROCCO")</f>
        <v>MOROCCO</v>
      </c>
      <c r="C197" s="5" t="str">
        <f>IFERROR(__xludf.DUMMYFUNCTION("""COMPUTED_VALUE"""),"NORMAL")</f>
        <v>NORMAL</v>
      </c>
      <c r="D197" s="5" t="str">
        <f>IFERROR(__xludf.DUMMYFUNCTION("""COMPUTED_VALUE"""),"ROMAIN SAISS")</f>
        <v>ROMAIN SAISS</v>
      </c>
      <c r="E197" s="5">
        <f>IFERROR(__xludf.DUMMYFUNCTION("""COMPUTED_VALUE"""),0.0)</f>
        <v>0</v>
      </c>
    </row>
    <row r="198">
      <c r="A198" s="7" t="str">
        <f>IFERROR(__xludf.DUMMYFUNCTION("""COMPUTED_VALUE"""),"MAR08")</f>
        <v>MAR08</v>
      </c>
      <c r="B198" s="5" t="str">
        <f>IFERROR(__xludf.DUMMYFUNCTION("""COMPUTED_VALUE"""),"MOROCCO")</f>
        <v>MOROCCO</v>
      </c>
      <c r="C198" s="5" t="str">
        <f>IFERROR(__xludf.DUMMYFUNCTION("""COMPUTED_VALUE"""),"NORMAL")</f>
        <v>NORMAL</v>
      </c>
      <c r="D198" s="5" t="str">
        <f>IFERROR(__xludf.DUMMYFUNCTION("""COMPUTED_VALUE"""),"JAWAD EL YAMIQ")</f>
        <v>JAWAD EL YAMIQ</v>
      </c>
      <c r="E198" s="5">
        <f>IFERROR(__xludf.DUMMYFUNCTION("""COMPUTED_VALUE"""),0.0)</f>
        <v>0</v>
      </c>
    </row>
    <row r="199">
      <c r="A199" s="7" t="str">
        <f>IFERROR(__xludf.DUMMYFUNCTION("""COMPUTED_VALUE"""),"MAR09")</f>
        <v>MAR09</v>
      </c>
      <c r="B199" s="5" t="str">
        <f>IFERROR(__xludf.DUMMYFUNCTION("""COMPUTED_VALUE"""),"MOROCCO")</f>
        <v>MOROCCO</v>
      </c>
      <c r="C199" s="5" t="str">
        <f>IFERROR(__xludf.DUMMYFUNCTION("""COMPUTED_VALUE"""),"NORMAL")</f>
        <v>NORMAL</v>
      </c>
      <c r="D199" s="5" t="str">
        <f>IFERROR(__xludf.DUMMYFUNCTION("""COMPUTED_VALUE"""),"ADAM MASINA")</f>
        <v>ADAM MASINA</v>
      </c>
      <c r="E199" s="5">
        <f>IFERROR(__xludf.DUMMYFUNCTION("""COMPUTED_VALUE"""),0.0)</f>
        <v>0</v>
      </c>
    </row>
    <row r="200">
      <c r="A200" s="7" t="str">
        <f>IFERROR(__xludf.DUMMYFUNCTION("""COMPUTED_VALUE"""),"MAR10")</f>
        <v>MAR10</v>
      </c>
      <c r="B200" s="5" t="str">
        <f>IFERROR(__xludf.DUMMYFUNCTION("""COMPUTED_VALUE"""),"MOROCCO")</f>
        <v>MOROCCO</v>
      </c>
      <c r="C200" s="5" t="str">
        <f>IFERROR(__xludf.DUMMYFUNCTION("""COMPUTED_VALUE"""),"NORMAL")</f>
        <v>NORMAL</v>
      </c>
      <c r="D200" s="5" t="str">
        <f>IFERROR(__xludf.DUMMYFUNCTION("""COMPUTED_VALUE"""),"SOFYAN AMRABAT")</f>
        <v>SOFYAN AMRABAT</v>
      </c>
      <c r="E200" s="5">
        <f>IFERROR(__xludf.DUMMYFUNCTION("""COMPUTED_VALUE"""),0.0)</f>
        <v>0</v>
      </c>
    </row>
    <row r="201">
      <c r="A201" s="7" t="str">
        <f>IFERROR(__xludf.DUMMYFUNCTION("""COMPUTED_VALUE"""),"MAR11")</f>
        <v>MAR11</v>
      </c>
      <c r="B201" s="5" t="str">
        <f>IFERROR(__xludf.DUMMYFUNCTION("""COMPUTED_VALUE"""),"MOROCCO")</f>
        <v>MOROCCO</v>
      </c>
      <c r="C201" s="5" t="str">
        <f>IFERROR(__xludf.DUMMYFUNCTION("""COMPUTED_VALUE"""),"NORMAL")</f>
        <v>NORMAL</v>
      </c>
      <c r="D201" s="5" t="str">
        <f>IFERROR(__xludf.DUMMYFUNCTION("""COMPUTED_VALUE"""),"AZZEDINE OUNAHI")</f>
        <v>AZZEDINE OUNAHI</v>
      </c>
      <c r="E201" s="5">
        <f>IFERROR(__xludf.DUMMYFUNCTION("""COMPUTED_VALUE"""),0.0)</f>
        <v>0</v>
      </c>
    </row>
    <row r="202">
      <c r="A202" s="7" t="str">
        <f>IFERROR(__xludf.DUMMYFUNCTION("""COMPUTED_VALUE"""),"MAR12")</f>
        <v>MAR12</v>
      </c>
      <c r="B202" s="5" t="str">
        <f>IFERROR(__xludf.DUMMYFUNCTION("""COMPUTED_VALUE"""),"MOROCCO")</f>
        <v>MOROCCO</v>
      </c>
      <c r="C202" s="5" t="str">
        <f>IFERROR(__xludf.DUMMYFUNCTION("""COMPUTED_VALUE"""),"NORMAL")</f>
        <v>NORMAL</v>
      </c>
      <c r="D202" s="5" t="str">
        <f>IFERROR(__xludf.DUMMYFUNCTION("""COMPUTED_VALUE"""),"ELIESSE BEN SEGHIR")</f>
        <v>ELIESSE BEN SEGHIR</v>
      </c>
      <c r="E202" s="5">
        <f>IFERROR(__xludf.DUMMYFUNCTION("""COMPUTED_VALUE"""),0.0)</f>
        <v>0</v>
      </c>
    </row>
    <row r="203">
      <c r="A203" s="7" t="str">
        <f>IFERROR(__xludf.DUMMYFUNCTION("""COMPUTED_VALUE"""),"MAR13")</f>
        <v>MAR13</v>
      </c>
      <c r="B203" s="5" t="str">
        <f>IFERROR(__xludf.DUMMYFUNCTION("""COMPUTED_VALUE"""),"MOROCCO")</f>
        <v>MOROCCO</v>
      </c>
      <c r="C203" s="5" t="str">
        <f>IFERROR(__xludf.DUMMYFUNCTION("""COMPUTED_VALUE"""),"TEAM")</f>
        <v>TEAM</v>
      </c>
      <c r="D203" s="5" t="str">
        <f>IFERROR(__xludf.DUMMYFUNCTION("""COMPUTED_VALUE"""),"MOROCCO NATIONAL TEAM")</f>
        <v>MOROCCO NATIONAL TEAM</v>
      </c>
      <c r="E203" s="5">
        <f>IFERROR(__xludf.DUMMYFUNCTION("""COMPUTED_VALUE"""),0.0)</f>
        <v>0</v>
      </c>
    </row>
    <row r="204">
      <c r="A204" s="7" t="str">
        <f>IFERROR(__xludf.DUMMYFUNCTION("""COMPUTED_VALUE"""),"MAR14")</f>
        <v>MAR14</v>
      </c>
      <c r="B204" s="5" t="str">
        <f>IFERROR(__xludf.DUMMYFUNCTION("""COMPUTED_VALUE"""),"MOROCCO")</f>
        <v>MOROCCO</v>
      </c>
      <c r="C204" s="5" t="str">
        <f>IFERROR(__xludf.DUMMYFUNCTION("""COMPUTED_VALUE"""),"NORMAL")</f>
        <v>NORMAL</v>
      </c>
      <c r="D204" s="5" t="str">
        <f>IFERROR(__xludf.DUMMYFUNCTION("""COMPUTED_VALUE"""),"BILAL EL KHANNOUSS")</f>
        <v>BILAL EL KHANNOUSS</v>
      </c>
      <c r="E204" s="5">
        <f>IFERROR(__xludf.DUMMYFUNCTION("""COMPUTED_VALUE"""),0.0)</f>
        <v>0</v>
      </c>
    </row>
    <row r="205">
      <c r="A205" s="7" t="str">
        <f>IFERROR(__xludf.DUMMYFUNCTION("""COMPUTED_VALUE"""),"MAR15")</f>
        <v>MAR15</v>
      </c>
      <c r="B205" s="5" t="str">
        <f>IFERROR(__xludf.DUMMYFUNCTION("""COMPUTED_VALUE"""),"MOROCCO")</f>
        <v>MOROCCO</v>
      </c>
      <c r="C205" s="5" t="str">
        <f>IFERROR(__xludf.DUMMYFUNCTION("""COMPUTED_VALUE"""),"NORMAL")</f>
        <v>NORMAL</v>
      </c>
      <c r="D205" s="5" t="str">
        <f>IFERROR(__xludf.DUMMYFUNCTION("""COMPUTED_VALUE"""),"ISMAEL SAIBARI")</f>
        <v>ISMAEL SAIBARI</v>
      </c>
      <c r="E205" s="5">
        <f>IFERROR(__xludf.DUMMYFUNCTION("""COMPUTED_VALUE"""),0.0)</f>
        <v>0</v>
      </c>
    </row>
    <row r="206">
      <c r="A206" s="7" t="str">
        <f>IFERROR(__xludf.DUMMYFUNCTION("""COMPUTED_VALUE"""),"MAR16")</f>
        <v>MAR16</v>
      </c>
      <c r="B206" s="5" t="str">
        <f>IFERROR(__xludf.DUMMYFUNCTION("""COMPUTED_VALUE"""),"MOROCCO")</f>
        <v>MOROCCO</v>
      </c>
      <c r="C206" s="5" t="str">
        <f>IFERROR(__xludf.DUMMYFUNCTION("""COMPUTED_VALUE"""),"NORMAL")</f>
        <v>NORMAL</v>
      </c>
      <c r="D206" s="5" t="str">
        <f>IFERROR(__xludf.DUMMYFUNCTION("""COMPUTED_VALUE"""),"YOUSSEF EN-NESYRI")</f>
        <v>YOUSSEF EN-NESYRI</v>
      </c>
      <c r="E206" s="5">
        <f>IFERROR(__xludf.DUMMYFUNCTION("""COMPUTED_VALUE"""),0.0)</f>
        <v>0</v>
      </c>
    </row>
    <row r="207">
      <c r="A207" s="7" t="str">
        <f>IFERROR(__xludf.DUMMYFUNCTION("""COMPUTED_VALUE"""),"MAR17")</f>
        <v>MAR17</v>
      </c>
      <c r="B207" s="5" t="str">
        <f>IFERROR(__xludf.DUMMYFUNCTION("""COMPUTED_VALUE"""),"MOROCCO")</f>
        <v>MOROCCO</v>
      </c>
      <c r="C207" s="5" t="str">
        <f>IFERROR(__xludf.DUMMYFUNCTION("""COMPUTED_VALUE"""),"NORMAL")</f>
        <v>NORMAL</v>
      </c>
      <c r="D207" s="5" t="str">
        <f>IFERROR(__xludf.DUMMYFUNCTION("""COMPUTED_VALUE"""),"ABDE EZZALZOULI")</f>
        <v>ABDE EZZALZOULI</v>
      </c>
      <c r="E207" s="5">
        <f>IFERROR(__xludf.DUMMYFUNCTION("""COMPUTED_VALUE"""),0.0)</f>
        <v>0</v>
      </c>
    </row>
    <row r="208">
      <c r="A208" s="7" t="str">
        <f>IFERROR(__xludf.DUMMYFUNCTION("""COMPUTED_VALUE"""),"MAR18")</f>
        <v>MAR18</v>
      </c>
      <c r="B208" s="5" t="str">
        <f>IFERROR(__xludf.DUMMYFUNCTION("""COMPUTED_VALUE"""),"MOROCCO")</f>
        <v>MOROCCO</v>
      </c>
      <c r="C208" s="5" t="str">
        <f>IFERROR(__xludf.DUMMYFUNCTION("""COMPUTED_VALUE"""),"NORMAL")</f>
        <v>NORMAL</v>
      </c>
      <c r="D208" s="5" t="str">
        <f>IFERROR(__xludf.DUMMYFUNCTION("""COMPUTED_VALUE"""),"SOUFIANE RAHIMI")</f>
        <v>SOUFIANE RAHIMI</v>
      </c>
      <c r="E208" s="5">
        <f>IFERROR(__xludf.DUMMYFUNCTION("""COMPUTED_VALUE"""),0.0)</f>
        <v>0</v>
      </c>
    </row>
    <row r="209">
      <c r="A209" s="7" t="str">
        <f>IFERROR(__xludf.DUMMYFUNCTION("""COMPUTED_VALUE"""),"MAR19")</f>
        <v>MAR19</v>
      </c>
      <c r="B209" s="5" t="str">
        <f>IFERROR(__xludf.DUMMYFUNCTION("""COMPUTED_VALUE"""),"MOROCCO")</f>
        <v>MOROCCO</v>
      </c>
      <c r="C209" s="5" t="str">
        <f>IFERROR(__xludf.DUMMYFUNCTION("""COMPUTED_VALUE"""),"NORMAL")</f>
        <v>NORMAL</v>
      </c>
      <c r="D209" s="5" t="str">
        <f>IFERROR(__xludf.DUMMYFUNCTION("""COMPUTED_VALUE"""),"BRAHIM DIAZ")</f>
        <v>BRAHIM DIAZ</v>
      </c>
      <c r="E209" s="5">
        <f>IFERROR(__xludf.DUMMYFUNCTION("""COMPUTED_VALUE"""),0.0)</f>
        <v>0</v>
      </c>
    </row>
    <row r="210">
      <c r="A210" s="7" t="str">
        <f>IFERROR(__xludf.DUMMYFUNCTION("""COMPUTED_VALUE"""),"MAR20")</f>
        <v>MAR20</v>
      </c>
      <c r="B210" s="5" t="str">
        <f>IFERROR(__xludf.DUMMYFUNCTION("""COMPUTED_VALUE"""),"MOROCCO")</f>
        <v>MOROCCO</v>
      </c>
      <c r="C210" s="5" t="str">
        <f>IFERROR(__xludf.DUMMYFUNCTION("""COMPUTED_VALUE"""),"NORMAL")</f>
        <v>NORMAL</v>
      </c>
      <c r="D210" s="5" t="str">
        <f>IFERROR(__xludf.DUMMYFUNCTION("""COMPUTED_VALUE"""),"AYOUB EL KAABI")</f>
        <v>AYOUB EL KAABI</v>
      </c>
      <c r="E210" s="5">
        <f>IFERROR(__xludf.DUMMYFUNCTION("""COMPUTED_VALUE"""),0.0)</f>
        <v>0</v>
      </c>
    </row>
    <row r="211">
      <c r="A211" s="5" t="str">
        <f>IFERROR(__xludf.DUMMYFUNCTION("""COMPUTED_VALUE"""),"HAI 01")</f>
        <v>HAI 01</v>
      </c>
      <c r="B211" s="5" t="str">
        <f>IFERROR(__xludf.DUMMYFUNCTION("""COMPUTED_VALUE"""),"HAITI")</f>
        <v>HAITI</v>
      </c>
      <c r="C211" s="5" t="str">
        <f>IFERROR(__xludf.DUMMYFUNCTION("""COMPUTED_VALUE"""),"BADGE")</f>
        <v>BADGE</v>
      </c>
      <c r="D211" s="5" t="str">
        <f>IFERROR(__xludf.DUMMYFUNCTION("""COMPUTED_VALUE"""),"HAITI NATIONAL TEAM")</f>
        <v>HAITI NATIONAL TEAM</v>
      </c>
      <c r="E211" s="5">
        <f>IFERROR(__xludf.DUMMYFUNCTION("""COMPUTED_VALUE"""),0.0)</f>
        <v>0</v>
      </c>
    </row>
    <row r="212">
      <c r="A212" s="5" t="str">
        <f>IFERROR(__xludf.DUMMYFUNCTION("""COMPUTED_VALUE"""),"HAI 02")</f>
        <v>HAI 02</v>
      </c>
      <c r="B212" s="5" t="str">
        <f>IFERROR(__xludf.DUMMYFUNCTION("""COMPUTED_VALUE"""),"HAITI")</f>
        <v>HAITI</v>
      </c>
      <c r="C212" s="5" t="str">
        <f>IFERROR(__xludf.DUMMYFUNCTION("""COMPUTED_VALUE"""),"NORMAL")</f>
        <v>NORMAL</v>
      </c>
      <c r="D212" s="5" t="str">
        <f>IFERROR(__xludf.DUMMYFUNCTION("""COMPUTED_VALUE"""),"JOHNY PLACIDE")</f>
        <v>JOHNY PLACIDE</v>
      </c>
      <c r="E212" s="5">
        <f>IFERROR(__xludf.DUMMYFUNCTION("""COMPUTED_VALUE"""),0.0)</f>
        <v>0</v>
      </c>
    </row>
    <row r="213">
      <c r="A213" s="5" t="str">
        <f>IFERROR(__xludf.DUMMYFUNCTION("""COMPUTED_VALUE"""),"HAI 03")</f>
        <v>HAI 03</v>
      </c>
      <c r="B213" s="5" t="str">
        <f>IFERROR(__xludf.DUMMYFUNCTION("""COMPUTED_VALUE"""),"HAITI")</f>
        <v>HAITI</v>
      </c>
      <c r="C213" s="5" t="str">
        <f>IFERROR(__xludf.DUMMYFUNCTION("""COMPUTED_VALUE"""),"NORMAL")</f>
        <v>NORMAL</v>
      </c>
      <c r="D213" s="5" t="str">
        <f>IFERROR(__xludf.DUMMYFUNCTION("""COMPUTED_VALUE"""),"CARLENS ARCUS")</f>
        <v>CARLENS ARCUS</v>
      </c>
      <c r="E213" s="5">
        <f>IFERROR(__xludf.DUMMYFUNCTION("""COMPUTED_VALUE"""),0.0)</f>
        <v>0</v>
      </c>
    </row>
    <row r="214">
      <c r="A214" s="5" t="str">
        <f>IFERROR(__xludf.DUMMYFUNCTION("""COMPUTED_VALUE"""),"HAI 04")</f>
        <v>HAI 04</v>
      </c>
      <c r="B214" s="5" t="str">
        <f>IFERROR(__xludf.DUMMYFUNCTION("""COMPUTED_VALUE"""),"HAITI")</f>
        <v>HAITI</v>
      </c>
      <c r="C214" s="5" t="str">
        <f>IFERROR(__xludf.DUMMYFUNCTION("""COMPUTED_VALUE"""),"NORMAL")</f>
        <v>NORMAL</v>
      </c>
      <c r="D214" s="5" t="str">
        <f>IFERROR(__xludf.DUMMYFUNCTION("""COMPUTED_VALUE"""),"MARTIN EXPERIENCE")</f>
        <v>MARTIN EXPERIENCE</v>
      </c>
      <c r="E214" s="5">
        <f>IFERROR(__xludf.DUMMYFUNCTION("""COMPUTED_VALUE"""),0.0)</f>
        <v>0</v>
      </c>
    </row>
    <row r="215">
      <c r="A215" s="5" t="str">
        <f>IFERROR(__xludf.DUMMYFUNCTION("""COMPUTED_VALUE"""),"HAI 05")</f>
        <v>HAI 05</v>
      </c>
      <c r="B215" s="5" t="str">
        <f>IFERROR(__xludf.DUMMYFUNCTION("""COMPUTED_VALUE"""),"HAITI")</f>
        <v>HAITI</v>
      </c>
      <c r="C215" s="5" t="str">
        <f>IFERROR(__xludf.DUMMYFUNCTION("""COMPUTED_VALUE"""),"NORMAL")</f>
        <v>NORMAL</v>
      </c>
      <c r="D215" s="5" t="str">
        <f>IFERROR(__xludf.DUMMYFUNCTION("""COMPUTED_VALUE"""),"JEAN KEVIN DUVERNE")</f>
        <v>JEAN KEVIN DUVERNE</v>
      </c>
      <c r="E215" s="5">
        <f>IFERROR(__xludf.DUMMYFUNCTION("""COMPUTED_VALUE"""),0.0)</f>
        <v>0</v>
      </c>
    </row>
    <row r="216">
      <c r="A216" s="5" t="str">
        <f>IFERROR(__xludf.DUMMYFUNCTION("""COMPUTED_VALUE"""),"HAI 06")</f>
        <v>HAI 06</v>
      </c>
      <c r="B216" s="5" t="str">
        <f>IFERROR(__xludf.DUMMYFUNCTION("""COMPUTED_VALUE"""),"HAITI")</f>
        <v>HAITI</v>
      </c>
      <c r="C216" s="5" t="str">
        <f>IFERROR(__xludf.DUMMYFUNCTION("""COMPUTED_VALUE"""),"NORMAL")</f>
        <v>NORMAL</v>
      </c>
      <c r="D216" s="5" t="str">
        <f>IFERROR(__xludf.DUMMYFUNCTION("""COMPUTED_VALUE"""),"RICARDO ADÉ")</f>
        <v>RICARDO ADÉ</v>
      </c>
      <c r="E216" s="5">
        <f>IFERROR(__xludf.DUMMYFUNCTION("""COMPUTED_VALUE"""),0.0)</f>
        <v>0</v>
      </c>
    </row>
    <row r="217">
      <c r="A217" s="5" t="str">
        <f>IFERROR(__xludf.DUMMYFUNCTION("""COMPUTED_VALUE"""),"HAI 07")</f>
        <v>HAI 07</v>
      </c>
      <c r="B217" s="5" t="str">
        <f>IFERROR(__xludf.DUMMYFUNCTION("""COMPUTED_VALUE"""),"HAITI")</f>
        <v>HAITI</v>
      </c>
      <c r="C217" s="5" t="str">
        <f>IFERROR(__xludf.DUMMYFUNCTION("""COMPUTED_VALUE"""),"NORMAL")</f>
        <v>NORMAL</v>
      </c>
      <c r="D217" s="5" t="str">
        <f>IFERROR(__xludf.DUMMYFUNCTION("""COMPUTED_VALUE"""),"DUKE LACROIX")</f>
        <v>DUKE LACROIX</v>
      </c>
      <c r="E217" s="5">
        <f>IFERROR(__xludf.DUMMYFUNCTION("""COMPUTED_VALUE"""),0.0)</f>
        <v>0</v>
      </c>
    </row>
    <row r="218">
      <c r="A218" s="5" t="str">
        <f>IFERROR(__xludf.DUMMYFUNCTION("""COMPUTED_VALUE"""),"HAI 08")</f>
        <v>HAI 08</v>
      </c>
      <c r="B218" s="5" t="str">
        <f>IFERROR(__xludf.DUMMYFUNCTION("""COMPUTED_VALUE"""),"HAITI")</f>
        <v>HAITI</v>
      </c>
      <c r="C218" s="5" t="str">
        <f>IFERROR(__xludf.DUMMYFUNCTION("""COMPUTED_VALUE"""),"NORMAL")</f>
        <v>NORMAL</v>
      </c>
      <c r="D218" s="5" t="str">
        <f>IFERROR(__xludf.DUMMYFUNCTION("""COMPUTED_VALUE"""),"GARVEN METUSALA")</f>
        <v>GARVEN METUSALA</v>
      </c>
      <c r="E218" s="5">
        <f>IFERROR(__xludf.DUMMYFUNCTION("""COMPUTED_VALUE"""),0.0)</f>
        <v>0</v>
      </c>
    </row>
    <row r="219">
      <c r="A219" s="5" t="str">
        <f>IFERROR(__xludf.DUMMYFUNCTION("""COMPUTED_VALUE"""),"HAI 09")</f>
        <v>HAI 09</v>
      </c>
      <c r="B219" s="5" t="str">
        <f>IFERROR(__xludf.DUMMYFUNCTION("""COMPUTED_VALUE"""),"HAITI")</f>
        <v>HAITI</v>
      </c>
      <c r="C219" s="5" t="str">
        <f>IFERROR(__xludf.DUMMYFUNCTION("""COMPUTED_VALUE"""),"NORMAL")</f>
        <v>NORMAL</v>
      </c>
      <c r="D219" s="5" t="str">
        <f>IFERROR(__xludf.DUMMYFUNCTION("""COMPUTED_VALUE"""),"HANNES DEL CROIX")</f>
        <v>HANNES DEL CROIX</v>
      </c>
      <c r="E219" s="5">
        <f>IFERROR(__xludf.DUMMYFUNCTION("""COMPUTED_VALUE"""),0.0)</f>
        <v>0</v>
      </c>
    </row>
    <row r="220">
      <c r="A220" s="5" t="str">
        <f>IFERROR(__xludf.DUMMYFUNCTION("""COMPUTED_VALUE"""),"HAI 10")</f>
        <v>HAI 10</v>
      </c>
      <c r="B220" s="5" t="str">
        <f>IFERROR(__xludf.DUMMYFUNCTION("""COMPUTED_VALUE"""),"HAITI")</f>
        <v>HAITI</v>
      </c>
      <c r="C220" s="5" t="str">
        <f>IFERROR(__xludf.DUMMYFUNCTION("""COMPUTED_VALUE"""),"NORMAL")</f>
        <v>NORMAL</v>
      </c>
      <c r="D220" s="5" t="str">
        <f>IFERROR(__xludf.DUMMYFUNCTION("""COMPUTED_VALUE"""),"LEVERTON PIERRE")</f>
        <v>LEVERTON PIERRE</v>
      </c>
      <c r="E220" s="5">
        <f>IFERROR(__xludf.DUMMYFUNCTION("""COMPUTED_VALUE"""),0.0)</f>
        <v>0</v>
      </c>
    </row>
    <row r="221">
      <c r="A221" s="5" t="str">
        <f>IFERROR(__xludf.DUMMYFUNCTION("""COMPUTED_VALUE"""),"HAI 11")</f>
        <v>HAI 11</v>
      </c>
      <c r="B221" s="5" t="str">
        <f>IFERROR(__xludf.DUMMYFUNCTION("""COMPUTED_VALUE"""),"HAITI")</f>
        <v>HAITI</v>
      </c>
      <c r="C221" s="5" t="str">
        <f>IFERROR(__xludf.DUMMYFUNCTION("""COMPUTED_VALUE"""),"NORMAL")</f>
        <v>NORMAL</v>
      </c>
      <c r="D221" s="5" t="str">
        <f>IFERROR(__xludf.DUMMYFUNCTION("""COMPUTED_VALUE"""),"DANLEY JEAN JACQUES")</f>
        <v>DANLEY JEAN JACQUES</v>
      </c>
      <c r="E221" s="5">
        <f>IFERROR(__xludf.DUMMYFUNCTION("""COMPUTED_VALUE"""),0.0)</f>
        <v>0</v>
      </c>
    </row>
    <row r="222">
      <c r="A222" s="5" t="str">
        <f>IFERROR(__xludf.DUMMYFUNCTION("""COMPUTED_VALUE"""),"HAI 12")</f>
        <v>HAI 12</v>
      </c>
      <c r="B222" s="5" t="str">
        <f>IFERROR(__xludf.DUMMYFUNCTION("""COMPUTED_VALUE"""),"HAITI")</f>
        <v>HAITI</v>
      </c>
      <c r="C222" s="5" t="str">
        <f>IFERROR(__xludf.DUMMYFUNCTION("""COMPUTED_VALUE"""),"NORMAL")</f>
        <v>NORMAL</v>
      </c>
      <c r="D222" s="5" t="str">
        <f>IFERROR(__xludf.DUMMYFUNCTION("""COMPUTED_VALUE"""),"JEAN RICNER BELLEGARDE")</f>
        <v>JEAN RICNER BELLEGARDE</v>
      </c>
      <c r="E222" s="5">
        <f>IFERROR(__xludf.DUMMYFUNCTION("""COMPUTED_VALUE"""),0.0)</f>
        <v>0</v>
      </c>
    </row>
    <row r="223">
      <c r="A223" s="5" t="str">
        <f>IFERROR(__xludf.DUMMYFUNCTION("""COMPUTED_VALUE"""),"HAI 13")</f>
        <v>HAI 13</v>
      </c>
      <c r="B223" s="5" t="str">
        <f>IFERROR(__xludf.DUMMYFUNCTION("""COMPUTED_VALUE"""),"HAITI")</f>
        <v>HAITI</v>
      </c>
      <c r="C223" s="5" t="str">
        <f>IFERROR(__xludf.DUMMYFUNCTION("""COMPUTED_VALUE"""),"TEAM")</f>
        <v>TEAM</v>
      </c>
      <c r="D223" s="5" t="str">
        <f>IFERROR(__xludf.DUMMYFUNCTION("""COMPUTED_VALUE"""),"HAITI NATIONAL TEAM")</f>
        <v>HAITI NATIONAL TEAM</v>
      </c>
      <c r="E223" s="5">
        <f>IFERROR(__xludf.DUMMYFUNCTION("""COMPUTED_VALUE"""),0.0)</f>
        <v>0</v>
      </c>
    </row>
    <row r="224">
      <c r="A224" s="5" t="str">
        <f>IFERROR(__xludf.DUMMYFUNCTION("""COMPUTED_VALUE"""),"HAI 14")</f>
        <v>HAI 14</v>
      </c>
      <c r="B224" s="5" t="str">
        <f>IFERROR(__xludf.DUMMYFUNCTION("""COMPUTED_VALUE"""),"HAITI")</f>
        <v>HAITI</v>
      </c>
      <c r="C224" s="5" t="str">
        <f>IFERROR(__xludf.DUMMYFUNCTION("""COMPUTED_VALUE"""),"NORMAL")</f>
        <v>NORMAL</v>
      </c>
      <c r="D224" s="5" t="str">
        <f>IFERROR(__xludf.DUMMYFUNCTION("""COMPUTED_VALUE"""),"CHRISTOPHER ATTYS")</f>
        <v>CHRISTOPHER ATTYS</v>
      </c>
      <c r="E224" s="5">
        <f>IFERROR(__xludf.DUMMYFUNCTION("""COMPUTED_VALUE"""),0.0)</f>
        <v>0</v>
      </c>
    </row>
    <row r="225">
      <c r="A225" s="5" t="str">
        <f>IFERROR(__xludf.DUMMYFUNCTION("""COMPUTED_VALUE"""),"HAI 15")</f>
        <v>HAI 15</v>
      </c>
      <c r="B225" s="5" t="str">
        <f>IFERROR(__xludf.DUMMYFUNCTION("""COMPUTED_VALUE"""),"HAITI")</f>
        <v>HAITI</v>
      </c>
      <c r="C225" s="5" t="str">
        <f>IFERROR(__xludf.DUMMYFUNCTION("""COMPUTED_VALUE"""),"NORMAL")</f>
        <v>NORMAL</v>
      </c>
      <c r="D225" s="5" t="str">
        <f>IFERROR(__xludf.DUMMYFUNCTION("""COMPUTED_VALUE"""),"DERRICK ETIENNER JR.")</f>
        <v>DERRICK ETIENNER JR.</v>
      </c>
      <c r="E225" s="5">
        <f>IFERROR(__xludf.DUMMYFUNCTION("""COMPUTED_VALUE"""),0.0)</f>
        <v>0</v>
      </c>
    </row>
    <row r="226">
      <c r="A226" s="5" t="str">
        <f>IFERROR(__xludf.DUMMYFUNCTION("""COMPUTED_VALUE"""),"HAI 16")</f>
        <v>HAI 16</v>
      </c>
      <c r="B226" s="5" t="str">
        <f>IFERROR(__xludf.DUMMYFUNCTION("""COMPUTED_VALUE"""),"HAITI")</f>
        <v>HAITI</v>
      </c>
      <c r="C226" s="5" t="str">
        <f>IFERROR(__xludf.DUMMYFUNCTION("""COMPUTED_VALUE"""),"NORMAL")</f>
        <v>NORMAL</v>
      </c>
      <c r="D226" s="5" t="str">
        <f>IFERROR(__xludf.DUMMYFUNCTION("""COMPUTED_VALUE"""),"JOSUÉ CASIMIR")</f>
        <v>JOSUÉ CASIMIR</v>
      </c>
      <c r="E226" s="5">
        <f>IFERROR(__xludf.DUMMYFUNCTION("""COMPUTED_VALUE"""),0.0)</f>
        <v>0</v>
      </c>
    </row>
    <row r="227">
      <c r="A227" s="5" t="str">
        <f>IFERROR(__xludf.DUMMYFUNCTION("""COMPUTED_VALUE"""),"HAI 17")</f>
        <v>HAI 17</v>
      </c>
      <c r="B227" s="5" t="str">
        <f>IFERROR(__xludf.DUMMYFUNCTION("""COMPUTED_VALUE"""),"HAITI")</f>
        <v>HAITI</v>
      </c>
      <c r="C227" s="5" t="str">
        <f>IFERROR(__xludf.DUMMYFUNCTION("""COMPUTED_VALUE"""),"NORMAL")</f>
        <v>NORMAL</v>
      </c>
      <c r="D227" s="5" t="str">
        <f>IFERROR(__xludf.DUMMYFUNCTION("""COMPUTED_VALUE"""),"RUBEN PROVIDENCE")</f>
        <v>RUBEN PROVIDENCE</v>
      </c>
      <c r="E227" s="5">
        <f>IFERROR(__xludf.DUMMYFUNCTION("""COMPUTED_VALUE"""),0.0)</f>
        <v>0</v>
      </c>
    </row>
    <row r="228">
      <c r="A228" s="5" t="str">
        <f>IFERROR(__xludf.DUMMYFUNCTION("""COMPUTED_VALUE"""),"HAI 18")</f>
        <v>HAI 18</v>
      </c>
      <c r="B228" s="5" t="str">
        <f>IFERROR(__xludf.DUMMYFUNCTION("""COMPUTED_VALUE"""),"HAITI")</f>
        <v>HAITI</v>
      </c>
      <c r="C228" s="5" t="str">
        <f>IFERROR(__xludf.DUMMYFUNCTION("""COMPUTED_VALUE"""),"NORMAL")</f>
        <v>NORMAL</v>
      </c>
      <c r="D228" s="5" t="str">
        <f>IFERROR(__xludf.DUMMYFUNCTION("""COMPUTED_VALUE"""),"DUCKENS NAZON")</f>
        <v>DUCKENS NAZON</v>
      </c>
      <c r="E228" s="5">
        <f>IFERROR(__xludf.DUMMYFUNCTION("""COMPUTED_VALUE"""),0.0)</f>
        <v>0</v>
      </c>
    </row>
    <row r="229">
      <c r="A229" s="5" t="str">
        <f>IFERROR(__xludf.DUMMYFUNCTION("""COMPUTED_VALUE"""),"HAI 19")</f>
        <v>HAI 19</v>
      </c>
      <c r="B229" s="5" t="str">
        <f>IFERROR(__xludf.DUMMYFUNCTION("""COMPUTED_VALUE"""),"HAITI")</f>
        <v>HAITI</v>
      </c>
      <c r="C229" s="5" t="str">
        <f>IFERROR(__xludf.DUMMYFUNCTION("""COMPUTED_VALUE"""),"NORMAL")</f>
        <v>NORMAL</v>
      </c>
      <c r="D229" s="5" t="str">
        <f>IFERROR(__xludf.DUMMYFUNCTION("""COMPUTED_VALUE"""),"LOUICIUS DEEDSON")</f>
        <v>LOUICIUS DEEDSON</v>
      </c>
      <c r="E229" s="5">
        <f>IFERROR(__xludf.DUMMYFUNCTION("""COMPUTED_VALUE"""),0.0)</f>
        <v>0</v>
      </c>
    </row>
    <row r="230">
      <c r="A230" s="5" t="str">
        <f>IFERROR(__xludf.DUMMYFUNCTION("""COMPUTED_VALUE"""),"HAI 20")</f>
        <v>HAI 20</v>
      </c>
      <c r="B230" s="5" t="str">
        <f>IFERROR(__xludf.DUMMYFUNCTION("""COMPUTED_VALUE"""),"HAITI")</f>
        <v>HAITI</v>
      </c>
      <c r="C230" s="5" t="str">
        <f>IFERROR(__xludf.DUMMYFUNCTION("""COMPUTED_VALUE"""),"NORMAL")</f>
        <v>NORMAL</v>
      </c>
      <c r="D230" s="5" t="str">
        <f>IFERROR(__xludf.DUMMYFUNCTION("""COMPUTED_VALUE"""),"FRANTZDY PIERROT")</f>
        <v>FRANTZDY PIERROT</v>
      </c>
      <c r="E230" s="5">
        <f>IFERROR(__xludf.DUMMYFUNCTION("""COMPUTED_VALUE"""),0.0)</f>
        <v>0</v>
      </c>
    </row>
    <row r="231">
      <c r="A231" s="5" t="str">
        <f>IFERROR(__xludf.DUMMYFUNCTION("""COMPUTED_VALUE"""),"SCO01")</f>
        <v>SCO01</v>
      </c>
      <c r="B231" s="5" t="str">
        <f>IFERROR(__xludf.DUMMYFUNCTION("""COMPUTED_VALUE"""),"SCOTLAND")</f>
        <v>SCOTLAND</v>
      </c>
      <c r="C231" s="5" t="str">
        <f>IFERROR(__xludf.DUMMYFUNCTION("""COMPUTED_VALUE"""),"BADGE")</f>
        <v>BADGE</v>
      </c>
      <c r="D231" s="5" t="str">
        <f>IFERROR(__xludf.DUMMYFUNCTION("""COMPUTED_VALUE"""),"SCOTLAND NATIONAL TEAM")</f>
        <v>SCOTLAND NATIONAL TEAM</v>
      </c>
      <c r="E231" s="5">
        <f>IFERROR(__xludf.DUMMYFUNCTION("""COMPUTED_VALUE"""),0.0)</f>
        <v>0</v>
      </c>
    </row>
    <row r="232">
      <c r="A232" s="5" t="str">
        <f>IFERROR(__xludf.DUMMYFUNCTION("""COMPUTED_VALUE"""),"SCO02")</f>
        <v>SCO02</v>
      </c>
      <c r="B232" s="5" t="str">
        <f>IFERROR(__xludf.DUMMYFUNCTION("""COMPUTED_VALUE"""),"SCOTLAND")</f>
        <v>SCOTLAND</v>
      </c>
      <c r="C232" s="5" t="str">
        <f>IFERROR(__xludf.DUMMYFUNCTION("""COMPUTED_VALUE"""),"NORMAL")</f>
        <v>NORMAL</v>
      </c>
      <c r="D232" s="5" t="str">
        <f>IFERROR(__xludf.DUMMYFUNCTION("""COMPUTED_VALUE"""),"ANGUS GUNN")</f>
        <v>ANGUS GUNN</v>
      </c>
      <c r="E232" s="5">
        <f>IFERROR(__xludf.DUMMYFUNCTION("""COMPUTED_VALUE"""),0.0)</f>
        <v>0</v>
      </c>
    </row>
    <row r="233">
      <c r="A233" s="5" t="str">
        <f>IFERROR(__xludf.DUMMYFUNCTION("""COMPUTED_VALUE"""),"SCO03")</f>
        <v>SCO03</v>
      </c>
      <c r="B233" s="5" t="str">
        <f>IFERROR(__xludf.DUMMYFUNCTION("""COMPUTED_VALUE"""),"SCOTLAND")</f>
        <v>SCOTLAND</v>
      </c>
      <c r="C233" s="5" t="str">
        <f>IFERROR(__xludf.DUMMYFUNCTION("""COMPUTED_VALUE"""),"NORMAL")</f>
        <v>NORMAL</v>
      </c>
      <c r="D233" s="5" t="str">
        <f>IFERROR(__xludf.DUMMYFUNCTION("""COMPUTED_VALUE"""),"JACK HENDRY")</f>
        <v>JACK HENDRY</v>
      </c>
      <c r="E233" s="5">
        <f>IFERROR(__xludf.DUMMYFUNCTION("""COMPUTED_VALUE"""),0.0)</f>
        <v>0</v>
      </c>
    </row>
    <row r="234">
      <c r="A234" s="5" t="str">
        <f>IFERROR(__xludf.DUMMYFUNCTION("""COMPUTED_VALUE"""),"SCO04")</f>
        <v>SCO04</v>
      </c>
      <c r="B234" s="5" t="str">
        <f>IFERROR(__xludf.DUMMYFUNCTION("""COMPUTED_VALUE"""),"SCOTLAND")</f>
        <v>SCOTLAND</v>
      </c>
      <c r="C234" s="5" t="str">
        <f>IFERROR(__xludf.DUMMYFUNCTION("""COMPUTED_VALUE"""),"NORMAL")</f>
        <v>NORMAL</v>
      </c>
      <c r="D234" s="5" t="str">
        <f>IFERROR(__xludf.DUMMYFUNCTION("""COMPUTED_VALUE"""),"KIERAN TIERNEY")</f>
        <v>KIERAN TIERNEY</v>
      </c>
      <c r="E234" s="5">
        <f>IFERROR(__xludf.DUMMYFUNCTION("""COMPUTED_VALUE"""),0.0)</f>
        <v>0</v>
      </c>
    </row>
    <row r="235">
      <c r="A235" s="5" t="str">
        <f>IFERROR(__xludf.DUMMYFUNCTION("""COMPUTED_VALUE"""),"SCO05")</f>
        <v>SCO05</v>
      </c>
      <c r="B235" s="5" t="str">
        <f>IFERROR(__xludf.DUMMYFUNCTION("""COMPUTED_VALUE"""),"SCOTLAND")</f>
        <v>SCOTLAND</v>
      </c>
      <c r="C235" s="5" t="str">
        <f>IFERROR(__xludf.DUMMYFUNCTION("""COMPUTED_VALUE"""),"NORMAL")</f>
        <v>NORMAL</v>
      </c>
      <c r="D235" s="5" t="str">
        <f>IFERROR(__xludf.DUMMYFUNCTION("""COMPUTED_VALUE"""),"AARON HICKEY")</f>
        <v>AARON HICKEY</v>
      </c>
      <c r="E235" s="5">
        <f>IFERROR(__xludf.DUMMYFUNCTION("""COMPUTED_VALUE"""),0.0)</f>
        <v>0</v>
      </c>
    </row>
    <row r="236">
      <c r="A236" s="5" t="str">
        <f>IFERROR(__xludf.DUMMYFUNCTION("""COMPUTED_VALUE"""),"SCO06")</f>
        <v>SCO06</v>
      </c>
      <c r="B236" s="5" t="str">
        <f>IFERROR(__xludf.DUMMYFUNCTION("""COMPUTED_VALUE"""),"SCOTLAND")</f>
        <v>SCOTLAND</v>
      </c>
      <c r="C236" s="5" t="str">
        <f>IFERROR(__xludf.DUMMYFUNCTION("""COMPUTED_VALUE"""),"NORMAL")</f>
        <v>NORMAL</v>
      </c>
      <c r="D236" s="5" t="str">
        <f>IFERROR(__xludf.DUMMYFUNCTION("""COMPUTED_VALUE"""),"ANDREW ROBERTSON")</f>
        <v>ANDREW ROBERTSON</v>
      </c>
      <c r="E236" s="5">
        <f>IFERROR(__xludf.DUMMYFUNCTION("""COMPUTED_VALUE"""),0.0)</f>
        <v>0</v>
      </c>
    </row>
    <row r="237">
      <c r="A237" s="5" t="str">
        <f>IFERROR(__xludf.DUMMYFUNCTION("""COMPUTED_VALUE"""),"SCO07")</f>
        <v>SCO07</v>
      </c>
      <c r="B237" s="5" t="str">
        <f>IFERROR(__xludf.DUMMYFUNCTION("""COMPUTED_VALUE"""),"SCOTLAND")</f>
        <v>SCOTLAND</v>
      </c>
      <c r="C237" s="5" t="str">
        <f>IFERROR(__xludf.DUMMYFUNCTION("""COMPUTED_VALUE"""),"NORMAL")</f>
        <v>NORMAL</v>
      </c>
      <c r="D237" s="5" t="str">
        <f>IFERROR(__xludf.DUMMYFUNCTION("""COMPUTED_VALUE"""),"SCOTT MCKENNA")</f>
        <v>SCOTT MCKENNA</v>
      </c>
      <c r="E237" s="5">
        <f>IFERROR(__xludf.DUMMYFUNCTION("""COMPUTED_VALUE"""),0.0)</f>
        <v>0</v>
      </c>
    </row>
    <row r="238">
      <c r="A238" s="5" t="str">
        <f>IFERROR(__xludf.DUMMYFUNCTION("""COMPUTED_VALUE"""),"SCO08")</f>
        <v>SCO08</v>
      </c>
      <c r="B238" s="5" t="str">
        <f>IFERROR(__xludf.DUMMYFUNCTION("""COMPUTED_VALUE"""),"SCOTLAND")</f>
        <v>SCOTLAND</v>
      </c>
      <c r="C238" s="5" t="str">
        <f>IFERROR(__xludf.DUMMYFUNCTION("""COMPUTED_VALUE"""),"NORMAL")</f>
        <v>NORMAL</v>
      </c>
      <c r="D238" s="5" t="str">
        <f>IFERROR(__xludf.DUMMYFUNCTION("""COMPUTED_VALUE"""),"JOHN SOUTTAR")</f>
        <v>JOHN SOUTTAR</v>
      </c>
      <c r="E238" s="5">
        <f>IFERROR(__xludf.DUMMYFUNCTION("""COMPUTED_VALUE"""),0.0)</f>
        <v>0</v>
      </c>
    </row>
    <row r="239">
      <c r="A239" s="5" t="str">
        <f>IFERROR(__xludf.DUMMYFUNCTION("""COMPUTED_VALUE"""),"SCO09")</f>
        <v>SCO09</v>
      </c>
      <c r="B239" s="5" t="str">
        <f>IFERROR(__xludf.DUMMYFUNCTION("""COMPUTED_VALUE"""),"SCOTLAND")</f>
        <v>SCOTLAND</v>
      </c>
      <c r="C239" s="5" t="str">
        <f>IFERROR(__xludf.DUMMYFUNCTION("""COMPUTED_VALUE"""),"NORMAL")</f>
        <v>NORMAL</v>
      </c>
      <c r="D239" s="5" t="str">
        <f>IFERROR(__xludf.DUMMYFUNCTION("""COMPUTED_VALUE"""),"ANTHONY RALSTON")</f>
        <v>ANTHONY RALSTON</v>
      </c>
      <c r="E239" s="5">
        <f>IFERROR(__xludf.DUMMYFUNCTION("""COMPUTED_VALUE"""),0.0)</f>
        <v>0</v>
      </c>
    </row>
    <row r="240">
      <c r="A240" s="5" t="str">
        <f>IFERROR(__xludf.DUMMYFUNCTION("""COMPUTED_VALUE"""),"SCO10")</f>
        <v>SCO10</v>
      </c>
      <c r="B240" s="5" t="str">
        <f>IFERROR(__xludf.DUMMYFUNCTION("""COMPUTED_VALUE"""),"SCOTLAND")</f>
        <v>SCOTLAND</v>
      </c>
      <c r="C240" s="5" t="str">
        <f>IFERROR(__xludf.DUMMYFUNCTION("""COMPUTED_VALUE"""),"NORMAL")</f>
        <v>NORMAL</v>
      </c>
      <c r="D240" s="5" t="str">
        <f>IFERROR(__xludf.DUMMYFUNCTION("""COMPUTED_VALUE"""),"GRANT HANLEY")</f>
        <v>GRANT HANLEY</v>
      </c>
      <c r="E240" s="5">
        <f>IFERROR(__xludf.DUMMYFUNCTION("""COMPUTED_VALUE"""),0.0)</f>
        <v>0</v>
      </c>
    </row>
    <row r="241">
      <c r="A241" s="5" t="str">
        <f>IFERROR(__xludf.DUMMYFUNCTION("""COMPUTED_VALUE"""),"SCO11")</f>
        <v>SCO11</v>
      </c>
      <c r="B241" s="5" t="str">
        <f>IFERROR(__xludf.DUMMYFUNCTION("""COMPUTED_VALUE"""),"SCOTLAND")</f>
        <v>SCOTLAND</v>
      </c>
      <c r="C241" s="5" t="str">
        <f>IFERROR(__xludf.DUMMYFUNCTION("""COMPUTED_VALUE"""),"NORMAL")</f>
        <v>NORMAL</v>
      </c>
      <c r="D241" s="5" t="str">
        <f>IFERROR(__xludf.DUMMYFUNCTION("""COMPUTED_VALUE"""),"SCOTT MCTOMMINAY")</f>
        <v>SCOTT MCTOMMINAY</v>
      </c>
      <c r="E241" s="5">
        <f>IFERROR(__xludf.DUMMYFUNCTION("""COMPUTED_VALUE"""),0.0)</f>
        <v>0</v>
      </c>
    </row>
    <row r="242">
      <c r="A242" s="5" t="str">
        <f>IFERROR(__xludf.DUMMYFUNCTION("""COMPUTED_VALUE"""),"SCO12")</f>
        <v>SCO12</v>
      </c>
      <c r="B242" s="5" t="str">
        <f>IFERROR(__xludf.DUMMYFUNCTION("""COMPUTED_VALUE"""),"SCOTLAND")</f>
        <v>SCOTLAND</v>
      </c>
      <c r="C242" s="5" t="str">
        <f>IFERROR(__xludf.DUMMYFUNCTION("""COMPUTED_VALUE"""),"NORMAL")</f>
        <v>NORMAL</v>
      </c>
      <c r="D242" s="5" t="str">
        <f>IFERROR(__xludf.DUMMYFUNCTION("""COMPUTED_VALUE"""),"BILLY GILMOUR")</f>
        <v>BILLY GILMOUR</v>
      </c>
      <c r="E242" s="5">
        <f>IFERROR(__xludf.DUMMYFUNCTION("""COMPUTED_VALUE"""),0.0)</f>
        <v>0</v>
      </c>
    </row>
    <row r="243">
      <c r="A243" s="5" t="str">
        <f>IFERROR(__xludf.DUMMYFUNCTION("""COMPUTED_VALUE"""),"SCO13")</f>
        <v>SCO13</v>
      </c>
      <c r="B243" s="5" t="str">
        <f>IFERROR(__xludf.DUMMYFUNCTION("""COMPUTED_VALUE"""),"SCOTLAND")</f>
        <v>SCOTLAND</v>
      </c>
      <c r="C243" s="5" t="str">
        <f>IFERROR(__xludf.DUMMYFUNCTION("""COMPUTED_VALUE"""),"TEAM")</f>
        <v>TEAM</v>
      </c>
      <c r="D243" s="5" t="str">
        <f>IFERROR(__xludf.DUMMYFUNCTION("""COMPUTED_VALUE"""),"SCOTLAND NATIONAL TEAM")</f>
        <v>SCOTLAND NATIONAL TEAM</v>
      </c>
      <c r="E243" s="5">
        <f>IFERROR(__xludf.DUMMYFUNCTION("""COMPUTED_VALUE"""),0.0)</f>
        <v>0</v>
      </c>
    </row>
    <row r="244">
      <c r="A244" s="5" t="str">
        <f>IFERROR(__xludf.DUMMYFUNCTION("""COMPUTED_VALUE"""),"SCO14")</f>
        <v>SCO14</v>
      </c>
      <c r="B244" s="5" t="str">
        <f>IFERROR(__xludf.DUMMYFUNCTION("""COMPUTED_VALUE"""),"SCOTLAND")</f>
        <v>SCOTLAND</v>
      </c>
      <c r="C244" s="5" t="str">
        <f>IFERROR(__xludf.DUMMYFUNCTION("""COMPUTED_VALUE"""),"NORMAL")</f>
        <v>NORMAL</v>
      </c>
      <c r="D244" s="5" t="str">
        <f>IFERROR(__xludf.DUMMYFUNCTION("""COMPUTED_VALUE"""),"LEWIS FERGUSON")</f>
        <v>LEWIS FERGUSON</v>
      </c>
      <c r="E244" s="5">
        <f>IFERROR(__xludf.DUMMYFUNCTION("""COMPUTED_VALUE"""),0.0)</f>
        <v>0</v>
      </c>
    </row>
    <row r="245">
      <c r="A245" s="5" t="str">
        <f>IFERROR(__xludf.DUMMYFUNCTION("""COMPUTED_VALUE"""),"SCO15")</f>
        <v>SCO15</v>
      </c>
      <c r="B245" s="5" t="str">
        <f>IFERROR(__xludf.DUMMYFUNCTION("""COMPUTED_VALUE"""),"SCOTLAND")</f>
        <v>SCOTLAND</v>
      </c>
      <c r="C245" s="5" t="str">
        <f>IFERROR(__xludf.DUMMYFUNCTION("""COMPUTED_VALUE"""),"NORMAL")</f>
        <v>NORMAL</v>
      </c>
      <c r="D245" s="5" t="str">
        <f>IFERROR(__xludf.DUMMYFUNCTION("""COMPUTED_VALUE"""),"RYAN CHRISTIE")</f>
        <v>RYAN CHRISTIE</v>
      </c>
      <c r="E245" s="5">
        <f>IFERROR(__xludf.DUMMYFUNCTION("""COMPUTED_VALUE"""),0.0)</f>
        <v>0</v>
      </c>
    </row>
    <row r="246">
      <c r="A246" s="5" t="str">
        <f>IFERROR(__xludf.DUMMYFUNCTION("""COMPUTED_VALUE"""),"SCO16")</f>
        <v>SCO16</v>
      </c>
      <c r="B246" s="5" t="str">
        <f>IFERROR(__xludf.DUMMYFUNCTION("""COMPUTED_VALUE"""),"SCOTLAND")</f>
        <v>SCOTLAND</v>
      </c>
      <c r="C246" s="5" t="str">
        <f>IFERROR(__xludf.DUMMYFUNCTION("""COMPUTED_VALUE"""),"NORMAL")</f>
        <v>NORMAL</v>
      </c>
      <c r="D246" s="5" t="str">
        <f>IFERROR(__xludf.DUMMYFUNCTION("""COMPUTED_VALUE"""),"KENNY MCLEAN")</f>
        <v>KENNY MCLEAN</v>
      </c>
      <c r="E246" s="5">
        <f>IFERROR(__xludf.DUMMYFUNCTION("""COMPUTED_VALUE"""),0.0)</f>
        <v>0</v>
      </c>
    </row>
    <row r="247">
      <c r="A247" s="5" t="str">
        <f>IFERROR(__xludf.DUMMYFUNCTION("""COMPUTED_VALUE"""),"SCO17")</f>
        <v>SCO17</v>
      </c>
      <c r="B247" s="5" t="str">
        <f>IFERROR(__xludf.DUMMYFUNCTION("""COMPUTED_VALUE"""),"SCOTLAND")</f>
        <v>SCOTLAND</v>
      </c>
      <c r="C247" s="5" t="str">
        <f>IFERROR(__xludf.DUMMYFUNCTION("""COMPUTED_VALUE"""),"NORMAL")</f>
        <v>NORMAL</v>
      </c>
      <c r="D247" s="5" t="str">
        <f>IFERROR(__xludf.DUMMYFUNCTION("""COMPUTED_VALUE"""),"JOHN MCGINN")</f>
        <v>JOHN MCGINN</v>
      </c>
      <c r="E247" s="5">
        <f>IFERROR(__xludf.DUMMYFUNCTION("""COMPUTED_VALUE"""),0.0)</f>
        <v>0</v>
      </c>
    </row>
    <row r="248">
      <c r="A248" s="5" t="str">
        <f>IFERROR(__xludf.DUMMYFUNCTION("""COMPUTED_VALUE"""),"SCO18")</f>
        <v>SCO18</v>
      </c>
      <c r="B248" s="5" t="str">
        <f>IFERROR(__xludf.DUMMYFUNCTION("""COMPUTED_VALUE"""),"SCOTLAND")</f>
        <v>SCOTLAND</v>
      </c>
      <c r="C248" s="5" t="str">
        <f>IFERROR(__xludf.DUMMYFUNCTION("""COMPUTED_VALUE"""),"NORMAL")</f>
        <v>NORMAL</v>
      </c>
      <c r="D248" s="5" t="str">
        <f>IFERROR(__xludf.DUMMYFUNCTION("""COMPUTED_VALUE"""),"LYNDON DYKES")</f>
        <v>LYNDON DYKES</v>
      </c>
      <c r="E248" s="5">
        <f>IFERROR(__xludf.DUMMYFUNCTION("""COMPUTED_VALUE"""),0.0)</f>
        <v>0</v>
      </c>
    </row>
    <row r="249">
      <c r="A249" s="5" t="str">
        <f>IFERROR(__xludf.DUMMYFUNCTION("""COMPUTED_VALUE"""),"SCO19")</f>
        <v>SCO19</v>
      </c>
      <c r="B249" s="5" t="str">
        <f>IFERROR(__xludf.DUMMYFUNCTION("""COMPUTED_VALUE"""),"SCOTLAND")</f>
        <v>SCOTLAND</v>
      </c>
      <c r="C249" s="5" t="str">
        <f>IFERROR(__xludf.DUMMYFUNCTION("""COMPUTED_VALUE"""),"NORMAL")</f>
        <v>NORMAL</v>
      </c>
      <c r="D249" s="5" t="str">
        <f>IFERROR(__xludf.DUMMYFUNCTION("""COMPUTED_VALUE"""),"CHE ADAMS")</f>
        <v>CHE ADAMS</v>
      </c>
      <c r="E249" s="5">
        <f>IFERROR(__xludf.DUMMYFUNCTION("""COMPUTED_VALUE"""),0.0)</f>
        <v>0</v>
      </c>
    </row>
    <row r="250">
      <c r="A250" s="5" t="str">
        <f>IFERROR(__xludf.DUMMYFUNCTION("""COMPUTED_VALUE"""),"SCO20")</f>
        <v>SCO20</v>
      </c>
      <c r="B250" s="5" t="str">
        <f>IFERROR(__xludf.DUMMYFUNCTION("""COMPUTED_VALUE"""),"SCOTLAND")</f>
        <v>SCOTLAND</v>
      </c>
      <c r="C250" s="5" t="str">
        <f>IFERROR(__xludf.DUMMYFUNCTION("""COMPUTED_VALUE"""),"NORMAL")</f>
        <v>NORMAL</v>
      </c>
      <c r="D250" s="5" t="str">
        <f>IFERROR(__xludf.DUMMYFUNCTION("""COMPUTED_VALUE"""),"BEN GANNON-DOAK")</f>
        <v>BEN GANNON-DOAK</v>
      </c>
      <c r="E250" s="5">
        <f>IFERROR(__xludf.DUMMYFUNCTION("""COMPUTED_VALUE"""),0.0)</f>
        <v>0</v>
      </c>
    </row>
    <row r="251">
      <c r="A251" s="5" t="str">
        <f>IFERROR(__xludf.DUMMYFUNCTION("""COMPUTED_VALUE"""),"USA01")</f>
        <v>USA01</v>
      </c>
      <c r="B251" s="5" t="str">
        <f>IFERROR(__xludf.DUMMYFUNCTION("""COMPUTED_VALUE"""),"UNITED STATES")</f>
        <v>UNITED STATES</v>
      </c>
      <c r="C251" s="5" t="str">
        <f>IFERROR(__xludf.DUMMYFUNCTION("""COMPUTED_VALUE"""),"BADGE")</f>
        <v>BADGE</v>
      </c>
      <c r="D251" s="5" t="str">
        <f>IFERROR(__xludf.DUMMYFUNCTION("""COMPUTED_VALUE"""),"UNITED STATES NATIONAL TEAM")</f>
        <v>UNITED STATES NATIONAL TEAM</v>
      </c>
      <c r="E251" s="5">
        <f>IFERROR(__xludf.DUMMYFUNCTION("""COMPUTED_VALUE"""),0.0)</f>
        <v>0</v>
      </c>
    </row>
    <row r="252">
      <c r="A252" s="5" t="str">
        <f>IFERROR(__xludf.DUMMYFUNCTION("""COMPUTED_VALUE"""),"USA02")</f>
        <v>USA02</v>
      </c>
      <c r="B252" s="5" t="str">
        <f>IFERROR(__xludf.DUMMYFUNCTION("""COMPUTED_VALUE"""),"UNITED STATES")</f>
        <v>UNITED STATES</v>
      </c>
      <c r="C252" s="5" t="str">
        <f>IFERROR(__xludf.DUMMYFUNCTION("""COMPUTED_VALUE"""),"NORMAL")</f>
        <v>NORMAL</v>
      </c>
      <c r="D252" s="5" t="str">
        <f>IFERROR(__xludf.DUMMYFUNCTION("""COMPUTED_VALUE"""),"MATT FREESE")</f>
        <v>MATT FREESE</v>
      </c>
      <c r="E252" s="5">
        <f>IFERROR(__xludf.DUMMYFUNCTION("""COMPUTED_VALUE"""),0.0)</f>
        <v>0</v>
      </c>
    </row>
    <row r="253">
      <c r="A253" s="5" t="str">
        <f>IFERROR(__xludf.DUMMYFUNCTION("""COMPUTED_VALUE"""),"USA03")</f>
        <v>USA03</v>
      </c>
      <c r="B253" s="5" t="str">
        <f>IFERROR(__xludf.DUMMYFUNCTION("""COMPUTED_VALUE"""),"UNITED STATES")</f>
        <v>UNITED STATES</v>
      </c>
      <c r="C253" s="5" t="str">
        <f>IFERROR(__xludf.DUMMYFUNCTION("""COMPUTED_VALUE"""),"NORMAL")</f>
        <v>NORMAL</v>
      </c>
      <c r="D253" s="5" t="str">
        <f>IFERROR(__xludf.DUMMYFUNCTION("""COMPUTED_VALUE"""),"CHRIS RICHARDS")</f>
        <v>CHRIS RICHARDS</v>
      </c>
      <c r="E253" s="5">
        <f>IFERROR(__xludf.DUMMYFUNCTION("""COMPUTED_VALUE"""),0.0)</f>
        <v>0</v>
      </c>
    </row>
    <row r="254">
      <c r="A254" s="5" t="str">
        <f>IFERROR(__xludf.DUMMYFUNCTION("""COMPUTED_VALUE"""),"USA04")</f>
        <v>USA04</v>
      </c>
      <c r="B254" s="5" t="str">
        <f>IFERROR(__xludf.DUMMYFUNCTION("""COMPUTED_VALUE"""),"UNITED STATES")</f>
        <v>UNITED STATES</v>
      </c>
      <c r="C254" s="5" t="str">
        <f>IFERROR(__xludf.DUMMYFUNCTION("""COMPUTED_VALUE"""),"NORMAL")</f>
        <v>NORMAL</v>
      </c>
      <c r="D254" s="5" t="str">
        <f>IFERROR(__xludf.DUMMYFUNCTION("""COMPUTED_VALUE"""),"TIM REAM")</f>
        <v>TIM REAM</v>
      </c>
      <c r="E254" s="5">
        <f>IFERROR(__xludf.DUMMYFUNCTION("""COMPUTED_VALUE"""),0.0)</f>
        <v>0</v>
      </c>
    </row>
    <row r="255">
      <c r="A255" s="5" t="str">
        <f>IFERROR(__xludf.DUMMYFUNCTION("""COMPUTED_VALUE"""),"USA05")</f>
        <v>USA05</v>
      </c>
      <c r="B255" s="5" t="str">
        <f>IFERROR(__xludf.DUMMYFUNCTION("""COMPUTED_VALUE"""),"UNITED STATES")</f>
        <v>UNITED STATES</v>
      </c>
      <c r="C255" s="5" t="str">
        <f>IFERROR(__xludf.DUMMYFUNCTION("""COMPUTED_VALUE"""),"NORMAL")</f>
        <v>NORMAL</v>
      </c>
      <c r="D255" s="5" t="str">
        <f>IFERROR(__xludf.DUMMYFUNCTION("""COMPUTED_VALUE"""),"MARK MCKENZIE")</f>
        <v>MARK MCKENZIE</v>
      </c>
      <c r="E255" s="5">
        <f>IFERROR(__xludf.DUMMYFUNCTION("""COMPUTED_VALUE"""),0.0)</f>
        <v>0</v>
      </c>
    </row>
    <row r="256">
      <c r="A256" s="5" t="str">
        <f>IFERROR(__xludf.DUMMYFUNCTION("""COMPUTED_VALUE"""),"USA06")</f>
        <v>USA06</v>
      </c>
      <c r="B256" s="5" t="str">
        <f>IFERROR(__xludf.DUMMYFUNCTION("""COMPUTED_VALUE"""),"UNITED STATES")</f>
        <v>UNITED STATES</v>
      </c>
      <c r="C256" s="5" t="str">
        <f>IFERROR(__xludf.DUMMYFUNCTION("""COMPUTED_VALUE"""),"NORMAL")</f>
        <v>NORMAL</v>
      </c>
      <c r="D256" s="5" t="str">
        <f>IFERROR(__xludf.DUMMYFUNCTION("""COMPUTED_VALUE"""),"ALEX FREEMAN")</f>
        <v>ALEX FREEMAN</v>
      </c>
      <c r="E256" s="5">
        <f>IFERROR(__xludf.DUMMYFUNCTION("""COMPUTED_VALUE"""),0.0)</f>
        <v>0</v>
      </c>
    </row>
    <row r="257">
      <c r="A257" s="5" t="str">
        <f>IFERROR(__xludf.DUMMYFUNCTION("""COMPUTED_VALUE"""),"USA07")</f>
        <v>USA07</v>
      </c>
      <c r="B257" s="5" t="str">
        <f>IFERROR(__xludf.DUMMYFUNCTION("""COMPUTED_VALUE"""),"UNITED STATES")</f>
        <v>UNITED STATES</v>
      </c>
      <c r="C257" s="5" t="str">
        <f>IFERROR(__xludf.DUMMYFUNCTION("""COMPUTED_VALUE"""),"NORMAL")</f>
        <v>NORMAL</v>
      </c>
      <c r="D257" s="5" t="str">
        <f>IFERROR(__xludf.DUMMYFUNCTION("""COMPUTED_VALUE"""),"ANTONEE ROBINSON")</f>
        <v>ANTONEE ROBINSON</v>
      </c>
      <c r="E257" s="5">
        <f>IFERROR(__xludf.DUMMYFUNCTION("""COMPUTED_VALUE"""),0.0)</f>
        <v>0</v>
      </c>
    </row>
    <row r="258">
      <c r="A258" s="5" t="str">
        <f>IFERROR(__xludf.DUMMYFUNCTION("""COMPUTED_VALUE"""),"USA08")</f>
        <v>USA08</v>
      </c>
      <c r="B258" s="5" t="str">
        <f>IFERROR(__xludf.DUMMYFUNCTION("""COMPUTED_VALUE"""),"UNITED STATES")</f>
        <v>UNITED STATES</v>
      </c>
      <c r="C258" s="5" t="str">
        <f>IFERROR(__xludf.DUMMYFUNCTION("""COMPUTED_VALUE"""),"NORMAL")</f>
        <v>NORMAL</v>
      </c>
      <c r="D258" s="5" t="str">
        <f>IFERROR(__xludf.DUMMYFUNCTION("""COMPUTED_VALUE"""),"TYLER ADAMS")</f>
        <v>TYLER ADAMS</v>
      </c>
      <c r="E258" s="5">
        <f>IFERROR(__xludf.DUMMYFUNCTION("""COMPUTED_VALUE"""),0.0)</f>
        <v>0</v>
      </c>
    </row>
    <row r="259">
      <c r="A259" s="5" t="str">
        <f>IFERROR(__xludf.DUMMYFUNCTION("""COMPUTED_VALUE"""),"USA09")</f>
        <v>USA09</v>
      </c>
      <c r="B259" s="5" t="str">
        <f>IFERROR(__xludf.DUMMYFUNCTION("""COMPUTED_VALUE"""),"UNITED STATES")</f>
        <v>UNITED STATES</v>
      </c>
      <c r="C259" s="5" t="str">
        <f>IFERROR(__xludf.DUMMYFUNCTION("""COMPUTED_VALUE"""),"NORMAL")</f>
        <v>NORMAL</v>
      </c>
      <c r="D259" s="5" t="str">
        <f>IFERROR(__xludf.DUMMYFUNCTION("""COMPUTED_VALUE"""),"TANNER TESSMANN")</f>
        <v>TANNER TESSMANN</v>
      </c>
      <c r="E259" s="5">
        <f>IFERROR(__xludf.DUMMYFUNCTION("""COMPUTED_VALUE"""),0.0)</f>
        <v>0</v>
      </c>
    </row>
    <row r="260">
      <c r="A260" s="5" t="str">
        <f>IFERROR(__xludf.DUMMYFUNCTION("""COMPUTED_VALUE"""),"USA10")</f>
        <v>USA10</v>
      </c>
      <c r="B260" s="5" t="str">
        <f>IFERROR(__xludf.DUMMYFUNCTION("""COMPUTED_VALUE"""),"UNITED STATES")</f>
        <v>UNITED STATES</v>
      </c>
      <c r="C260" s="5" t="str">
        <f>IFERROR(__xludf.DUMMYFUNCTION("""COMPUTED_VALUE"""),"NORMAL")</f>
        <v>NORMAL</v>
      </c>
      <c r="D260" s="5" t="str">
        <f>IFERROR(__xludf.DUMMYFUNCTION("""COMPUTED_VALUE"""),"WESTON MCKENNIE")</f>
        <v>WESTON MCKENNIE</v>
      </c>
      <c r="E260" s="5">
        <f>IFERROR(__xludf.DUMMYFUNCTION("""COMPUTED_VALUE"""),0.0)</f>
        <v>0</v>
      </c>
    </row>
    <row r="261">
      <c r="A261" s="5" t="str">
        <f>IFERROR(__xludf.DUMMYFUNCTION("""COMPUTED_VALUE"""),"USA11")</f>
        <v>USA11</v>
      </c>
      <c r="B261" s="5" t="str">
        <f>IFERROR(__xludf.DUMMYFUNCTION("""COMPUTED_VALUE"""),"UNITED STATES")</f>
        <v>UNITED STATES</v>
      </c>
      <c r="C261" s="5" t="str">
        <f>IFERROR(__xludf.DUMMYFUNCTION("""COMPUTED_VALUE"""),"NORMAL")</f>
        <v>NORMAL</v>
      </c>
      <c r="D261" s="5" t="str">
        <f>IFERROR(__xludf.DUMMYFUNCTION("""COMPUTED_VALUE"""),"CRISTIAN ROLDAN")</f>
        <v>CRISTIAN ROLDAN</v>
      </c>
      <c r="E261" s="5">
        <f>IFERROR(__xludf.DUMMYFUNCTION("""COMPUTED_VALUE"""),0.0)</f>
        <v>0</v>
      </c>
    </row>
    <row r="262">
      <c r="A262" s="5" t="str">
        <f>IFERROR(__xludf.DUMMYFUNCTION("""COMPUTED_VALUE"""),"USA12")</f>
        <v>USA12</v>
      </c>
      <c r="B262" s="5" t="str">
        <f>IFERROR(__xludf.DUMMYFUNCTION("""COMPUTED_VALUE"""),"UNITED STATES")</f>
        <v>UNITED STATES</v>
      </c>
      <c r="C262" s="5" t="str">
        <f>IFERROR(__xludf.DUMMYFUNCTION("""COMPUTED_VALUE"""),"NORMAL")</f>
        <v>NORMAL</v>
      </c>
      <c r="D262" s="5" t="str">
        <f>IFERROR(__xludf.DUMMYFUNCTION("""COMPUTED_VALUE"""),"TIMOTHY WEAH")</f>
        <v>TIMOTHY WEAH</v>
      </c>
      <c r="E262" s="5">
        <f>IFERROR(__xludf.DUMMYFUNCTION("""COMPUTED_VALUE"""),0.0)</f>
        <v>0</v>
      </c>
    </row>
    <row r="263">
      <c r="A263" s="5" t="str">
        <f>IFERROR(__xludf.DUMMYFUNCTION("""COMPUTED_VALUE"""),"USA13")</f>
        <v>USA13</v>
      </c>
      <c r="B263" s="5" t="str">
        <f>IFERROR(__xludf.DUMMYFUNCTION("""COMPUTED_VALUE"""),"UNITED STATES")</f>
        <v>UNITED STATES</v>
      </c>
      <c r="C263" s="5" t="str">
        <f>IFERROR(__xludf.DUMMYFUNCTION("""COMPUTED_VALUE"""),"TEAM")</f>
        <v>TEAM</v>
      </c>
      <c r="D263" s="5" t="str">
        <f>IFERROR(__xludf.DUMMYFUNCTION("""COMPUTED_VALUE"""),"UNITED STATES NATIONAL TEAM")</f>
        <v>UNITED STATES NATIONAL TEAM</v>
      </c>
      <c r="E263" s="5">
        <f>IFERROR(__xludf.DUMMYFUNCTION("""COMPUTED_VALUE"""),0.0)</f>
        <v>0</v>
      </c>
    </row>
    <row r="264">
      <c r="A264" s="5" t="str">
        <f>IFERROR(__xludf.DUMMYFUNCTION("""COMPUTED_VALUE"""),"USA14")</f>
        <v>USA14</v>
      </c>
      <c r="B264" s="5" t="str">
        <f>IFERROR(__xludf.DUMMYFUNCTION("""COMPUTED_VALUE"""),"UNITED STATES")</f>
        <v>UNITED STATES</v>
      </c>
      <c r="C264" s="5" t="str">
        <f>IFERROR(__xludf.DUMMYFUNCTION("""COMPUTED_VALUE"""),"NORMAL")</f>
        <v>NORMAL</v>
      </c>
      <c r="D264" s="5" t="str">
        <f>IFERROR(__xludf.DUMMYFUNCTION("""COMPUTED_VALUE"""),"DIEGO LUNA")</f>
        <v>DIEGO LUNA</v>
      </c>
      <c r="E264" s="5">
        <f>IFERROR(__xludf.DUMMYFUNCTION("""COMPUTED_VALUE"""),0.0)</f>
        <v>0</v>
      </c>
    </row>
    <row r="265">
      <c r="A265" s="5" t="str">
        <f>IFERROR(__xludf.DUMMYFUNCTION("""COMPUTED_VALUE"""),"USA15")</f>
        <v>USA15</v>
      </c>
      <c r="B265" s="5" t="str">
        <f>IFERROR(__xludf.DUMMYFUNCTION("""COMPUTED_VALUE"""),"UNITED STATES")</f>
        <v>UNITED STATES</v>
      </c>
      <c r="C265" s="5" t="str">
        <f>IFERROR(__xludf.DUMMYFUNCTION("""COMPUTED_VALUE"""),"NORMAL")</f>
        <v>NORMAL</v>
      </c>
      <c r="D265" s="5" t="str">
        <f>IFERROR(__xludf.DUMMYFUNCTION("""COMPUTED_VALUE"""),"MALIK TILLMAN")</f>
        <v>MALIK TILLMAN</v>
      </c>
      <c r="E265" s="5">
        <f>IFERROR(__xludf.DUMMYFUNCTION("""COMPUTED_VALUE"""),0.0)</f>
        <v>0</v>
      </c>
    </row>
    <row r="266">
      <c r="A266" s="5" t="str">
        <f>IFERROR(__xludf.DUMMYFUNCTION("""COMPUTED_VALUE"""),"USA16")</f>
        <v>USA16</v>
      </c>
      <c r="B266" s="5" t="str">
        <f>IFERROR(__xludf.DUMMYFUNCTION("""COMPUTED_VALUE"""),"UNITED STATES")</f>
        <v>UNITED STATES</v>
      </c>
      <c r="C266" s="5" t="str">
        <f>IFERROR(__xludf.DUMMYFUNCTION("""COMPUTED_VALUE"""),"NORMAL")</f>
        <v>NORMAL</v>
      </c>
      <c r="D266" s="5" t="str">
        <f>IFERROR(__xludf.DUMMYFUNCTION("""COMPUTED_VALUE"""),"CHRISTIAN PULISIC")</f>
        <v>CHRISTIAN PULISIC</v>
      </c>
      <c r="E266" s="5">
        <f>IFERROR(__xludf.DUMMYFUNCTION("""COMPUTED_VALUE"""),0.0)</f>
        <v>0</v>
      </c>
    </row>
    <row r="267">
      <c r="A267" s="5" t="str">
        <f>IFERROR(__xludf.DUMMYFUNCTION("""COMPUTED_VALUE"""),"USA17")</f>
        <v>USA17</v>
      </c>
      <c r="B267" s="5" t="str">
        <f>IFERROR(__xludf.DUMMYFUNCTION("""COMPUTED_VALUE"""),"UNITED STATES")</f>
        <v>UNITED STATES</v>
      </c>
      <c r="C267" s="5" t="str">
        <f>IFERROR(__xludf.DUMMYFUNCTION("""COMPUTED_VALUE"""),"NORMAL")</f>
        <v>NORMAL</v>
      </c>
      <c r="D267" s="5" t="str">
        <f>IFERROR(__xludf.DUMMYFUNCTION("""COMPUTED_VALUE"""),"BRENDEN AARONSON")</f>
        <v>BRENDEN AARONSON</v>
      </c>
      <c r="E267" s="5">
        <f>IFERROR(__xludf.DUMMYFUNCTION("""COMPUTED_VALUE"""),0.0)</f>
        <v>0</v>
      </c>
    </row>
    <row r="268">
      <c r="A268" s="5" t="str">
        <f>IFERROR(__xludf.DUMMYFUNCTION("""COMPUTED_VALUE"""),"USA18")</f>
        <v>USA18</v>
      </c>
      <c r="B268" s="5" t="str">
        <f>IFERROR(__xludf.DUMMYFUNCTION("""COMPUTED_VALUE"""),"UNITED STATES")</f>
        <v>UNITED STATES</v>
      </c>
      <c r="C268" s="5" t="str">
        <f>IFERROR(__xludf.DUMMYFUNCTION("""COMPUTED_VALUE"""),"NORMAL")</f>
        <v>NORMAL</v>
      </c>
      <c r="D268" s="5" t="str">
        <f>IFERROR(__xludf.DUMMYFUNCTION("""COMPUTED_VALUE"""),"RICARDO PEPI")</f>
        <v>RICARDO PEPI</v>
      </c>
      <c r="E268" s="5">
        <f>IFERROR(__xludf.DUMMYFUNCTION("""COMPUTED_VALUE"""),0.0)</f>
        <v>0</v>
      </c>
    </row>
    <row r="269">
      <c r="A269" s="5" t="str">
        <f>IFERROR(__xludf.DUMMYFUNCTION("""COMPUTED_VALUE"""),"USA19")</f>
        <v>USA19</v>
      </c>
      <c r="B269" s="5" t="str">
        <f>IFERROR(__xludf.DUMMYFUNCTION("""COMPUTED_VALUE"""),"UNITED STATES")</f>
        <v>UNITED STATES</v>
      </c>
      <c r="C269" s="5" t="str">
        <f>IFERROR(__xludf.DUMMYFUNCTION("""COMPUTED_VALUE"""),"NORMAL")</f>
        <v>NORMAL</v>
      </c>
      <c r="D269" s="5" t="str">
        <f>IFERROR(__xludf.DUMMYFUNCTION("""COMPUTED_VALUE"""),"HAJI WRIGHT")</f>
        <v>HAJI WRIGHT</v>
      </c>
      <c r="E269" s="5">
        <f>IFERROR(__xludf.DUMMYFUNCTION("""COMPUTED_VALUE"""),0.0)</f>
        <v>0</v>
      </c>
    </row>
    <row r="270">
      <c r="A270" s="5" t="str">
        <f>IFERROR(__xludf.DUMMYFUNCTION("""COMPUTED_VALUE"""),"USA20")</f>
        <v>USA20</v>
      </c>
      <c r="B270" s="5" t="str">
        <f>IFERROR(__xludf.DUMMYFUNCTION("""COMPUTED_VALUE"""),"UNITED STATES")</f>
        <v>UNITED STATES</v>
      </c>
      <c r="C270" s="5" t="str">
        <f>IFERROR(__xludf.DUMMYFUNCTION("""COMPUTED_VALUE"""),"NORMAL")</f>
        <v>NORMAL</v>
      </c>
      <c r="D270" s="5" t="str">
        <f>IFERROR(__xludf.DUMMYFUNCTION("""COMPUTED_VALUE"""),"FOLARIN BALOGUN")</f>
        <v>FOLARIN BALOGUN</v>
      </c>
      <c r="E270" s="5">
        <f>IFERROR(__xludf.DUMMYFUNCTION("""COMPUTED_VALUE"""),0.0)</f>
        <v>0</v>
      </c>
    </row>
    <row r="271">
      <c r="A271" s="7" t="str">
        <f>IFERROR(__xludf.DUMMYFUNCTION("""COMPUTED_VALUE"""),"PAR01")</f>
        <v>PAR01</v>
      </c>
      <c r="B271" s="5" t="str">
        <f>IFERROR(__xludf.DUMMYFUNCTION("""COMPUTED_VALUE"""),"PARAGUAY")</f>
        <v>PARAGUAY</v>
      </c>
      <c r="C271" s="5" t="str">
        <f>IFERROR(__xludf.DUMMYFUNCTION("""COMPUTED_VALUE"""),"BADGE")</f>
        <v>BADGE</v>
      </c>
      <c r="D271" s="5" t="str">
        <f>IFERROR(__xludf.DUMMYFUNCTION("""COMPUTED_VALUE"""),"PARAGUAY NATIONAL TEAM")</f>
        <v>PARAGUAY NATIONAL TEAM</v>
      </c>
      <c r="E271" s="5">
        <f>IFERROR(__xludf.DUMMYFUNCTION("""COMPUTED_VALUE"""),0.0)</f>
        <v>0</v>
      </c>
    </row>
    <row r="272">
      <c r="A272" s="7" t="str">
        <f>IFERROR(__xludf.DUMMYFUNCTION("""COMPUTED_VALUE"""),"PAR02")</f>
        <v>PAR02</v>
      </c>
      <c r="B272" s="5" t="str">
        <f>IFERROR(__xludf.DUMMYFUNCTION("""COMPUTED_VALUE"""),"PARAGUAY")</f>
        <v>PARAGUAY</v>
      </c>
      <c r="C272" s="5" t="str">
        <f>IFERROR(__xludf.DUMMYFUNCTION("""COMPUTED_VALUE"""),"NORMAL")</f>
        <v>NORMAL</v>
      </c>
      <c r="D272" s="5" t="str">
        <f>IFERROR(__xludf.DUMMYFUNCTION("""COMPUTED_VALUE"""),"ROBERTO FERNANDEZ")</f>
        <v>ROBERTO FERNANDEZ</v>
      </c>
      <c r="E272" s="5">
        <f>IFERROR(__xludf.DUMMYFUNCTION("""COMPUTED_VALUE"""),0.0)</f>
        <v>0</v>
      </c>
    </row>
    <row r="273">
      <c r="A273" s="7" t="str">
        <f>IFERROR(__xludf.DUMMYFUNCTION("""COMPUTED_VALUE"""),"PAR03")</f>
        <v>PAR03</v>
      </c>
      <c r="B273" s="5" t="str">
        <f>IFERROR(__xludf.DUMMYFUNCTION("""COMPUTED_VALUE"""),"PARAGUAY")</f>
        <v>PARAGUAY</v>
      </c>
      <c r="C273" s="5" t="str">
        <f>IFERROR(__xludf.DUMMYFUNCTION("""COMPUTED_VALUE"""),"NORMAL")</f>
        <v>NORMAL</v>
      </c>
      <c r="D273" s="5" t="str">
        <f>IFERROR(__xludf.DUMMYFUNCTION("""COMPUTED_VALUE"""),"ORLANDO GILL")</f>
        <v>ORLANDO GILL</v>
      </c>
      <c r="E273" s="5">
        <f>IFERROR(__xludf.DUMMYFUNCTION("""COMPUTED_VALUE"""),0.0)</f>
        <v>0</v>
      </c>
    </row>
    <row r="274">
      <c r="A274" s="7" t="str">
        <f>IFERROR(__xludf.DUMMYFUNCTION("""COMPUTED_VALUE"""),"PAR04")</f>
        <v>PAR04</v>
      </c>
      <c r="B274" s="5" t="str">
        <f>IFERROR(__xludf.DUMMYFUNCTION("""COMPUTED_VALUE"""),"PARAGUAY")</f>
        <v>PARAGUAY</v>
      </c>
      <c r="C274" s="5" t="str">
        <f>IFERROR(__xludf.DUMMYFUNCTION("""COMPUTED_VALUE"""),"NORMAL")</f>
        <v>NORMAL</v>
      </c>
      <c r="D274" s="5" t="str">
        <f>IFERROR(__xludf.DUMMYFUNCTION("""COMPUTED_VALUE"""),"GUSTAVO GOMEZ")</f>
        <v>GUSTAVO GOMEZ</v>
      </c>
      <c r="E274" s="5">
        <f>IFERROR(__xludf.DUMMYFUNCTION("""COMPUTED_VALUE"""),0.0)</f>
        <v>0</v>
      </c>
    </row>
    <row r="275">
      <c r="A275" s="7" t="str">
        <f>IFERROR(__xludf.DUMMYFUNCTION("""COMPUTED_VALUE"""),"PAR05")</f>
        <v>PAR05</v>
      </c>
      <c r="B275" s="5" t="str">
        <f>IFERROR(__xludf.DUMMYFUNCTION("""COMPUTED_VALUE"""),"PARAGUAY")</f>
        <v>PARAGUAY</v>
      </c>
      <c r="C275" s="5" t="str">
        <f>IFERROR(__xludf.DUMMYFUNCTION("""COMPUTED_VALUE"""),"NORMAL")</f>
        <v>NORMAL</v>
      </c>
      <c r="D275" s="5" t="str">
        <f>IFERROR(__xludf.DUMMYFUNCTION("""COMPUTED_VALUE"""),"FABIAN BALBUENA")</f>
        <v>FABIAN BALBUENA</v>
      </c>
      <c r="E275" s="5">
        <f>IFERROR(__xludf.DUMMYFUNCTION("""COMPUTED_VALUE"""),0.0)</f>
        <v>0</v>
      </c>
    </row>
    <row r="276">
      <c r="A276" s="7" t="str">
        <f>IFERROR(__xludf.DUMMYFUNCTION("""COMPUTED_VALUE"""),"PAR06")</f>
        <v>PAR06</v>
      </c>
      <c r="B276" s="5" t="str">
        <f>IFERROR(__xludf.DUMMYFUNCTION("""COMPUTED_VALUE"""),"PARAGUAY")</f>
        <v>PARAGUAY</v>
      </c>
      <c r="C276" s="5" t="str">
        <f>IFERROR(__xludf.DUMMYFUNCTION("""COMPUTED_VALUE"""),"NORMAL")</f>
        <v>NORMAL</v>
      </c>
      <c r="D276" s="5" t="str">
        <f>IFERROR(__xludf.DUMMYFUNCTION("""COMPUTED_VALUE"""),"JUAN JOSE CACERES")</f>
        <v>JUAN JOSE CACERES</v>
      </c>
      <c r="E276" s="5">
        <f>IFERROR(__xludf.DUMMYFUNCTION("""COMPUTED_VALUE"""),0.0)</f>
        <v>0</v>
      </c>
    </row>
    <row r="277">
      <c r="A277" s="7" t="str">
        <f>IFERROR(__xludf.DUMMYFUNCTION("""COMPUTED_VALUE"""),"PAR07")</f>
        <v>PAR07</v>
      </c>
      <c r="B277" s="5" t="str">
        <f>IFERROR(__xludf.DUMMYFUNCTION("""COMPUTED_VALUE"""),"PARAGUAY")</f>
        <v>PARAGUAY</v>
      </c>
      <c r="C277" s="5" t="str">
        <f>IFERROR(__xludf.DUMMYFUNCTION("""COMPUTED_VALUE"""),"NORMAL")</f>
        <v>NORMAL</v>
      </c>
      <c r="D277" s="5" t="str">
        <f>IFERROR(__xludf.DUMMYFUNCTION("""COMPUTED_VALUE"""),"OMAR ALDRETE")</f>
        <v>OMAR ALDRETE</v>
      </c>
      <c r="E277" s="5">
        <f>IFERROR(__xludf.DUMMYFUNCTION("""COMPUTED_VALUE"""),0.0)</f>
        <v>0</v>
      </c>
    </row>
    <row r="278">
      <c r="A278" s="7" t="str">
        <f>IFERROR(__xludf.DUMMYFUNCTION("""COMPUTED_VALUE"""),"PAR08")</f>
        <v>PAR08</v>
      </c>
      <c r="B278" s="5" t="str">
        <f>IFERROR(__xludf.DUMMYFUNCTION("""COMPUTED_VALUE"""),"PARAGUAY")</f>
        <v>PARAGUAY</v>
      </c>
      <c r="C278" s="5" t="str">
        <f>IFERROR(__xludf.DUMMYFUNCTION("""COMPUTED_VALUE"""),"NORMAL")</f>
        <v>NORMAL</v>
      </c>
      <c r="D278" s="5" t="str">
        <f>IFERROR(__xludf.DUMMYFUNCTION("""COMPUTED_VALUE"""),"JUNIOR ALONSO")</f>
        <v>JUNIOR ALONSO</v>
      </c>
      <c r="E278" s="5">
        <f>IFERROR(__xludf.DUMMYFUNCTION("""COMPUTED_VALUE"""),0.0)</f>
        <v>0</v>
      </c>
    </row>
    <row r="279">
      <c r="A279" s="7" t="str">
        <f>IFERROR(__xludf.DUMMYFUNCTION("""COMPUTED_VALUE"""),"PAR09")</f>
        <v>PAR09</v>
      </c>
      <c r="B279" s="5" t="str">
        <f>IFERROR(__xludf.DUMMYFUNCTION("""COMPUTED_VALUE"""),"PARAGUAY")</f>
        <v>PARAGUAY</v>
      </c>
      <c r="C279" s="5" t="str">
        <f>IFERROR(__xludf.DUMMYFUNCTION("""COMPUTED_VALUE"""),"NORMAL")</f>
        <v>NORMAL</v>
      </c>
      <c r="D279" s="5" t="str">
        <f>IFERROR(__xludf.DUMMYFUNCTION("""COMPUTED_VALUE"""),"MATHIAS VILLASANTI")</f>
        <v>MATHIAS VILLASANTI</v>
      </c>
      <c r="E279" s="5">
        <f>IFERROR(__xludf.DUMMYFUNCTION("""COMPUTED_VALUE"""),0.0)</f>
        <v>0</v>
      </c>
    </row>
    <row r="280">
      <c r="A280" s="7" t="str">
        <f>IFERROR(__xludf.DUMMYFUNCTION("""COMPUTED_VALUE"""),"PAR10")</f>
        <v>PAR10</v>
      </c>
      <c r="B280" s="5" t="str">
        <f>IFERROR(__xludf.DUMMYFUNCTION("""COMPUTED_VALUE"""),"PARAGUAY")</f>
        <v>PARAGUAY</v>
      </c>
      <c r="C280" s="5" t="str">
        <f>IFERROR(__xludf.DUMMYFUNCTION("""COMPUTED_VALUE"""),"NORMAL")</f>
        <v>NORMAL</v>
      </c>
      <c r="D280" s="5" t="str">
        <f>IFERROR(__xludf.DUMMYFUNCTION("""COMPUTED_VALUE"""),"DIEGO GOMEZ")</f>
        <v>DIEGO GOMEZ</v>
      </c>
      <c r="E280" s="5">
        <f>IFERROR(__xludf.DUMMYFUNCTION("""COMPUTED_VALUE"""),0.0)</f>
        <v>0</v>
      </c>
    </row>
    <row r="281">
      <c r="A281" s="7" t="str">
        <f>IFERROR(__xludf.DUMMYFUNCTION("""COMPUTED_VALUE"""),"PAR11")</f>
        <v>PAR11</v>
      </c>
      <c r="B281" s="5" t="str">
        <f>IFERROR(__xludf.DUMMYFUNCTION("""COMPUTED_VALUE"""),"PARAGUAY")</f>
        <v>PARAGUAY</v>
      </c>
      <c r="C281" s="5" t="str">
        <f>IFERROR(__xludf.DUMMYFUNCTION("""COMPUTED_VALUE"""),"NORMAL")</f>
        <v>NORMAL</v>
      </c>
      <c r="D281" s="5" t="str">
        <f>IFERROR(__xludf.DUMMYFUNCTION("""COMPUTED_VALUE"""),"DAMIAN BOBADILLA")</f>
        <v>DAMIAN BOBADILLA</v>
      </c>
      <c r="E281" s="5">
        <f>IFERROR(__xludf.DUMMYFUNCTION("""COMPUTED_VALUE"""),0.0)</f>
        <v>0</v>
      </c>
    </row>
    <row r="282">
      <c r="A282" s="7" t="str">
        <f>IFERROR(__xludf.DUMMYFUNCTION("""COMPUTED_VALUE"""),"PAR12")</f>
        <v>PAR12</v>
      </c>
      <c r="B282" s="5" t="str">
        <f>IFERROR(__xludf.DUMMYFUNCTION("""COMPUTED_VALUE"""),"PARAGUAY")</f>
        <v>PARAGUAY</v>
      </c>
      <c r="C282" s="5" t="str">
        <f>IFERROR(__xludf.DUMMYFUNCTION("""COMPUTED_VALUE"""),"NORMAL")</f>
        <v>NORMAL</v>
      </c>
      <c r="D282" s="5" t="str">
        <f>IFERROR(__xludf.DUMMYFUNCTION("""COMPUTED_VALUE"""),"ANDRÉS CUBAS")</f>
        <v>ANDRÉS CUBAS</v>
      </c>
      <c r="E282" s="5">
        <f>IFERROR(__xludf.DUMMYFUNCTION("""COMPUTED_VALUE"""),0.0)</f>
        <v>0</v>
      </c>
    </row>
    <row r="283">
      <c r="A283" s="7" t="str">
        <f>IFERROR(__xludf.DUMMYFUNCTION("""COMPUTED_VALUE"""),"PAR13")</f>
        <v>PAR13</v>
      </c>
      <c r="B283" s="5" t="str">
        <f>IFERROR(__xludf.DUMMYFUNCTION("""COMPUTED_VALUE"""),"PARAGUAY")</f>
        <v>PARAGUAY</v>
      </c>
      <c r="C283" s="5" t="str">
        <f>IFERROR(__xludf.DUMMYFUNCTION("""COMPUTED_VALUE"""),"TEAM")</f>
        <v>TEAM</v>
      </c>
      <c r="D283" s="5" t="str">
        <f>IFERROR(__xludf.DUMMYFUNCTION("""COMPUTED_VALUE"""),"PARAGUAY NATIONAL TEAM")</f>
        <v>PARAGUAY NATIONAL TEAM</v>
      </c>
      <c r="E283" s="5">
        <f>IFERROR(__xludf.DUMMYFUNCTION("""COMPUTED_VALUE"""),0.0)</f>
        <v>0</v>
      </c>
    </row>
    <row r="284">
      <c r="A284" s="7" t="str">
        <f>IFERROR(__xludf.DUMMYFUNCTION("""COMPUTED_VALUE"""),"PAR14")</f>
        <v>PAR14</v>
      </c>
      <c r="B284" s="5" t="str">
        <f>IFERROR(__xludf.DUMMYFUNCTION("""COMPUTED_VALUE"""),"PARAGUAY")</f>
        <v>PARAGUAY</v>
      </c>
      <c r="C284" s="5" t="str">
        <f>IFERROR(__xludf.DUMMYFUNCTION("""COMPUTED_VALUE"""),"NORMAL")</f>
        <v>NORMAL</v>
      </c>
      <c r="D284" s="5" t="str">
        <f>IFERROR(__xludf.DUMMYFUNCTION("""COMPUTED_VALUE"""),"MATIAS GALARZA FONDA")</f>
        <v>MATIAS GALARZA FONDA</v>
      </c>
      <c r="E284" s="5">
        <f>IFERROR(__xludf.DUMMYFUNCTION("""COMPUTED_VALUE"""),0.0)</f>
        <v>0</v>
      </c>
    </row>
    <row r="285">
      <c r="A285" s="7" t="str">
        <f>IFERROR(__xludf.DUMMYFUNCTION("""COMPUTED_VALUE"""),"PAR15")</f>
        <v>PAR15</v>
      </c>
      <c r="B285" s="5" t="str">
        <f>IFERROR(__xludf.DUMMYFUNCTION("""COMPUTED_VALUE"""),"PARAGUAY")</f>
        <v>PARAGUAY</v>
      </c>
      <c r="C285" s="5" t="str">
        <f>IFERROR(__xludf.DUMMYFUNCTION("""COMPUTED_VALUE"""),"NORMAL")</f>
        <v>NORMAL</v>
      </c>
      <c r="D285" s="5" t="str">
        <f>IFERROR(__xludf.DUMMYFUNCTION("""COMPUTED_VALUE"""),"JULIO ENCISO")</f>
        <v>JULIO ENCISO</v>
      </c>
      <c r="E285" s="5">
        <f>IFERROR(__xludf.DUMMYFUNCTION("""COMPUTED_VALUE"""),0.0)</f>
        <v>0</v>
      </c>
    </row>
    <row r="286">
      <c r="A286" s="7" t="str">
        <f>IFERROR(__xludf.DUMMYFUNCTION("""COMPUTED_VALUE"""),"PAR16")</f>
        <v>PAR16</v>
      </c>
      <c r="B286" s="5" t="str">
        <f>IFERROR(__xludf.DUMMYFUNCTION("""COMPUTED_VALUE"""),"PARAGUAY")</f>
        <v>PARAGUAY</v>
      </c>
      <c r="C286" s="5" t="str">
        <f>IFERROR(__xludf.DUMMYFUNCTION("""COMPUTED_VALUE"""),"NORMAL")</f>
        <v>NORMAL</v>
      </c>
      <c r="D286" s="5" t="str">
        <f>IFERROR(__xludf.DUMMYFUNCTION("""COMPUTED_VALUE"""),"ALEJANDRO ROMERO GAMARRA")</f>
        <v>ALEJANDRO ROMERO GAMARRA</v>
      </c>
      <c r="E286" s="5">
        <f>IFERROR(__xludf.DUMMYFUNCTION("""COMPUTED_VALUE"""),0.0)</f>
        <v>0</v>
      </c>
    </row>
    <row r="287">
      <c r="A287" s="7" t="str">
        <f>IFERROR(__xludf.DUMMYFUNCTION("""COMPUTED_VALUE"""),"PAR17")</f>
        <v>PAR17</v>
      </c>
      <c r="B287" s="5" t="str">
        <f>IFERROR(__xludf.DUMMYFUNCTION("""COMPUTED_VALUE"""),"PARAGUAY")</f>
        <v>PARAGUAY</v>
      </c>
      <c r="C287" s="5" t="str">
        <f>IFERROR(__xludf.DUMMYFUNCTION("""COMPUTED_VALUE"""),"NORMAL")</f>
        <v>NORMAL</v>
      </c>
      <c r="D287" s="5" t="str">
        <f>IFERROR(__xludf.DUMMYFUNCTION("""COMPUTED_VALUE"""),"MIGUEL ALMIRON")</f>
        <v>MIGUEL ALMIRON</v>
      </c>
      <c r="E287" s="5">
        <f>IFERROR(__xludf.DUMMYFUNCTION("""COMPUTED_VALUE"""),0.0)</f>
        <v>0</v>
      </c>
    </row>
    <row r="288">
      <c r="A288" s="7" t="str">
        <f>IFERROR(__xludf.DUMMYFUNCTION("""COMPUTED_VALUE"""),"PAR18")</f>
        <v>PAR18</v>
      </c>
      <c r="B288" s="5" t="str">
        <f>IFERROR(__xludf.DUMMYFUNCTION("""COMPUTED_VALUE"""),"PARAGUAY")</f>
        <v>PARAGUAY</v>
      </c>
      <c r="C288" s="5" t="str">
        <f>IFERROR(__xludf.DUMMYFUNCTION("""COMPUTED_VALUE"""),"NORMAL")</f>
        <v>NORMAL</v>
      </c>
      <c r="D288" s="5" t="str">
        <f>IFERROR(__xludf.DUMMYFUNCTION("""COMPUTED_VALUE"""),"RAMON SOSA")</f>
        <v>RAMON SOSA</v>
      </c>
      <c r="E288" s="5">
        <f>IFERROR(__xludf.DUMMYFUNCTION("""COMPUTED_VALUE"""),0.0)</f>
        <v>0</v>
      </c>
    </row>
    <row r="289">
      <c r="A289" s="7" t="str">
        <f>IFERROR(__xludf.DUMMYFUNCTION("""COMPUTED_VALUE"""),"PAR19")</f>
        <v>PAR19</v>
      </c>
      <c r="B289" s="5" t="str">
        <f>IFERROR(__xludf.DUMMYFUNCTION("""COMPUTED_VALUE"""),"PARAGUAY")</f>
        <v>PARAGUAY</v>
      </c>
      <c r="C289" s="5" t="str">
        <f>IFERROR(__xludf.DUMMYFUNCTION("""COMPUTED_VALUE"""),"NORMAL")</f>
        <v>NORMAL</v>
      </c>
      <c r="D289" s="5" t="str">
        <f>IFERROR(__xludf.DUMMYFUNCTION("""COMPUTED_VALUE"""),"ANGEL ROMERO")</f>
        <v>ANGEL ROMERO</v>
      </c>
      <c r="E289" s="5">
        <f>IFERROR(__xludf.DUMMYFUNCTION("""COMPUTED_VALUE"""),0.0)</f>
        <v>0</v>
      </c>
    </row>
    <row r="290">
      <c r="A290" s="7" t="str">
        <f>IFERROR(__xludf.DUMMYFUNCTION("""COMPUTED_VALUE"""),"PAR20")</f>
        <v>PAR20</v>
      </c>
      <c r="B290" s="5" t="str">
        <f>IFERROR(__xludf.DUMMYFUNCTION("""COMPUTED_VALUE"""),"PARAGUAY")</f>
        <v>PARAGUAY</v>
      </c>
      <c r="C290" s="5" t="str">
        <f>IFERROR(__xludf.DUMMYFUNCTION("""COMPUTED_VALUE"""),"NORMAL")</f>
        <v>NORMAL</v>
      </c>
      <c r="D290" s="5" t="str">
        <f>IFERROR(__xludf.DUMMYFUNCTION("""COMPUTED_VALUE"""),"ANTONIO SANABRIA")</f>
        <v>ANTONIO SANABRIA</v>
      </c>
      <c r="E290" s="5">
        <f>IFERROR(__xludf.DUMMYFUNCTION("""COMPUTED_VALUE"""),0.0)</f>
        <v>0</v>
      </c>
    </row>
    <row r="291">
      <c r="A291" s="5" t="str">
        <f>IFERROR(__xludf.DUMMYFUNCTION("""COMPUTED_VALUE"""),"AUS01")</f>
        <v>AUS01</v>
      </c>
      <c r="B291" s="5" t="str">
        <f>IFERROR(__xludf.DUMMYFUNCTION("""COMPUTED_VALUE"""),"AUSTRALIA")</f>
        <v>AUSTRALIA</v>
      </c>
      <c r="C291" s="5" t="str">
        <f>IFERROR(__xludf.DUMMYFUNCTION("""COMPUTED_VALUE"""),"BADGE")</f>
        <v>BADGE</v>
      </c>
      <c r="D291" s="5" t="str">
        <f>IFERROR(__xludf.DUMMYFUNCTION("""COMPUTED_VALUE"""),"AUSTRALIA NATIONAL TEAM")</f>
        <v>AUSTRALIA NATIONAL TEAM</v>
      </c>
      <c r="E291" s="5">
        <f>IFERROR(__xludf.DUMMYFUNCTION("""COMPUTED_VALUE"""),0.0)</f>
        <v>0</v>
      </c>
    </row>
    <row r="292">
      <c r="A292" s="5" t="str">
        <f>IFERROR(__xludf.DUMMYFUNCTION("""COMPUTED_VALUE"""),"AUS02")</f>
        <v>AUS02</v>
      </c>
      <c r="B292" s="5" t="str">
        <f>IFERROR(__xludf.DUMMYFUNCTION("""COMPUTED_VALUE"""),"AUSTRALIA")</f>
        <v>AUSTRALIA</v>
      </c>
      <c r="C292" s="5" t="str">
        <f>IFERROR(__xludf.DUMMYFUNCTION("""COMPUTED_VALUE"""),"NORMAL")</f>
        <v>NORMAL</v>
      </c>
      <c r="D292" s="5" t="str">
        <f>IFERROR(__xludf.DUMMYFUNCTION("""COMPUTED_VALUE"""),"MATTHEW RYAN")</f>
        <v>MATTHEW RYAN</v>
      </c>
      <c r="E292" s="5">
        <f>IFERROR(__xludf.DUMMYFUNCTION("""COMPUTED_VALUE"""),0.0)</f>
        <v>0</v>
      </c>
    </row>
    <row r="293">
      <c r="A293" s="5" t="str">
        <f>IFERROR(__xludf.DUMMYFUNCTION("""COMPUTED_VALUE"""),"AUS03")</f>
        <v>AUS03</v>
      </c>
      <c r="B293" s="5" t="str">
        <f>IFERROR(__xludf.DUMMYFUNCTION("""COMPUTED_VALUE"""),"AUSTRALIA")</f>
        <v>AUSTRALIA</v>
      </c>
      <c r="C293" s="5" t="str">
        <f>IFERROR(__xludf.DUMMYFUNCTION("""COMPUTED_VALUE"""),"NORMAL")</f>
        <v>NORMAL</v>
      </c>
      <c r="D293" s="5" t="str">
        <f>IFERROR(__xludf.DUMMYFUNCTION("""COMPUTED_VALUE"""),"JOE GAUCI")</f>
        <v>JOE GAUCI</v>
      </c>
      <c r="E293" s="5">
        <f>IFERROR(__xludf.DUMMYFUNCTION("""COMPUTED_VALUE"""),0.0)</f>
        <v>0</v>
      </c>
    </row>
    <row r="294">
      <c r="A294" s="5" t="str">
        <f>IFERROR(__xludf.DUMMYFUNCTION("""COMPUTED_VALUE"""),"AUS04")</f>
        <v>AUS04</v>
      </c>
      <c r="B294" s="5" t="str">
        <f>IFERROR(__xludf.DUMMYFUNCTION("""COMPUTED_VALUE"""),"AUSTRALIA")</f>
        <v>AUSTRALIA</v>
      </c>
      <c r="C294" s="5" t="str">
        <f>IFERROR(__xludf.DUMMYFUNCTION("""COMPUTED_VALUE"""),"NORMAL")</f>
        <v>NORMAL</v>
      </c>
      <c r="D294" s="5" t="str">
        <f>IFERROR(__xludf.DUMMYFUNCTION("""COMPUTED_VALUE"""),"HARRY SOUTTAR")</f>
        <v>HARRY SOUTTAR</v>
      </c>
      <c r="E294" s="5">
        <f>IFERROR(__xludf.DUMMYFUNCTION("""COMPUTED_VALUE"""),0.0)</f>
        <v>0</v>
      </c>
    </row>
    <row r="295">
      <c r="A295" s="5" t="str">
        <f>IFERROR(__xludf.DUMMYFUNCTION("""COMPUTED_VALUE"""),"AUS05")</f>
        <v>AUS05</v>
      </c>
      <c r="B295" s="5" t="str">
        <f>IFERROR(__xludf.DUMMYFUNCTION("""COMPUTED_VALUE"""),"AUSTRALIA")</f>
        <v>AUSTRALIA</v>
      </c>
      <c r="C295" s="5" t="str">
        <f>IFERROR(__xludf.DUMMYFUNCTION("""COMPUTED_VALUE"""),"NORMAL")</f>
        <v>NORMAL</v>
      </c>
      <c r="D295" s="5" t="str">
        <f>IFERROR(__xludf.DUMMYFUNCTION("""COMPUTED_VALUE"""),"ALESSANDRO CIRCATI")</f>
        <v>ALESSANDRO CIRCATI</v>
      </c>
      <c r="E295" s="5">
        <f>IFERROR(__xludf.DUMMYFUNCTION("""COMPUTED_VALUE"""),0.0)</f>
        <v>0</v>
      </c>
    </row>
    <row r="296">
      <c r="A296" s="5" t="str">
        <f>IFERROR(__xludf.DUMMYFUNCTION("""COMPUTED_VALUE"""),"AUS06")</f>
        <v>AUS06</v>
      </c>
      <c r="B296" s="5" t="str">
        <f>IFERROR(__xludf.DUMMYFUNCTION("""COMPUTED_VALUE"""),"AUSTRALIA")</f>
        <v>AUSTRALIA</v>
      </c>
      <c r="C296" s="5" t="str">
        <f>IFERROR(__xludf.DUMMYFUNCTION("""COMPUTED_VALUE"""),"NORMAL")</f>
        <v>NORMAL</v>
      </c>
      <c r="D296" s="5" t="str">
        <f>IFERROR(__xludf.DUMMYFUNCTION("""COMPUTED_VALUE"""),"JORDAN BOS")</f>
        <v>JORDAN BOS</v>
      </c>
      <c r="E296" s="5">
        <f>IFERROR(__xludf.DUMMYFUNCTION("""COMPUTED_VALUE"""),0.0)</f>
        <v>0</v>
      </c>
    </row>
    <row r="297">
      <c r="A297" s="5" t="str">
        <f>IFERROR(__xludf.DUMMYFUNCTION("""COMPUTED_VALUE"""),"AUS07")</f>
        <v>AUS07</v>
      </c>
      <c r="B297" s="5" t="str">
        <f>IFERROR(__xludf.DUMMYFUNCTION("""COMPUTED_VALUE"""),"AUSTRALIA")</f>
        <v>AUSTRALIA</v>
      </c>
      <c r="C297" s="5" t="str">
        <f>IFERROR(__xludf.DUMMYFUNCTION("""COMPUTED_VALUE"""),"NORMAL")</f>
        <v>NORMAL</v>
      </c>
      <c r="D297" s="5" t="str">
        <f>IFERROR(__xludf.DUMMYFUNCTION("""COMPUTED_VALUE"""),"AZIZ BEHICH")</f>
        <v>AZIZ BEHICH</v>
      </c>
      <c r="E297" s="5">
        <f>IFERROR(__xludf.DUMMYFUNCTION("""COMPUTED_VALUE"""),0.0)</f>
        <v>0</v>
      </c>
    </row>
    <row r="298">
      <c r="A298" s="5" t="str">
        <f>IFERROR(__xludf.DUMMYFUNCTION("""COMPUTED_VALUE"""),"AUS08")</f>
        <v>AUS08</v>
      </c>
      <c r="B298" s="5" t="str">
        <f>IFERROR(__xludf.DUMMYFUNCTION("""COMPUTED_VALUE"""),"AUSTRALIA")</f>
        <v>AUSTRALIA</v>
      </c>
      <c r="C298" s="5" t="str">
        <f>IFERROR(__xludf.DUMMYFUNCTION("""COMPUTED_VALUE"""),"NORMAL")</f>
        <v>NORMAL</v>
      </c>
      <c r="D298" s="5" t="str">
        <f>IFERROR(__xludf.DUMMYFUNCTION("""COMPUTED_VALUE"""),"CAMERON BURGESS")</f>
        <v>CAMERON BURGESS</v>
      </c>
      <c r="E298" s="5">
        <f>IFERROR(__xludf.DUMMYFUNCTION("""COMPUTED_VALUE"""),0.0)</f>
        <v>0</v>
      </c>
    </row>
    <row r="299">
      <c r="A299" s="5" t="str">
        <f>IFERROR(__xludf.DUMMYFUNCTION("""COMPUTED_VALUE"""),"AUS09")</f>
        <v>AUS09</v>
      </c>
      <c r="B299" s="5" t="str">
        <f>IFERROR(__xludf.DUMMYFUNCTION("""COMPUTED_VALUE"""),"AUSTRALIA")</f>
        <v>AUSTRALIA</v>
      </c>
      <c r="C299" s="5" t="str">
        <f>IFERROR(__xludf.DUMMYFUNCTION("""COMPUTED_VALUE"""),"NORMAL")</f>
        <v>NORMAL</v>
      </c>
      <c r="D299" s="5" t="str">
        <f>IFERROR(__xludf.DUMMYFUNCTION("""COMPUTED_VALUE"""),"LEWIS MILLER")</f>
        <v>LEWIS MILLER</v>
      </c>
      <c r="E299" s="5">
        <f>IFERROR(__xludf.DUMMYFUNCTION("""COMPUTED_VALUE"""),0.0)</f>
        <v>0</v>
      </c>
    </row>
    <row r="300">
      <c r="A300" s="5" t="str">
        <f>IFERROR(__xludf.DUMMYFUNCTION("""COMPUTED_VALUE"""),"AUS10")</f>
        <v>AUS10</v>
      </c>
      <c r="B300" s="5" t="str">
        <f>IFERROR(__xludf.DUMMYFUNCTION("""COMPUTED_VALUE"""),"AUSTRALIA")</f>
        <v>AUSTRALIA</v>
      </c>
      <c r="C300" s="5" t="str">
        <f>IFERROR(__xludf.DUMMYFUNCTION("""COMPUTED_VALUE"""),"NORMAL")</f>
        <v>NORMAL</v>
      </c>
      <c r="D300" s="5" t="str">
        <f>IFERROR(__xludf.DUMMYFUNCTION("""COMPUTED_VALUE"""),"MILOS DEGENEK")</f>
        <v>MILOS DEGENEK</v>
      </c>
      <c r="E300" s="5">
        <f>IFERROR(__xludf.DUMMYFUNCTION("""COMPUTED_VALUE"""),0.0)</f>
        <v>0</v>
      </c>
    </row>
    <row r="301">
      <c r="A301" s="5" t="str">
        <f>IFERROR(__xludf.DUMMYFUNCTION("""COMPUTED_VALUE"""),"AUS11")</f>
        <v>AUS11</v>
      </c>
      <c r="B301" s="5" t="str">
        <f>IFERROR(__xludf.DUMMYFUNCTION("""COMPUTED_VALUE"""),"AUSTRALIA")</f>
        <v>AUSTRALIA</v>
      </c>
      <c r="C301" s="5" t="str">
        <f>IFERROR(__xludf.DUMMYFUNCTION("""COMPUTED_VALUE"""),"NORMAL")</f>
        <v>NORMAL</v>
      </c>
      <c r="D301" s="5" t="str">
        <f>IFERROR(__xludf.DUMMYFUNCTION("""COMPUTED_VALUE"""),"JACKSON IRVINE")</f>
        <v>JACKSON IRVINE</v>
      </c>
      <c r="E301" s="5">
        <f>IFERROR(__xludf.DUMMYFUNCTION("""COMPUTED_VALUE"""),0.0)</f>
        <v>0</v>
      </c>
    </row>
    <row r="302">
      <c r="A302" s="5" t="str">
        <f>IFERROR(__xludf.DUMMYFUNCTION("""COMPUTED_VALUE"""),"AUS12")</f>
        <v>AUS12</v>
      </c>
      <c r="B302" s="5" t="str">
        <f>IFERROR(__xludf.DUMMYFUNCTION("""COMPUTED_VALUE"""),"AUSTRALIA")</f>
        <v>AUSTRALIA</v>
      </c>
      <c r="C302" s="5" t="str">
        <f>IFERROR(__xludf.DUMMYFUNCTION("""COMPUTED_VALUE"""),"NORMAL")</f>
        <v>NORMAL</v>
      </c>
      <c r="D302" s="5" t="str">
        <f>IFERROR(__xludf.DUMMYFUNCTION("""COMPUTED_VALUE"""),"RILEY MCGREE")</f>
        <v>RILEY MCGREE</v>
      </c>
      <c r="E302" s="5">
        <f>IFERROR(__xludf.DUMMYFUNCTION("""COMPUTED_VALUE"""),0.0)</f>
        <v>0</v>
      </c>
    </row>
    <row r="303">
      <c r="A303" s="5" t="str">
        <f>IFERROR(__xludf.DUMMYFUNCTION("""COMPUTED_VALUE"""),"AUS13")</f>
        <v>AUS13</v>
      </c>
      <c r="B303" s="5" t="str">
        <f>IFERROR(__xludf.DUMMYFUNCTION("""COMPUTED_VALUE"""),"AUSTRALIA")</f>
        <v>AUSTRALIA</v>
      </c>
      <c r="C303" s="5" t="str">
        <f>IFERROR(__xludf.DUMMYFUNCTION("""COMPUTED_VALUE"""),"TEAM")</f>
        <v>TEAM</v>
      </c>
      <c r="D303" s="5" t="str">
        <f>IFERROR(__xludf.DUMMYFUNCTION("""COMPUTED_VALUE"""),"AUSTRALIA NATIONAL TEAM")</f>
        <v>AUSTRALIA NATIONAL TEAM</v>
      </c>
      <c r="E303" s="5">
        <f>IFERROR(__xludf.DUMMYFUNCTION("""COMPUTED_VALUE"""),0.0)</f>
        <v>0</v>
      </c>
    </row>
    <row r="304">
      <c r="A304" s="5" t="str">
        <f>IFERROR(__xludf.DUMMYFUNCTION("""COMPUTED_VALUE"""),"AUS14")</f>
        <v>AUS14</v>
      </c>
      <c r="B304" s="5" t="str">
        <f>IFERROR(__xludf.DUMMYFUNCTION("""COMPUTED_VALUE"""),"AUSTRALIA")</f>
        <v>AUSTRALIA</v>
      </c>
      <c r="C304" s="5" t="str">
        <f>IFERROR(__xludf.DUMMYFUNCTION("""COMPUTED_VALUE"""),"NORMAL")</f>
        <v>NORMAL</v>
      </c>
      <c r="D304" s="5" t="str">
        <f>IFERROR(__xludf.DUMMYFUNCTION("""COMPUTED_VALUE"""),"AIDEN O´NEILL")</f>
        <v>AIDEN O´NEILL</v>
      </c>
      <c r="E304" s="5">
        <f>IFERROR(__xludf.DUMMYFUNCTION("""COMPUTED_VALUE"""),0.0)</f>
        <v>0</v>
      </c>
    </row>
    <row r="305">
      <c r="A305" s="5" t="str">
        <f>IFERROR(__xludf.DUMMYFUNCTION("""COMPUTED_VALUE"""),"AUS15")</f>
        <v>AUS15</v>
      </c>
      <c r="B305" s="5" t="str">
        <f>IFERROR(__xludf.DUMMYFUNCTION("""COMPUTED_VALUE"""),"AUSTRALIA")</f>
        <v>AUSTRALIA</v>
      </c>
      <c r="C305" s="5" t="str">
        <f>IFERROR(__xludf.DUMMYFUNCTION("""COMPUTED_VALUE"""),"NORMAL")</f>
        <v>NORMAL</v>
      </c>
      <c r="D305" s="5" t="str">
        <f>IFERROR(__xludf.DUMMYFUNCTION("""COMPUTED_VALUE"""),"CONNOR METCALFE")</f>
        <v>CONNOR METCALFE</v>
      </c>
      <c r="E305" s="5">
        <f>IFERROR(__xludf.DUMMYFUNCTION("""COMPUTED_VALUE"""),0.0)</f>
        <v>0</v>
      </c>
    </row>
    <row r="306">
      <c r="A306" s="5" t="str">
        <f>IFERROR(__xludf.DUMMYFUNCTION("""COMPUTED_VALUE"""),"AUS16")</f>
        <v>AUS16</v>
      </c>
      <c r="B306" s="5" t="str">
        <f>IFERROR(__xludf.DUMMYFUNCTION("""COMPUTED_VALUE"""),"AUSTRALIA")</f>
        <v>AUSTRALIA</v>
      </c>
      <c r="C306" s="5" t="str">
        <f>IFERROR(__xludf.DUMMYFUNCTION("""COMPUTED_VALUE"""),"NORMAL")</f>
        <v>NORMAL</v>
      </c>
      <c r="D306" s="5" t="str">
        <f>IFERROR(__xludf.DUMMYFUNCTION("""COMPUTED_VALUE"""),"PATRICK YAZBECK")</f>
        <v>PATRICK YAZBECK</v>
      </c>
      <c r="E306" s="5">
        <f>IFERROR(__xludf.DUMMYFUNCTION("""COMPUTED_VALUE"""),0.0)</f>
        <v>0</v>
      </c>
    </row>
    <row r="307">
      <c r="A307" s="5" t="str">
        <f>IFERROR(__xludf.DUMMYFUNCTION("""COMPUTED_VALUE"""),"AUS17")</f>
        <v>AUS17</v>
      </c>
      <c r="B307" s="5" t="str">
        <f>IFERROR(__xludf.DUMMYFUNCTION("""COMPUTED_VALUE"""),"AUSTRALIA")</f>
        <v>AUSTRALIA</v>
      </c>
      <c r="C307" s="5" t="str">
        <f>IFERROR(__xludf.DUMMYFUNCTION("""COMPUTED_VALUE"""),"NORMAL")</f>
        <v>NORMAL</v>
      </c>
      <c r="D307" s="5" t="str">
        <f>IFERROR(__xludf.DUMMYFUNCTION("""COMPUTED_VALUE"""),"CRAIG GOODWIN")</f>
        <v>CRAIG GOODWIN</v>
      </c>
      <c r="E307" s="5">
        <f>IFERROR(__xludf.DUMMYFUNCTION("""COMPUTED_VALUE"""),0.0)</f>
        <v>0</v>
      </c>
    </row>
    <row r="308">
      <c r="A308" s="5" t="str">
        <f>IFERROR(__xludf.DUMMYFUNCTION("""COMPUTED_VALUE"""),"AUS18")</f>
        <v>AUS18</v>
      </c>
      <c r="B308" s="5" t="str">
        <f>IFERROR(__xludf.DUMMYFUNCTION("""COMPUTED_VALUE"""),"AUSTRALIA")</f>
        <v>AUSTRALIA</v>
      </c>
      <c r="C308" s="5" t="str">
        <f>IFERROR(__xludf.DUMMYFUNCTION("""COMPUTED_VALUE"""),"NORMAL")</f>
        <v>NORMAL</v>
      </c>
      <c r="D308" s="5" t="str">
        <f>IFERROR(__xludf.DUMMYFUNCTION("""COMPUTED_VALUE"""),"KUSINI VENGI")</f>
        <v>KUSINI VENGI</v>
      </c>
      <c r="E308" s="5">
        <f>IFERROR(__xludf.DUMMYFUNCTION("""COMPUTED_VALUE"""),0.0)</f>
        <v>0</v>
      </c>
    </row>
    <row r="309">
      <c r="A309" s="5" t="str">
        <f>IFERROR(__xludf.DUMMYFUNCTION("""COMPUTED_VALUE"""),"AUS19")</f>
        <v>AUS19</v>
      </c>
      <c r="B309" s="5" t="str">
        <f>IFERROR(__xludf.DUMMYFUNCTION("""COMPUTED_VALUE"""),"AUSTRALIA")</f>
        <v>AUSTRALIA</v>
      </c>
      <c r="C309" s="5" t="str">
        <f>IFERROR(__xludf.DUMMYFUNCTION("""COMPUTED_VALUE"""),"NORMAL")</f>
        <v>NORMAL</v>
      </c>
      <c r="D309" s="5" t="str">
        <f>IFERROR(__xludf.DUMMYFUNCTION("""COMPUTED_VALUE"""),"NESTORY IRANKUNDA")</f>
        <v>NESTORY IRANKUNDA</v>
      </c>
      <c r="E309" s="5">
        <f>IFERROR(__xludf.DUMMYFUNCTION("""COMPUTED_VALUE"""),0.0)</f>
        <v>0</v>
      </c>
    </row>
    <row r="310">
      <c r="A310" s="5" t="str">
        <f>IFERROR(__xludf.DUMMYFUNCTION("""COMPUTED_VALUE"""),"AUS20")</f>
        <v>AUS20</v>
      </c>
      <c r="B310" s="5" t="str">
        <f>IFERROR(__xludf.DUMMYFUNCTION("""COMPUTED_VALUE"""),"AUSTRALIA")</f>
        <v>AUSTRALIA</v>
      </c>
      <c r="C310" s="5" t="str">
        <f>IFERROR(__xludf.DUMMYFUNCTION("""COMPUTED_VALUE"""),"NORMAL")</f>
        <v>NORMAL</v>
      </c>
      <c r="D310" s="5" t="str">
        <f>IFERROR(__xludf.DUMMYFUNCTION("""COMPUTED_VALUE"""),"MOHAMED TOURE")</f>
        <v>MOHAMED TOURE</v>
      </c>
      <c r="E310" s="5">
        <f>IFERROR(__xludf.DUMMYFUNCTION("""COMPUTED_VALUE"""),0.0)</f>
        <v>0</v>
      </c>
    </row>
    <row r="311">
      <c r="A311" s="5" t="str">
        <f>IFERROR(__xludf.DUMMYFUNCTION("""COMPUTED_VALUE"""),"TUR01")</f>
        <v>TUR01</v>
      </c>
      <c r="B311" s="5" t="str">
        <f>IFERROR(__xludf.DUMMYFUNCTION("""COMPUTED_VALUE"""),"TURKEY")</f>
        <v>TURKEY</v>
      </c>
      <c r="C311" s="5" t="str">
        <f>IFERROR(__xludf.DUMMYFUNCTION("""COMPUTED_VALUE"""),"BADGE")</f>
        <v>BADGE</v>
      </c>
      <c r="D311" s="5" t="str">
        <f>IFERROR(__xludf.DUMMYFUNCTION("""COMPUTED_VALUE"""),"TURKEY NATIONAL TEAM")</f>
        <v>TURKEY NATIONAL TEAM</v>
      </c>
      <c r="E311" s="5">
        <f>IFERROR(__xludf.DUMMYFUNCTION("""COMPUTED_VALUE"""),0.0)</f>
        <v>0</v>
      </c>
    </row>
    <row r="312">
      <c r="A312" s="5" t="str">
        <f>IFERROR(__xludf.DUMMYFUNCTION("""COMPUTED_VALUE"""),"TUR02")</f>
        <v>TUR02</v>
      </c>
      <c r="B312" s="5" t="str">
        <f>IFERROR(__xludf.DUMMYFUNCTION("""COMPUTED_VALUE"""),"TURKEY")</f>
        <v>TURKEY</v>
      </c>
      <c r="C312" s="5" t="str">
        <f>IFERROR(__xludf.DUMMYFUNCTION("""COMPUTED_VALUE"""),"NORMAL")</f>
        <v>NORMAL</v>
      </c>
      <c r="D312" s="5" t="str">
        <f>IFERROR(__xludf.DUMMYFUNCTION("""COMPUTED_VALUE"""),"UGURCAN CAKIR")</f>
        <v>UGURCAN CAKIR</v>
      </c>
      <c r="E312" s="5">
        <f>IFERROR(__xludf.DUMMYFUNCTION("""COMPUTED_VALUE"""),0.0)</f>
        <v>0</v>
      </c>
    </row>
    <row r="313">
      <c r="A313" s="5" t="str">
        <f>IFERROR(__xludf.DUMMYFUNCTION("""COMPUTED_VALUE"""),"TUR03")</f>
        <v>TUR03</v>
      </c>
      <c r="B313" s="5" t="str">
        <f>IFERROR(__xludf.DUMMYFUNCTION("""COMPUTED_VALUE"""),"TURKEY")</f>
        <v>TURKEY</v>
      </c>
      <c r="C313" s="5" t="str">
        <f>IFERROR(__xludf.DUMMYFUNCTION("""COMPUTED_VALUE"""),"NORMAL")</f>
        <v>NORMAL</v>
      </c>
      <c r="D313" s="5" t="str">
        <f>IFERROR(__xludf.DUMMYFUNCTION("""COMPUTED_VALUE"""),"MERT MULDUR")</f>
        <v>MERT MULDUR</v>
      </c>
      <c r="E313" s="5">
        <f>IFERROR(__xludf.DUMMYFUNCTION("""COMPUTED_VALUE"""),0.0)</f>
        <v>0</v>
      </c>
    </row>
    <row r="314">
      <c r="A314" s="5" t="str">
        <f>IFERROR(__xludf.DUMMYFUNCTION("""COMPUTED_VALUE"""),"TUR04")</f>
        <v>TUR04</v>
      </c>
      <c r="B314" s="5" t="str">
        <f>IFERROR(__xludf.DUMMYFUNCTION("""COMPUTED_VALUE"""),"TURKEY")</f>
        <v>TURKEY</v>
      </c>
      <c r="C314" s="5" t="str">
        <f>IFERROR(__xludf.DUMMYFUNCTION("""COMPUTED_VALUE"""),"NORMAL")</f>
        <v>NORMAL</v>
      </c>
      <c r="D314" s="5" t="str">
        <f>IFERROR(__xludf.DUMMYFUNCTION("""COMPUTED_VALUE"""),"ZEKI CELIK")</f>
        <v>ZEKI CELIK</v>
      </c>
      <c r="E314" s="5">
        <f>IFERROR(__xludf.DUMMYFUNCTION("""COMPUTED_VALUE"""),0.0)</f>
        <v>0</v>
      </c>
    </row>
    <row r="315">
      <c r="A315" s="5" t="str">
        <f>IFERROR(__xludf.DUMMYFUNCTION("""COMPUTED_VALUE"""),"TUR05")</f>
        <v>TUR05</v>
      </c>
      <c r="B315" s="5" t="str">
        <f>IFERROR(__xludf.DUMMYFUNCTION("""COMPUTED_VALUE"""),"TURKEY")</f>
        <v>TURKEY</v>
      </c>
      <c r="C315" s="5" t="str">
        <f>IFERROR(__xludf.DUMMYFUNCTION("""COMPUTED_VALUE"""),"NORMAL")</f>
        <v>NORMAL</v>
      </c>
      <c r="D315" s="5" t="str">
        <f>IFERROR(__xludf.DUMMYFUNCTION("""COMPUTED_VALUE"""),"ABDULKERIM BARDAKCI")</f>
        <v>ABDULKERIM BARDAKCI</v>
      </c>
      <c r="E315" s="5">
        <f>IFERROR(__xludf.DUMMYFUNCTION("""COMPUTED_VALUE"""),0.0)</f>
        <v>0</v>
      </c>
    </row>
    <row r="316">
      <c r="A316" s="5" t="str">
        <f>IFERROR(__xludf.DUMMYFUNCTION("""COMPUTED_VALUE"""),"TUR06")</f>
        <v>TUR06</v>
      </c>
      <c r="B316" s="5" t="str">
        <f>IFERROR(__xludf.DUMMYFUNCTION("""COMPUTED_VALUE"""),"TURKEY")</f>
        <v>TURKEY</v>
      </c>
      <c r="C316" s="5" t="str">
        <f>IFERROR(__xludf.DUMMYFUNCTION("""COMPUTED_VALUE"""),"NORMAL")</f>
        <v>NORMAL</v>
      </c>
      <c r="D316" s="5" t="str">
        <f>IFERROR(__xludf.DUMMYFUNCTION("""COMPUTED_VALUE"""),"CAGLAR SOYUNCU")</f>
        <v>CAGLAR SOYUNCU</v>
      </c>
      <c r="E316" s="5">
        <f>IFERROR(__xludf.DUMMYFUNCTION("""COMPUTED_VALUE"""),0.0)</f>
        <v>0</v>
      </c>
    </row>
    <row r="317">
      <c r="A317" s="5" t="str">
        <f>IFERROR(__xludf.DUMMYFUNCTION("""COMPUTED_VALUE"""),"TUR07")</f>
        <v>TUR07</v>
      </c>
      <c r="B317" s="5" t="str">
        <f>IFERROR(__xludf.DUMMYFUNCTION("""COMPUTED_VALUE"""),"TURKEY")</f>
        <v>TURKEY</v>
      </c>
      <c r="C317" s="5" t="str">
        <f>IFERROR(__xludf.DUMMYFUNCTION("""COMPUTED_VALUE"""),"NORMAL")</f>
        <v>NORMAL</v>
      </c>
      <c r="D317" s="5" t="str">
        <f>IFERROR(__xludf.DUMMYFUNCTION("""COMPUTED_VALUE"""),"MERIH DEMIRAL")</f>
        <v>MERIH DEMIRAL</v>
      </c>
      <c r="E317" s="5">
        <f>IFERROR(__xludf.DUMMYFUNCTION("""COMPUTED_VALUE"""),0.0)</f>
        <v>0</v>
      </c>
    </row>
    <row r="318">
      <c r="A318" s="5" t="str">
        <f>IFERROR(__xludf.DUMMYFUNCTION("""COMPUTED_VALUE"""),"TUR08")</f>
        <v>TUR08</v>
      </c>
      <c r="B318" s="5" t="str">
        <f>IFERROR(__xludf.DUMMYFUNCTION("""COMPUTED_VALUE"""),"TURKEY")</f>
        <v>TURKEY</v>
      </c>
      <c r="C318" s="5" t="str">
        <f>IFERROR(__xludf.DUMMYFUNCTION("""COMPUTED_VALUE"""),"NORMAL")</f>
        <v>NORMAL</v>
      </c>
      <c r="D318" s="5" t="str">
        <f>IFERROR(__xludf.DUMMYFUNCTION("""COMPUTED_VALUE"""),"FERDI KADIOGLU")</f>
        <v>FERDI KADIOGLU</v>
      </c>
      <c r="E318" s="5">
        <f>IFERROR(__xludf.DUMMYFUNCTION("""COMPUTED_VALUE"""),0.0)</f>
        <v>0</v>
      </c>
    </row>
    <row r="319">
      <c r="A319" s="5" t="str">
        <f>IFERROR(__xludf.DUMMYFUNCTION("""COMPUTED_VALUE"""),"TUR09")</f>
        <v>TUR09</v>
      </c>
      <c r="B319" s="5" t="str">
        <f>IFERROR(__xludf.DUMMYFUNCTION("""COMPUTED_VALUE"""),"TURKEY")</f>
        <v>TURKEY</v>
      </c>
      <c r="C319" s="5" t="str">
        <f>IFERROR(__xludf.DUMMYFUNCTION("""COMPUTED_VALUE"""),"NORMAL")</f>
        <v>NORMAL</v>
      </c>
      <c r="D319" s="5" t="str">
        <f>IFERROR(__xludf.DUMMYFUNCTION("""COMPUTED_VALUE"""),"KAAN AYHAN")</f>
        <v>KAAN AYHAN</v>
      </c>
      <c r="E319" s="5">
        <f>IFERROR(__xludf.DUMMYFUNCTION("""COMPUTED_VALUE"""),0.0)</f>
        <v>0</v>
      </c>
    </row>
    <row r="320">
      <c r="A320" s="5" t="str">
        <f>IFERROR(__xludf.DUMMYFUNCTION("""COMPUTED_VALUE"""),"TUR10")</f>
        <v>TUR10</v>
      </c>
      <c r="B320" s="5" t="str">
        <f>IFERROR(__xludf.DUMMYFUNCTION("""COMPUTED_VALUE"""),"TURKEY")</f>
        <v>TURKEY</v>
      </c>
      <c r="C320" s="5" t="str">
        <f>IFERROR(__xludf.DUMMYFUNCTION("""COMPUTED_VALUE"""),"NORMAL")</f>
        <v>NORMAL</v>
      </c>
      <c r="D320" s="5" t="str">
        <f>IFERROR(__xludf.DUMMYFUNCTION("""COMPUTED_VALUE"""),"ISMAIL YUKSEK")</f>
        <v>ISMAIL YUKSEK</v>
      </c>
      <c r="E320" s="5">
        <f>IFERROR(__xludf.DUMMYFUNCTION("""COMPUTED_VALUE"""),0.0)</f>
        <v>0</v>
      </c>
    </row>
    <row r="321">
      <c r="A321" s="5" t="str">
        <f>IFERROR(__xludf.DUMMYFUNCTION("""COMPUTED_VALUE"""),"TUR11")</f>
        <v>TUR11</v>
      </c>
      <c r="B321" s="5" t="str">
        <f>IFERROR(__xludf.DUMMYFUNCTION("""COMPUTED_VALUE"""),"TURKEY")</f>
        <v>TURKEY</v>
      </c>
      <c r="C321" s="5" t="str">
        <f>IFERROR(__xludf.DUMMYFUNCTION("""COMPUTED_VALUE"""),"NORMAL")</f>
        <v>NORMAL</v>
      </c>
      <c r="D321" s="5" t="str">
        <f>IFERROR(__xludf.DUMMYFUNCTION("""COMPUTED_VALUE"""),"HAKAN CALHANOGLU")</f>
        <v>HAKAN CALHANOGLU</v>
      </c>
      <c r="E321" s="5">
        <f>IFERROR(__xludf.DUMMYFUNCTION("""COMPUTED_VALUE"""),0.0)</f>
        <v>0</v>
      </c>
    </row>
    <row r="322">
      <c r="A322" s="5" t="str">
        <f>IFERROR(__xludf.DUMMYFUNCTION("""COMPUTED_VALUE"""),"TUR12")</f>
        <v>TUR12</v>
      </c>
      <c r="B322" s="5" t="str">
        <f>IFERROR(__xludf.DUMMYFUNCTION("""COMPUTED_VALUE"""),"TURKEY")</f>
        <v>TURKEY</v>
      </c>
      <c r="C322" s="5" t="str">
        <f>IFERROR(__xludf.DUMMYFUNCTION("""COMPUTED_VALUE"""),"NORMAL")</f>
        <v>NORMAL</v>
      </c>
      <c r="D322" s="5" t="str">
        <f>IFERROR(__xludf.DUMMYFUNCTION("""COMPUTED_VALUE"""),"ORKUN KOKCU")</f>
        <v>ORKUN KOKCU</v>
      </c>
      <c r="E322" s="5">
        <f>IFERROR(__xludf.DUMMYFUNCTION("""COMPUTED_VALUE"""),0.0)</f>
        <v>0</v>
      </c>
    </row>
    <row r="323">
      <c r="A323" s="5" t="str">
        <f>IFERROR(__xludf.DUMMYFUNCTION("""COMPUTED_VALUE"""),"TUR13")</f>
        <v>TUR13</v>
      </c>
      <c r="B323" s="5" t="str">
        <f>IFERROR(__xludf.DUMMYFUNCTION("""COMPUTED_VALUE"""),"TURKEY")</f>
        <v>TURKEY</v>
      </c>
      <c r="C323" s="5" t="str">
        <f>IFERROR(__xludf.DUMMYFUNCTION("""COMPUTED_VALUE"""),"TEAM")</f>
        <v>TEAM</v>
      </c>
      <c r="D323" s="5" t="str">
        <f>IFERROR(__xludf.DUMMYFUNCTION("""COMPUTED_VALUE"""),"TURKEY NATIONAL TEAM")</f>
        <v>TURKEY NATIONAL TEAM</v>
      </c>
      <c r="E323" s="5">
        <f>IFERROR(__xludf.DUMMYFUNCTION("""COMPUTED_VALUE"""),0.0)</f>
        <v>0</v>
      </c>
    </row>
    <row r="324">
      <c r="A324" s="5" t="str">
        <f>IFERROR(__xludf.DUMMYFUNCTION("""COMPUTED_VALUE"""),"TUR14")</f>
        <v>TUR14</v>
      </c>
      <c r="B324" s="5" t="str">
        <f>IFERROR(__xludf.DUMMYFUNCTION("""COMPUTED_VALUE"""),"TURKEY")</f>
        <v>TURKEY</v>
      </c>
      <c r="C324" s="5" t="str">
        <f>IFERROR(__xludf.DUMMYFUNCTION("""COMPUTED_VALUE"""),"NORMAL")</f>
        <v>NORMAL</v>
      </c>
      <c r="D324" s="5" t="str">
        <f>IFERROR(__xludf.DUMMYFUNCTION("""COMPUTED_VALUE"""),"ARDA GULER")</f>
        <v>ARDA GULER</v>
      </c>
      <c r="E324" s="5">
        <f>IFERROR(__xludf.DUMMYFUNCTION("""COMPUTED_VALUE"""),0.0)</f>
        <v>0</v>
      </c>
    </row>
    <row r="325">
      <c r="A325" s="5" t="str">
        <f>IFERROR(__xludf.DUMMYFUNCTION("""COMPUTED_VALUE"""),"TUR15")</f>
        <v>TUR15</v>
      </c>
      <c r="B325" s="5" t="str">
        <f>IFERROR(__xludf.DUMMYFUNCTION("""COMPUTED_VALUE"""),"TURKEY")</f>
        <v>TURKEY</v>
      </c>
      <c r="C325" s="5" t="str">
        <f>IFERROR(__xludf.DUMMYFUNCTION("""COMPUTED_VALUE"""),"NORMAL")</f>
        <v>NORMAL</v>
      </c>
      <c r="D325" s="5" t="str">
        <f>IFERROR(__xludf.DUMMYFUNCTION("""COMPUTED_VALUE"""),"IRFAN CAN KAHVECI")</f>
        <v>IRFAN CAN KAHVECI</v>
      </c>
      <c r="E325" s="5">
        <f>IFERROR(__xludf.DUMMYFUNCTION("""COMPUTED_VALUE"""),0.0)</f>
        <v>0</v>
      </c>
    </row>
    <row r="326">
      <c r="A326" s="5" t="str">
        <f>IFERROR(__xludf.DUMMYFUNCTION("""COMPUTED_VALUE"""),"TUR16")</f>
        <v>TUR16</v>
      </c>
      <c r="B326" s="5" t="str">
        <f>IFERROR(__xludf.DUMMYFUNCTION("""COMPUTED_VALUE"""),"TURKEY")</f>
        <v>TURKEY</v>
      </c>
      <c r="C326" s="5" t="str">
        <f>IFERROR(__xludf.DUMMYFUNCTION("""COMPUTED_VALUE"""),"NORMAL")</f>
        <v>NORMAL</v>
      </c>
      <c r="D326" s="5" t="str">
        <f>IFERROR(__xludf.DUMMYFUNCTION("""COMPUTED_VALUE"""),"YUNUS AKGUN")</f>
        <v>YUNUS AKGUN</v>
      </c>
      <c r="E326" s="5">
        <f>IFERROR(__xludf.DUMMYFUNCTION("""COMPUTED_VALUE"""),0.0)</f>
        <v>0</v>
      </c>
    </row>
    <row r="327">
      <c r="A327" s="5" t="str">
        <f>IFERROR(__xludf.DUMMYFUNCTION("""COMPUTED_VALUE"""),"TUR17")</f>
        <v>TUR17</v>
      </c>
      <c r="B327" s="5" t="str">
        <f>IFERROR(__xludf.DUMMYFUNCTION("""COMPUTED_VALUE"""),"TURKEY")</f>
        <v>TURKEY</v>
      </c>
      <c r="C327" s="5" t="str">
        <f>IFERROR(__xludf.DUMMYFUNCTION("""COMPUTED_VALUE"""),"NORMAL")</f>
        <v>NORMAL</v>
      </c>
      <c r="D327" s="5" t="str">
        <f>IFERROR(__xludf.DUMMYFUNCTION("""COMPUTED_VALUE"""),"CAN UZUN")</f>
        <v>CAN UZUN</v>
      </c>
      <c r="E327" s="5">
        <f>IFERROR(__xludf.DUMMYFUNCTION("""COMPUTED_VALUE"""),0.0)</f>
        <v>0</v>
      </c>
    </row>
    <row r="328">
      <c r="A328" s="5" t="str">
        <f>IFERROR(__xludf.DUMMYFUNCTION("""COMPUTED_VALUE"""),"TUR18")</f>
        <v>TUR18</v>
      </c>
      <c r="B328" s="5" t="str">
        <f>IFERROR(__xludf.DUMMYFUNCTION("""COMPUTED_VALUE"""),"TURKEY")</f>
        <v>TURKEY</v>
      </c>
      <c r="C328" s="5" t="str">
        <f>IFERROR(__xludf.DUMMYFUNCTION("""COMPUTED_VALUE"""),"NORMAL")</f>
        <v>NORMAL</v>
      </c>
      <c r="D328" s="5" t="str">
        <f>IFERROR(__xludf.DUMMYFUNCTION("""COMPUTED_VALUE"""),"BARIS ALPER YILMAZ")</f>
        <v>BARIS ALPER YILMAZ</v>
      </c>
      <c r="E328" s="5">
        <f>IFERROR(__xludf.DUMMYFUNCTION("""COMPUTED_VALUE"""),0.0)</f>
        <v>0</v>
      </c>
    </row>
    <row r="329">
      <c r="A329" s="5" t="str">
        <f>IFERROR(__xludf.DUMMYFUNCTION("""COMPUTED_VALUE"""),"TUR19")</f>
        <v>TUR19</v>
      </c>
      <c r="B329" s="5" t="str">
        <f>IFERROR(__xludf.DUMMYFUNCTION("""COMPUTED_VALUE"""),"TURKEY")</f>
        <v>TURKEY</v>
      </c>
      <c r="C329" s="5" t="str">
        <f>IFERROR(__xludf.DUMMYFUNCTION("""COMPUTED_VALUE"""),"NORMAL")</f>
        <v>NORMAL</v>
      </c>
      <c r="D329" s="5" t="str">
        <f>IFERROR(__xludf.DUMMYFUNCTION("""COMPUTED_VALUE"""),"KEREM AKTURKOGLU")</f>
        <v>KEREM AKTURKOGLU</v>
      </c>
      <c r="E329" s="5">
        <f>IFERROR(__xludf.DUMMYFUNCTION("""COMPUTED_VALUE"""),0.0)</f>
        <v>0</v>
      </c>
    </row>
    <row r="330">
      <c r="A330" s="5" t="str">
        <f>IFERROR(__xludf.DUMMYFUNCTION("""COMPUTED_VALUE"""),"TUR20")</f>
        <v>TUR20</v>
      </c>
      <c r="B330" s="5" t="str">
        <f>IFERROR(__xludf.DUMMYFUNCTION("""COMPUTED_VALUE"""),"TURKEY")</f>
        <v>TURKEY</v>
      </c>
      <c r="C330" s="5" t="str">
        <f>IFERROR(__xludf.DUMMYFUNCTION("""COMPUTED_VALUE"""),"NORMAL")</f>
        <v>NORMAL</v>
      </c>
      <c r="D330" s="5" t="str">
        <f>IFERROR(__xludf.DUMMYFUNCTION("""COMPUTED_VALUE"""),"KENAN YILDIZ")</f>
        <v>KENAN YILDIZ</v>
      </c>
      <c r="E330" s="5">
        <f>IFERROR(__xludf.DUMMYFUNCTION("""COMPUTED_VALUE"""),0.0)</f>
        <v>0</v>
      </c>
    </row>
    <row r="331">
      <c r="A331" s="5" t="str">
        <f>IFERROR(__xludf.DUMMYFUNCTION("""COMPUTED_VALUE"""),"GER01")</f>
        <v>GER01</v>
      </c>
      <c r="B331" s="5" t="str">
        <f>IFERROR(__xludf.DUMMYFUNCTION("""COMPUTED_VALUE"""),"GERMANY")</f>
        <v>GERMANY</v>
      </c>
      <c r="C331" s="5" t="str">
        <f>IFERROR(__xludf.DUMMYFUNCTION("""COMPUTED_VALUE"""),"BADGE")</f>
        <v>BADGE</v>
      </c>
      <c r="D331" s="5" t="str">
        <f>IFERROR(__xludf.DUMMYFUNCTION("""COMPUTED_VALUE"""),"GERMANY NATIONAL TEAM")</f>
        <v>GERMANY NATIONAL TEAM</v>
      </c>
      <c r="E331" s="5">
        <f>IFERROR(__xludf.DUMMYFUNCTION("""COMPUTED_VALUE"""),0.0)</f>
        <v>0</v>
      </c>
    </row>
    <row r="332">
      <c r="A332" s="5" t="str">
        <f>IFERROR(__xludf.DUMMYFUNCTION("""COMPUTED_VALUE"""),"GER02")</f>
        <v>GER02</v>
      </c>
      <c r="B332" s="5" t="str">
        <f>IFERROR(__xludf.DUMMYFUNCTION("""COMPUTED_VALUE"""),"GERMANY")</f>
        <v>GERMANY</v>
      </c>
      <c r="C332" s="5" t="str">
        <f>IFERROR(__xludf.DUMMYFUNCTION("""COMPUTED_VALUE"""),"NORMAL")</f>
        <v>NORMAL</v>
      </c>
      <c r="D332" s="5" t="str">
        <f>IFERROR(__xludf.DUMMYFUNCTION("""COMPUTED_VALUE"""),"MARC-ANDRE TER STEGEN")</f>
        <v>MARC-ANDRE TER STEGEN</v>
      </c>
      <c r="E332" s="5">
        <f>IFERROR(__xludf.DUMMYFUNCTION("""COMPUTED_VALUE"""),0.0)</f>
        <v>0</v>
      </c>
    </row>
    <row r="333">
      <c r="A333" s="5" t="str">
        <f>IFERROR(__xludf.DUMMYFUNCTION("""COMPUTED_VALUE"""),"GER03")</f>
        <v>GER03</v>
      </c>
      <c r="B333" s="5" t="str">
        <f>IFERROR(__xludf.DUMMYFUNCTION("""COMPUTED_VALUE"""),"GERMANY")</f>
        <v>GERMANY</v>
      </c>
      <c r="C333" s="5" t="str">
        <f>IFERROR(__xludf.DUMMYFUNCTION("""COMPUTED_VALUE"""),"NORMAL")</f>
        <v>NORMAL</v>
      </c>
      <c r="D333" s="5" t="str">
        <f>IFERROR(__xludf.DUMMYFUNCTION("""COMPUTED_VALUE"""),"JONATHAN TAH")</f>
        <v>JONATHAN TAH</v>
      </c>
      <c r="E333" s="5">
        <f>IFERROR(__xludf.DUMMYFUNCTION("""COMPUTED_VALUE"""),0.0)</f>
        <v>0</v>
      </c>
    </row>
    <row r="334">
      <c r="A334" s="5" t="str">
        <f>IFERROR(__xludf.DUMMYFUNCTION("""COMPUTED_VALUE"""),"GER04")</f>
        <v>GER04</v>
      </c>
      <c r="B334" s="5" t="str">
        <f>IFERROR(__xludf.DUMMYFUNCTION("""COMPUTED_VALUE"""),"GERMANY")</f>
        <v>GERMANY</v>
      </c>
      <c r="C334" s="5" t="str">
        <f>IFERROR(__xludf.DUMMYFUNCTION("""COMPUTED_VALUE"""),"NORMAL")</f>
        <v>NORMAL</v>
      </c>
      <c r="D334" s="5" t="str">
        <f>IFERROR(__xludf.DUMMYFUNCTION("""COMPUTED_VALUE"""),"DAIVD RAUM")</f>
        <v>DAIVD RAUM</v>
      </c>
      <c r="E334" s="5">
        <f>IFERROR(__xludf.DUMMYFUNCTION("""COMPUTED_VALUE"""),0.0)</f>
        <v>0</v>
      </c>
    </row>
    <row r="335">
      <c r="A335" s="5" t="str">
        <f>IFERROR(__xludf.DUMMYFUNCTION("""COMPUTED_VALUE"""),"GER05")</f>
        <v>GER05</v>
      </c>
      <c r="B335" s="5" t="str">
        <f>IFERROR(__xludf.DUMMYFUNCTION("""COMPUTED_VALUE"""),"GERMANY")</f>
        <v>GERMANY</v>
      </c>
      <c r="C335" s="5" t="str">
        <f>IFERROR(__xludf.DUMMYFUNCTION("""COMPUTED_VALUE"""),"NORMAL")</f>
        <v>NORMAL</v>
      </c>
      <c r="D335" s="5" t="str">
        <f>IFERROR(__xludf.DUMMYFUNCTION("""COMPUTED_VALUE"""),"NICO SCHLOTTERBECK")</f>
        <v>NICO SCHLOTTERBECK</v>
      </c>
      <c r="E335" s="5">
        <f>IFERROR(__xludf.DUMMYFUNCTION("""COMPUTED_VALUE"""),0.0)</f>
        <v>0</v>
      </c>
    </row>
    <row r="336">
      <c r="A336" s="5" t="str">
        <f>IFERROR(__xludf.DUMMYFUNCTION("""COMPUTED_VALUE"""),"GER06")</f>
        <v>GER06</v>
      </c>
      <c r="B336" s="5" t="str">
        <f>IFERROR(__xludf.DUMMYFUNCTION("""COMPUTED_VALUE"""),"GERMANY")</f>
        <v>GERMANY</v>
      </c>
      <c r="C336" s="5" t="str">
        <f>IFERROR(__xludf.DUMMYFUNCTION("""COMPUTED_VALUE"""),"NORMAL")</f>
        <v>NORMAL</v>
      </c>
      <c r="D336" s="5" t="str">
        <f>IFERROR(__xludf.DUMMYFUNCTION("""COMPUTED_VALUE"""),"ANTONIO RUDIGER")</f>
        <v>ANTONIO RUDIGER</v>
      </c>
      <c r="E336" s="5">
        <f>IFERROR(__xludf.DUMMYFUNCTION("""COMPUTED_VALUE"""),0.0)</f>
        <v>0</v>
      </c>
    </row>
    <row r="337">
      <c r="A337" s="5" t="str">
        <f>IFERROR(__xludf.DUMMYFUNCTION("""COMPUTED_VALUE"""),"GER07")</f>
        <v>GER07</v>
      </c>
      <c r="B337" s="5" t="str">
        <f>IFERROR(__xludf.DUMMYFUNCTION("""COMPUTED_VALUE"""),"GERMANY")</f>
        <v>GERMANY</v>
      </c>
      <c r="C337" s="5" t="str">
        <f>IFERROR(__xludf.DUMMYFUNCTION("""COMPUTED_VALUE"""),"NORMAL")</f>
        <v>NORMAL</v>
      </c>
      <c r="D337" s="5" t="str">
        <f>IFERROR(__xludf.DUMMYFUNCTION("""COMPUTED_VALUE"""),"WALDEMAR ANTON")</f>
        <v>WALDEMAR ANTON</v>
      </c>
      <c r="E337" s="5">
        <f>IFERROR(__xludf.DUMMYFUNCTION("""COMPUTED_VALUE"""),0.0)</f>
        <v>0</v>
      </c>
    </row>
    <row r="338">
      <c r="A338" s="5" t="str">
        <f>IFERROR(__xludf.DUMMYFUNCTION("""COMPUTED_VALUE"""),"GER08")</f>
        <v>GER08</v>
      </c>
      <c r="B338" s="5" t="str">
        <f>IFERROR(__xludf.DUMMYFUNCTION("""COMPUTED_VALUE"""),"GERMANY")</f>
        <v>GERMANY</v>
      </c>
      <c r="C338" s="5" t="str">
        <f>IFERROR(__xludf.DUMMYFUNCTION("""COMPUTED_VALUE"""),"NORMAL")</f>
        <v>NORMAL</v>
      </c>
      <c r="D338" s="5" t="str">
        <f>IFERROR(__xludf.DUMMYFUNCTION("""COMPUTED_VALUE"""),"RIDLE BAKU")</f>
        <v>RIDLE BAKU</v>
      </c>
      <c r="E338" s="5">
        <f>IFERROR(__xludf.DUMMYFUNCTION("""COMPUTED_VALUE"""),0.0)</f>
        <v>0</v>
      </c>
    </row>
    <row r="339">
      <c r="A339" s="5" t="str">
        <f>IFERROR(__xludf.DUMMYFUNCTION("""COMPUTED_VALUE"""),"GER09")</f>
        <v>GER09</v>
      </c>
      <c r="B339" s="5" t="str">
        <f>IFERROR(__xludf.DUMMYFUNCTION("""COMPUTED_VALUE"""),"GERMANY")</f>
        <v>GERMANY</v>
      </c>
      <c r="C339" s="5" t="str">
        <f>IFERROR(__xludf.DUMMYFUNCTION("""COMPUTED_VALUE"""),"NORMAL")</f>
        <v>NORMAL</v>
      </c>
      <c r="D339" s="5" t="str">
        <f>IFERROR(__xludf.DUMMYFUNCTION("""COMPUTED_VALUE"""),"MAXIMILIAN MITTELSTADT")</f>
        <v>MAXIMILIAN MITTELSTADT</v>
      </c>
      <c r="E339" s="5">
        <f>IFERROR(__xludf.DUMMYFUNCTION("""COMPUTED_VALUE"""),0.0)</f>
        <v>0</v>
      </c>
    </row>
    <row r="340">
      <c r="A340" s="5" t="str">
        <f>IFERROR(__xludf.DUMMYFUNCTION("""COMPUTED_VALUE"""),"GER10")</f>
        <v>GER10</v>
      </c>
      <c r="B340" s="5" t="str">
        <f>IFERROR(__xludf.DUMMYFUNCTION("""COMPUTED_VALUE"""),"GERMANY")</f>
        <v>GERMANY</v>
      </c>
      <c r="C340" s="5" t="str">
        <f>IFERROR(__xludf.DUMMYFUNCTION("""COMPUTED_VALUE"""),"NORMAL")</f>
        <v>NORMAL</v>
      </c>
      <c r="D340" s="5" t="str">
        <f>IFERROR(__xludf.DUMMYFUNCTION("""COMPUTED_VALUE"""),"JOSHUA KIMMICH")</f>
        <v>JOSHUA KIMMICH</v>
      </c>
      <c r="E340" s="5">
        <f>IFERROR(__xludf.DUMMYFUNCTION("""COMPUTED_VALUE"""),0.0)</f>
        <v>0</v>
      </c>
    </row>
    <row r="341">
      <c r="A341" s="5" t="str">
        <f>IFERROR(__xludf.DUMMYFUNCTION("""COMPUTED_VALUE"""),"GER11")</f>
        <v>GER11</v>
      </c>
      <c r="B341" s="5" t="str">
        <f>IFERROR(__xludf.DUMMYFUNCTION("""COMPUTED_VALUE"""),"GERMANY")</f>
        <v>GERMANY</v>
      </c>
      <c r="C341" s="5" t="str">
        <f>IFERROR(__xludf.DUMMYFUNCTION("""COMPUTED_VALUE"""),"NORMAL")</f>
        <v>NORMAL</v>
      </c>
      <c r="D341" s="5" t="str">
        <f>IFERROR(__xludf.DUMMYFUNCTION("""COMPUTED_VALUE"""),"FLORIAN WIRTZ")</f>
        <v>FLORIAN WIRTZ</v>
      </c>
      <c r="E341" s="5">
        <f>IFERROR(__xludf.DUMMYFUNCTION("""COMPUTED_VALUE"""),0.0)</f>
        <v>0</v>
      </c>
    </row>
    <row r="342">
      <c r="A342" s="5" t="str">
        <f>IFERROR(__xludf.DUMMYFUNCTION("""COMPUTED_VALUE"""),"GER12")</f>
        <v>GER12</v>
      </c>
      <c r="B342" s="5" t="str">
        <f>IFERROR(__xludf.DUMMYFUNCTION("""COMPUTED_VALUE"""),"GERMANY")</f>
        <v>GERMANY</v>
      </c>
      <c r="C342" s="5" t="str">
        <f>IFERROR(__xludf.DUMMYFUNCTION("""COMPUTED_VALUE"""),"NORMAL")</f>
        <v>NORMAL</v>
      </c>
      <c r="D342" s="5" t="str">
        <f>IFERROR(__xludf.DUMMYFUNCTION("""COMPUTED_VALUE"""),"FELIZ NMECHA")</f>
        <v>FELIZ NMECHA</v>
      </c>
      <c r="E342" s="5">
        <f>IFERROR(__xludf.DUMMYFUNCTION("""COMPUTED_VALUE"""),0.0)</f>
        <v>0</v>
      </c>
    </row>
    <row r="343">
      <c r="A343" s="5" t="str">
        <f>IFERROR(__xludf.DUMMYFUNCTION("""COMPUTED_VALUE"""),"GER13")</f>
        <v>GER13</v>
      </c>
      <c r="B343" s="5" t="str">
        <f>IFERROR(__xludf.DUMMYFUNCTION("""COMPUTED_VALUE"""),"GERMANY")</f>
        <v>GERMANY</v>
      </c>
      <c r="C343" s="5" t="str">
        <f>IFERROR(__xludf.DUMMYFUNCTION("""COMPUTED_VALUE"""),"TEAM")</f>
        <v>TEAM</v>
      </c>
      <c r="D343" s="5" t="str">
        <f>IFERROR(__xludf.DUMMYFUNCTION("""COMPUTED_VALUE"""),"GERMANY NATIONAL TEAM")</f>
        <v>GERMANY NATIONAL TEAM</v>
      </c>
      <c r="E343" s="5">
        <f>IFERROR(__xludf.DUMMYFUNCTION("""COMPUTED_VALUE"""),0.0)</f>
        <v>0</v>
      </c>
    </row>
    <row r="344">
      <c r="A344" s="5" t="str">
        <f>IFERROR(__xludf.DUMMYFUNCTION("""COMPUTED_VALUE"""),"GER14")</f>
        <v>GER14</v>
      </c>
      <c r="B344" s="5" t="str">
        <f>IFERROR(__xludf.DUMMYFUNCTION("""COMPUTED_VALUE"""),"GERMANY")</f>
        <v>GERMANY</v>
      </c>
      <c r="C344" s="5" t="str">
        <f>IFERROR(__xludf.DUMMYFUNCTION("""COMPUTED_VALUE"""),"NORMAL")</f>
        <v>NORMAL</v>
      </c>
      <c r="D344" s="5" t="str">
        <f>IFERROR(__xludf.DUMMYFUNCTION("""COMPUTED_VALUE"""),"LEON GORETZKA")</f>
        <v>LEON GORETZKA</v>
      </c>
      <c r="E344" s="5">
        <f>IFERROR(__xludf.DUMMYFUNCTION("""COMPUTED_VALUE"""),0.0)</f>
        <v>0</v>
      </c>
    </row>
    <row r="345">
      <c r="A345" s="5" t="str">
        <f>IFERROR(__xludf.DUMMYFUNCTION("""COMPUTED_VALUE"""),"GER15")</f>
        <v>GER15</v>
      </c>
      <c r="B345" s="5" t="str">
        <f>IFERROR(__xludf.DUMMYFUNCTION("""COMPUTED_VALUE"""),"GERMANY")</f>
        <v>GERMANY</v>
      </c>
      <c r="C345" s="5" t="str">
        <f>IFERROR(__xludf.DUMMYFUNCTION("""COMPUTED_VALUE"""),"NORMAL")</f>
        <v>NORMAL</v>
      </c>
      <c r="D345" s="5" t="str">
        <f>IFERROR(__xludf.DUMMYFUNCTION("""COMPUTED_VALUE"""),"JAMAL MUSIALA")</f>
        <v>JAMAL MUSIALA</v>
      </c>
      <c r="E345" s="5">
        <f>IFERROR(__xludf.DUMMYFUNCTION("""COMPUTED_VALUE"""),0.0)</f>
        <v>0</v>
      </c>
    </row>
    <row r="346">
      <c r="A346" s="5" t="str">
        <f>IFERROR(__xludf.DUMMYFUNCTION("""COMPUTED_VALUE"""),"GER16")</f>
        <v>GER16</v>
      </c>
      <c r="B346" s="5" t="str">
        <f>IFERROR(__xludf.DUMMYFUNCTION("""COMPUTED_VALUE"""),"GERMANY")</f>
        <v>GERMANY</v>
      </c>
      <c r="C346" s="5" t="str">
        <f>IFERROR(__xludf.DUMMYFUNCTION("""COMPUTED_VALUE"""),"NORMAL")</f>
        <v>NORMAL</v>
      </c>
      <c r="D346" s="5" t="str">
        <f>IFERROR(__xludf.DUMMYFUNCTION("""COMPUTED_VALUE"""),"SERGE GNABRY")</f>
        <v>SERGE GNABRY</v>
      </c>
      <c r="E346" s="5">
        <f>IFERROR(__xludf.DUMMYFUNCTION("""COMPUTED_VALUE"""),0.0)</f>
        <v>0</v>
      </c>
    </row>
    <row r="347">
      <c r="A347" s="5" t="str">
        <f>IFERROR(__xludf.DUMMYFUNCTION("""COMPUTED_VALUE"""),"GER17")</f>
        <v>GER17</v>
      </c>
      <c r="B347" s="5" t="str">
        <f>IFERROR(__xludf.DUMMYFUNCTION("""COMPUTED_VALUE"""),"GERMANY")</f>
        <v>GERMANY</v>
      </c>
      <c r="C347" s="5" t="str">
        <f>IFERROR(__xludf.DUMMYFUNCTION("""COMPUTED_VALUE"""),"NORMAL")</f>
        <v>NORMAL</v>
      </c>
      <c r="D347" s="5" t="str">
        <f>IFERROR(__xludf.DUMMYFUNCTION("""COMPUTED_VALUE"""),"KAI HAVERTZ")</f>
        <v>KAI HAVERTZ</v>
      </c>
      <c r="E347" s="5">
        <f>IFERROR(__xludf.DUMMYFUNCTION("""COMPUTED_VALUE"""),0.0)</f>
        <v>0</v>
      </c>
    </row>
    <row r="348">
      <c r="A348" s="5" t="str">
        <f>IFERROR(__xludf.DUMMYFUNCTION("""COMPUTED_VALUE"""),"GER18")</f>
        <v>GER18</v>
      </c>
      <c r="B348" s="5" t="str">
        <f>IFERROR(__xludf.DUMMYFUNCTION("""COMPUTED_VALUE"""),"GERMANY")</f>
        <v>GERMANY</v>
      </c>
      <c r="C348" s="5" t="str">
        <f>IFERROR(__xludf.DUMMYFUNCTION("""COMPUTED_VALUE"""),"NORMAL")</f>
        <v>NORMAL</v>
      </c>
      <c r="D348" s="5" t="str">
        <f>IFERROR(__xludf.DUMMYFUNCTION("""COMPUTED_VALUE"""),"LEROY SANE")</f>
        <v>LEROY SANE</v>
      </c>
      <c r="E348" s="5">
        <f>IFERROR(__xludf.DUMMYFUNCTION("""COMPUTED_VALUE"""),0.0)</f>
        <v>0</v>
      </c>
    </row>
    <row r="349">
      <c r="A349" s="5" t="str">
        <f>IFERROR(__xludf.DUMMYFUNCTION("""COMPUTED_VALUE"""),"GER19")</f>
        <v>GER19</v>
      </c>
      <c r="B349" s="5" t="str">
        <f>IFERROR(__xludf.DUMMYFUNCTION("""COMPUTED_VALUE"""),"GERMANY")</f>
        <v>GERMANY</v>
      </c>
      <c r="C349" s="5" t="str">
        <f>IFERROR(__xludf.DUMMYFUNCTION("""COMPUTED_VALUE"""),"NORMAL")</f>
        <v>NORMAL</v>
      </c>
      <c r="D349" s="5" t="str">
        <f>IFERROR(__xludf.DUMMYFUNCTION("""COMPUTED_VALUE"""),"KARIM ADEYEMI")</f>
        <v>KARIM ADEYEMI</v>
      </c>
      <c r="E349" s="5">
        <f>IFERROR(__xludf.DUMMYFUNCTION("""COMPUTED_VALUE"""),0.0)</f>
        <v>0</v>
      </c>
    </row>
    <row r="350">
      <c r="A350" s="5" t="str">
        <f>IFERROR(__xludf.DUMMYFUNCTION("""COMPUTED_VALUE"""),"GER20")</f>
        <v>GER20</v>
      </c>
      <c r="B350" s="5" t="str">
        <f>IFERROR(__xludf.DUMMYFUNCTION("""COMPUTED_VALUE"""),"GERMANY")</f>
        <v>GERMANY</v>
      </c>
      <c r="C350" s="5" t="str">
        <f>IFERROR(__xludf.DUMMYFUNCTION("""COMPUTED_VALUE"""),"NORMAL")</f>
        <v>NORMAL</v>
      </c>
      <c r="D350" s="5" t="str">
        <f>IFERROR(__xludf.DUMMYFUNCTION("""COMPUTED_VALUE"""),"NICK WOLTEMADE")</f>
        <v>NICK WOLTEMADE</v>
      </c>
      <c r="E350" s="5">
        <f>IFERROR(__xludf.DUMMYFUNCTION("""COMPUTED_VALUE"""),0.0)</f>
        <v>0</v>
      </c>
    </row>
    <row r="351">
      <c r="A351" s="7" t="str">
        <f>IFERROR(__xludf.DUMMYFUNCTION("""COMPUTED_VALUE"""),"CUW01")</f>
        <v>CUW01</v>
      </c>
      <c r="B351" s="5" t="str">
        <f>IFERROR(__xludf.DUMMYFUNCTION("""COMPUTED_VALUE"""),"CURAZAO")</f>
        <v>CURAZAO</v>
      </c>
      <c r="C351" s="5" t="str">
        <f>IFERROR(__xludf.DUMMYFUNCTION("""COMPUTED_VALUE"""),"BADGE")</f>
        <v>BADGE</v>
      </c>
      <c r="D351" s="5" t="str">
        <f>IFERROR(__xludf.DUMMYFUNCTION("""COMPUTED_VALUE"""),"CURAZAO NATIONAL TEAM")</f>
        <v>CURAZAO NATIONAL TEAM</v>
      </c>
      <c r="E351" s="5">
        <f>IFERROR(__xludf.DUMMYFUNCTION("""COMPUTED_VALUE"""),0.0)</f>
        <v>0</v>
      </c>
    </row>
    <row r="352">
      <c r="A352" s="7" t="str">
        <f>IFERROR(__xludf.DUMMYFUNCTION("""COMPUTED_VALUE"""),"CUW02")</f>
        <v>CUW02</v>
      </c>
      <c r="B352" s="5" t="str">
        <f>IFERROR(__xludf.DUMMYFUNCTION("""COMPUTED_VALUE"""),"CURAZAO")</f>
        <v>CURAZAO</v>
      </c>
      <c r="C352" s="5" t="str">
        <f>IFERROR(__xludf.DUMMYFUNCTION("""COMPUTED_VALUE"""),"NORMAL")</f>
        <v>NORMAL</v>
      </c>
      <c r="D352" s="5" t="str">
        <f>IFERROR(__xludf.DUMMYFUNCTION("""COMPUTED_VALUE"""),"ELOY ROOM")</f>
        <v>ELOY ROOM</v>
      </c>
      <c r="E352" s="5">
        <f>IFERROR(__xludf.DUMMYFUNCTION("""COMPUTED_VALUE"""),0.0)</f>
        <v>0</v>
      </c>
    </row>
    <row r="353">
      <c r="A353" s="7" t="str">
        <f>IFERROR(__xludf.DUMMYFUNCTION("""COMPUTED_VALUE"""),"CUW03")</f>
        <v>CUW03</v>
      </c>
      <c r="B353" s="5" t="str">
        <f>IFERROR(__xludf.DUMMYFUNCTION("""COMPUTED_VALUE"""),"CURAZAO")</f>
        <v>CURAZAO</v>
      </c>
      <c r="C353" s="5" t="str">
        <f>IFERROR(__xludf.DUMMYFUNCTION("""COMPUTED_VALUE"""),"NORMAL")</f>
        <v>NORMAL</v>
      </c>
      <c r="D353" s="5" t="str">
        <f>IFERROR(__xludf.DUMMYFUNCTION("""COMPUTED_VALUE"""),"ARMANDO OBISPO")</f>
        <v>ARMANDO OBISPO</v>
      </c>
      <c r="E353" s="5">
        <f>IFERROR(__xludf.DUMMYFUNCTION("""COMPUTED_VALUE"""),0.0)</f>
        <v>0</v>
      </c>
    </row>
    <row r="354">
      <c r="A354" s="7" t="str">
        <f>IFERROR(__xludf.DUMMYFUNCTION("""COMPUTED_VALUE"""),"CUW04")</f>
        <v>CUW04</v>
      </c>
      <c r="B354" s="5" t="str">
        <f>IFERROR(__xludf.DUMMYFUNCTION("""COMPUTED_VALUE"""),"CURAZAO")</f>
        <v>CURAZAO</v>
      </c>
      <c r="C354" s="5" t="str">
        <f>IFERROR(__xludf.DUMMYFUNCTION("""COMPUTED_VALUE"""),"NORMAL")</f>
        <v>NORMAL</v>
      </c>
      <c r="D354" s="5" t="str">
        <f>IFERROR(__xludf.DUMMYFUNCTION("""COMPUTED_VALUE"""),"SHEREL FLORANUS")</f>
        <v>SHEREL FLORANUS</v>
      </c>
      <c r="E354" s="5">
        <f>IFERROR(__xludf.DUMMYFUNCTION("""COMPUTED_VALUE"""),0.0)</f>
        <v>0</v>
      </c>
    </row>
    <row r="355">
      <c r="A355" s="7" t="str">
        <f>IFERROR(__xludf.DUMMYFUNCTION("""COMPUTED_VALUE"""),"CUW05")</f>
        <v>CUW05</v>
      </c>
      <c r="B355" s="5" t="str">
        <f>IFERROR(__xludf.DUMMYFUNCTION("""COMPUTED_VALUE"""),"CURAZAO")</f>
        <v>CURAZAO</v>
      </c>
      <c r="C355" s="5" t="str">
        <f>IFERROR(__xludf.DUMMYFUNCTION("""COMPUTED_VALUE"""),"NORMAL")</f>
        <v>NORMAL</v>
      </c>
      <c r="D355" s="5" t="str">
        <f>IFERROR(__xludf.DUMMYFUNCTION("""COMPUTED_VALUE"""),"JURIEN GAARI")</f>
        <v>JURIEN GAARI</v>
      </c>
      <c r="E355" s="5">
        <f>IFERROR(__xludf.DUMMYFUNCTION("""COMPUTED_VALUE"""),0.0)</f>
        <v>0</v>
      </c>
    </row>
    <row r="356">
      <c r="A356" s="7" t="str">
        <f>IFERROR(__xludf.DUMMYFUNCTION("""COMPUTED_VALUE"""),"CUW06")</f>
        <v>CUW06</v>
      </c>
      <c r="B356" s="5" t="str">
        <f>IFERROR(__xludf.DUMMYFUNCTION("""COMPUTED_VALUE"""),"CURAZAO")</f>
        <v>CURAZAO</v>
      </c>
      <c r="C356" s="5" t="str">
        <f>IFERROR(__xludf.DUMMYFUNCTION("""COMPUTED_VALUE"""),"NORMAL")</f>
        <v>NORMAL</v>
      </c>
      <c r="D356" s="5" t="str">
        <f>IFERROR(__xludf.DUMMYFUNCTION("""COMPUTED_VALUE"""),"JOSHUA BRENET")</f>
        <v>JOSHUA BRENET</v>
      </c>
      <c r="E356" s="5">
        <f>IFERROR(__xludf.DUMMYFUNCTION("""COMPUTED_VALUE"""),0.0)</f>
        <v>0</v>
      </c>
    </row>
    <row r="357">
      <c r="A357" s="7" t="str">
        <f>IFERROR(__xludf.DUMMYFUNCTION("""COMPUTED_VALUE"""),"CUW07")</f>
        <v>CUW07</v>
      </c>
      <c r="B357" s="5" t="str">
        <f>IFERROR(__xludf.DUMMYFUNCTION("""COMPUTED_VALUE"""),"CURAZAO")</f>
        <v>CURAZAO</v>
      </c>
      <c r="C357" s="5" t="str">
        <f>IFERROR(__xludf.DUMMYFUNCTION("""COMPUTED_VALUE"""),"NORMAL")</f>
        <v>NORMAL</v>
      </c>
      <c r="D357" s="5" t="str">
        <f>IFERROR(__xludf.DUMMYFUNCTION("""COMPUTED_VALUE"""),"ROSHON VAN EIJMA")</f>
        <v>ROSHON VAN EIJMA</v>
      </c>
      <c r="E357" s="5">
        <f>IFERROR(__xludf.DUMMYFUNCTION("""COMPUTED_VALUE"""),0.0)</f>
        <v>0</v>
      </c>
    </row>
    <row r="358">
      <c r="A358" s="7" t="str">
        <f>IFERROR(__xludf.DUMMYFUNCTION("""COMPUTED_VALUE"""),"CUW08")</f>
        <v>CUW08</v>
      </c>
      <c r="B358" s="5" t="str">
        <f>IFERROR(__xludf.DUMMYFUNCTION("""COMPUTED_VALUE"""),"CURAZAO")</f>
        <v>CURAZAO</v>
      </c>
      <c r="C358" s="5" t="str">
        <f>IFERROR(__xludf.DUMMYFUNCTION("""COMPUTED_VALUE"""),"NORMAL")</f>
        <v>NORMAL</v>
      </c>
      <c r="D358" s="5" t="str">
        <f>IFERROR(__xludf.DUMMYFUNCTION("""COMPUTED_VALUE"""),"SHURANDY SAMBO")</f>
        <v>SHURANDY SAMBO</v>
      </c>
      <c r="E358" s="5">
        <f>IFERROR(__xludf.DUMMYFUNCTION("""COMPUTED_VALUE"""),0.0)</f>
        <v>0</v>
      </c>
    </row>
    <row r="359">
      <c r="A359" s="7" t="str">
        <f>IFERROR(__xludf.DUMMYFUNCTION("""COMPUTED_VALUE"""),"CUW09")</f>
        <v>CUW09</v>
      </c>
      <c r="B359" s="5" t="str">
        <f>IFERROR(__xludf.DUMMYFUNCTION("""COMPUTED_VALUE"""),"CURAZAO")</f>
        <v>CURAZAO</v>
      </c>
      <c r="C359" s="5" t="str">
        <f>IFERROR(__xludf.DUMMYFUNCTION("""COMPUTED_VALUE"""),"NORMAL")</f>
        <v>NORMAL</v>
      </c>
      <c r="D359" s="5" t="str">
        <f>IFERROR(__xludf.DUMMYFUNCTION("""COMPUTED_VALUE"""),"LIVANO COMENENCIA")</f>
        <v>LIVANO COMENENCIA</v>
      </c>
      <c r="E359" s="5">
        <f>IFERROR(__xludf.DUMMYFUNCTION("""COMPUTED_VALUE"""),0.0)</f>
        <v>0</v>
      </c>
    </row>
    <row r="360">
      <c r="A360" s="7" t="str">
        <f>IFERROR(__xludf.DUMMYFUNCTION("""COMPUTED_VALUE"""),"CUW10")</f>
        <v>CUW10</v>
      </c>
      <c r="B360" s="5" t="str">
        <f>IFERROR(__xludf.DUMMYFUNCTION("""COMPUTED_VALUE"""),"CURAZAO")</f>
        <v>CURAZAO</v>
      </c>
      <c r="C360" s="5" t="str">
        <f>IFERROR(__xludf.DUMMYFUNCTION("""COMPUTED_VALUE"""),"NORMAL")</f>
        <v>NORMAL</v>
      </c>
      <c r="D360" s="5" t="str">
        <f>IFERROR(__xludf.DUMMYFUNCTION("""COMPUTED_VALUE"""),"GODFRIED ROEMERATOE")</f>
        <v>GODFRIED ROEMERATOE</v>
      </c>
      <c r="E360" s="5">
        <f>IFERROR(__xludf.DUMMYFUNCTION("""COMPUTED_VALUE"""),0.0)</f>
        <v>0</v>
      </c>
    </row>
    <row r="361">
      <c r="A361" s="7" t="str">
        <f>IFERROR(__xludf.DUMMYFUNCTION("""COMPUTED_VALUE"""),"CUW11")</f>
        <v>CUW11</v>
      </c>
      <c r="B361" s="5" t="str">
        <f>IFERROR(__xludf.DUMMYFUNCTION("""COMPUTED_VALUE"""),"CURAZAO")</f>
        <v>CURAZAO</v>
      </c>
      <c r="C361" s="5" t="str">
        <f>IFERROR(__xludf.DUMMYFUNCTION("""COMPUTED_VALUE"""),"NORMAL")</f>
        <v>NORMAL</v>
      </c>
      <c r="D361" s="5" t="str">
        <f>IFERROR(__xludf.DUMMYFUNCTION("""COMPUTED_VALUE"""),"JUNINHO BACUNA")</f>
        <v>JUNINHO BACUNA</v>
      </c>
      <c r="E361" s="5">
        <f>IFERROR(__xludf.DUMMYFUNCTION("""COMPUTED_VALUE"""),0.0)</f>
        <v>0</v>
      </c>
    </row>
    <row r="362">
      <c r="A362" s="7" t="str">
        <f>IFERROR(__xludf.DUMMYFUNCTION("""COMPUTED_VALUE"""),"CUW12")</f>
        <v>CUW12</v>
      </c>
      <c r="B362" s="5" t="str">
        <f>IFERROR(__xludf.DUMMYFUNCTION("""COMPUTED_VALUE"""),"CURAZAO")</f>
        <v>CURAZAO</v>
      </c>
      <c r="C362" s="5" t="str">
        <f>IFERROR(__xludf.DUMMYFUNCTION("""COMPUTED_VALUE"""),"NORMAL")</f>
        <v>NORMAL</v>
      </c>
      <c r="D362" s="5" t="str">
        <f>IFERROR(__xludf.DUMMYFUNCTION("""COMPUTED_VALUE"""),"LEANDRO BACUNA")</f>
        <v>LEANDRO BACUNA</v>
      </c>
      <c r="E362" s="5">
        <f>IFERROR(__xludf.DUMMYFUNCTION("""COMPUTED_VALUE"""),0.0)</f>
        <v>0</v>
      </c>
    </row>
    <row r="363">
      <c r="A363" s="7" t="str">
        <f>IFERROR(__xludf.DUMMYFUNCTION("""COMPUTED_VALUE"""),"CUW13")</f>
        <v>CUW13</v>
      </c>
      <c r="B363" s="5" t="str">
        <f>IFERROR(__xludf.DUMMYFUNCTION("""COMPUTED_VALUE"""),"CURAZAO")</f>
        <v>CURAZAO</v>
      </c>
      <c r="C363" s="5" t="str">
        <f>IFERROR(__xludf.DUMMYFUNCTION("""COMPUTED_VALUE"""),"TEAM")</f>
        <v>TEAM</v>
      </c>
      <c r="D363" s="5" t="str">
        <f>IFERROR(__xludf.DUMMYFUNCTION("""COMPUTED_VALUE"""),"CURAZAO NATIONAL TEAM")</f>
        <v>CURAZAO NATIONAL TEAM</v>
      </c>
      <c r="E363" s="5">
        <f>IFERROR(__xludf.DUMMYFUNCTION("""COMPUTED_VALUE"""),0.0)</f>
        <v>0</v>
      </c>
    </row>
    <row r="364">
      <c r="A364" s="7" t="str">
        <f>IFERROR(__xludf.DUMMYFUNCTION("""COMPUTED_VALUE"""),"CUW14")</f>
        <v>CUW14</v>
      </c>
      <c r="B364" s="5" t="str">
        <f>IFERROR(__xludf.DUMMYFUNCTION("""COMPUTED_VALUE"""),"CURAZAO")</f>
        <v>CURAZAO</v>
      </c>
      <c r="C364" s="5" t="str">
        <f>IFERROR(__xludf.DUMMYFUNCTION("""COMPUTED_VALUE"""),"NORMAL")</f>
        <v>NORMAL</v>
      </c>
      <c r="D364" s="5" t="str">
        <f>IFERROR(__xludf.DUMMYFUNCTION("""COMPUTED_VALUE"""),"TAHITH CHONG")</f>
        <v>TAHITH CHONG</v>
      </c>
      <c r="E364" s="5">
        <f>IFERROR(__xludf.DUMMYFUNCTION("""COMPUTED_VALUE"""),0.0)</f>
        <v>0</v>
      </c>
    </row>
    <row r="365">
      <c r="A365" s="7" t="str">
        <f>IFERROR(__xludf.DUMMYFUNCTION("""COMPUTED_VALUE"""),"CUW15")</f>
        <v>CUW15</v>
      </c>
      <c r="B365" s="5" t="str">
        <f>IFERROR(__xludf.DUMMYFUNCTION("""COMPUTED_VALUE"""),"CURAZAO")</f>
        <v>CURAZAO</v>
      </c>
      <c r="C365" s="5" t="str">
        <f>IFERROR(__xludf.DUMMYFUNCTION("""COMPUTED_VALUE"""),"NORMAL")</f>
        <v>NORMAL</v>
      </c>
      <c r="D365" s="5" t="str">
        <f>IFERROR(__xludf.DUMMYFUNCTION("""COMPUTED_VALUE"""),"KENJI GORRE")</f>
        <v>KENJI GORRE</v>
      </c>
      <c r="E365" s="5">
        <f>IFERROR(__xludf.DUMMYFUNCTION("""COMPUTED_VALUE"""),0.0)</f>
        <v>0</v>
      </c>
    </row>
    <row r="366">
      <c r="A366" s="7" t="str">
        <f>IFERROR(__xludf.DUMMYFUNCTION("""COMPUTED_VALUE"""),"CUW16")</f>
        <v>CUW16</v>
      </c>
      <c r="B366" s="5" t="str">
        <f>IFERROR(__xludf.DUMMYFUNCTION("""COMPUTED_VALUE"""),"CURAZAO")</f>
        <v>CURAZAO</v>
      </c>
      <c r="C366" s="5" t="str">
        <f>IFERROR(__xludf.DUMMYFUNCTION("""COMPUTED_VALUE"""),"NORMAL")</f>
        <v>NORMAL</v>
      </c>
      <c r="D366" s="5" t="str">
        <f>IFERROR(__xludf.DUMMYFUNCTION("""COMPUTED_VALUE"""),"JEARL MARGARITHA")</f>
        <v>JEARL MARGARITHA</v>
      </c>
      <c r="E366" s="5">
        <f>IFERROR(__xludf.DUMMYFUNCTION("""COMPUTED_VALUE"""),0.0)</f>
        <v>0</v>
      </c>
    </row>
    <row r="367">
      <c r="A367" s="7" t="str">
        <f>IFERROR(__xludf.DUMMYFUNCTION("""COMPUTED_VALUE"""),"CUW17")</f>
        <v>CUW17</v>
      </c>
      <c r="B367" s="5" t="str">
        <f>IFERROR(__xludf.DUMMYFUNCTION("""COMPUTED_VALUE"""),"CURAZAO")</f>
        <v>CURAZAO</v>
      </c>
      <c r="C367" s="5" t="str">
        <f>IFERROR(__xludf.DUMMYFUNCTION("""COMPUTED_VALUE"""),"NORMAL")</f>
        <v>NORMAL</v>
      </c>
      <c r="D367" s="5" t="str">
        <f>IFERROR(__xludf.DUMMYFUNCTION("""COMPUTED_VALUE"""),"JURGEN LOCADIA")</f>
        <v>JURGEN LOCADIA</v>
      </c>
      <c r="E367" s="5">
        <f>IFERROR(__xludf.DUMMYFUNCTION("""COMPUTED_VALUE"""),0.0)</f>
        <v>0</v>
      </c>
    </row>
    <row r="368">
      <c r="A368" s="7" t="str">
        <f>IFERROR(__xludf.DUMMYFUNCTION("""COMPUTED_VALUE"""),"CUW18")</f>
        <v>CUW18</v>
      </c>
      <c r="B368" s="5" t="str">
        <f>IFERROR(__xludf.DUMMYFUNCTION("""COMPUTED_VALUE"""),"CURAZAO")</f>
        <v>CURAZAO</v>
      </c>
      <c r="C368" s="5" t="str">
        <f>IFERROR(__xludf.DUMMYFUNCTION("""COMPUTED_VALUE"""),"NORMAL")</f>
        <v>NORMAL</v>
      </c>
      <c r="D368" s="5" t="str">
        <f>IFERROR(__xludf.DUMMYFUNCTION("""COMPUTED_VALUE"""),"JEREMY ANTONISSE")</f>
        <v>JEREMY ANTONISSE</v>
      </c>
      <c r="E368" s="5">
        <f>IFERROR(__xludf.DUMMYFUNCTION("""COMPUTED_VALUE"""),0.0)</f>
        <v>0</v>
      </c>
    </row>
    <row r="369">
      <c r="A369" s="7" t="str">
        <f>IFERROR(__xludf.DUMMYFUNCTION("""COMPUTED_VALUE"""),"CUW19")</f>
        <v>CUW19</v>
      </c>
      <c r="B369" s="5" t="str">
        <f>IFERROR(__xludf.DUMMYFUNCTION("""COMPUTED_VALUE"""),"CURAZAO")</f>
        <v>CURAZAO</v>
      </c>
      <c r="C369" s="5" t="str">
        <f>IFERROR(__xludf.DUMMYFUNCTION("""COMPUTED_VALUE"""),"NORMAL")</f>
        <v>NORMAL</v>
      </c>
      <c r="D369" s="5" t="str">
        <f>IFERROR(__xludf.DUMMYFUNCTION("""COMPUTED_VALUE"""),"GERVANE KASTANEER")</f>
        <v>GERVANE KASTANEER</v>
      </c>
      <c r="E369" s="5">
        <f>IFERROR(__xludf.DUMMYFUNCTION("""COMPUTED_VALUE"""),0.0)</f>
        <v>0</v>
      </c>
    </row>
    <row r="370">
      <c r="A370" s="7" t="str">
        <f>IFERROR(__xludf.DUMMYFUNCTION("""COMPUTED_VALUE"""),"CUW20")</f>
        <v>CUW20</v>
      </c>
      <c r="B370" s="5" t="str">
        <f>IFERROR(__xludf.DUMMYFUNCTION("""COMPUTED_VALUE"""),"CURAZAO")</f>
        <v>CURAZAO</v>
      </c>
      <c r="C370" s="5" t="str">
        <f>IFERROR(__xludf.DUMMYFUNCTION("""COMPUTED_VALUE"""),"NORMAL")</f>
        <v>NORMAL</v>
      </c>
      <c r="D370" s="5" t="str">
        <f>IFERROR(__xludf.DUMMYFUNCTION("""COMPUTED_VALUE"""),"SONTJE HANSEN")</f>
        <v>SONTJE HANSEN</v>
      </c>
      <c r="E370" s="5">
        <f>IFERROR(__xludf.DUMMYFUNCTION("""COMPUTED_VALUE"""),0.0)</f>
        <v>0</v>
      </c>
    </row>
    <row r="371">
      <c r="A371" s="5" t="str">
        <f>IFERROR(__xludf.DUMMYFUNCTION("""COMPUTED_VALUE"""),"CIV01")</f>
        <v>CIV01</v>
      </c>
      <c r="B371" s="5" t="str">
        <f>IFERROR(__xludf.DUMMYFUNCTION("""COMPUTED_VALUE"""),"COTE D'IVIORE")</f>
        <v>COTE D'IVIORE</v>
      </c>
      <c r="C371" s="5" t="str">
        <f>IFERROR(__xludf.DUMMYFUNCTION("""COMPUTED_VALUE"""),"BADGE")</f>
        <v>BADGE</v>
      </c>
      <c r="D371" s="5" t="str">
        <f>IFERROR(__xludf.DUMMYFUNCTION("""COMPUTED_VALUE"""),"COTE D'IVIORE NATIONAL TEAM")</f>
        <v>COTE D'IVIORE NATIONAL TEAM</v>
      </c>
      <c r="E371" s="5">
        <f>IFERROR(__xludf.DUMMYFUNCTION("""COMPUTED_VALUE"""),0.0)</f>
        <v>0</v>
      </c>
    </row>
    <row r="372">
      <c r="A372" s="5" t="str">
        <f>IFERROR(__xludf.DUMMYFUNCTION("""COMPUTED_VALUE"""),"CIV02")</f>
        <v>CIV02</v>
      </c>
      <c r="B372" s="5" t="str">
        <f>IFERROR(__xludf.DUMMYFUNCTION("""COMPUTED_VALUE"""),"COTE D'IVIORE")</f>
        <v>COTE D'IVIORE</v>
      </c>
      <c r="C372" s="5" t="str">
        <f>IFERROR(__xludf.DUMMYFUNCTION("""COMPUTED_VALUE"""),"NORMAL")</f>
        <v>NORMAL</v>
      </c>
      <c r="D372" s="5" t="str">
        <f>IFERROR(__xludf.DUMMYFUNCTION("""COMPUTED_VALUE"""),"YAHIA FOFANA")</f>
        <v>YAHIA FOFANA</v>
      </c>
      <c r="E372" s="5">
        <f>IFERROR(__xludf.DUMMYFUNCTION("""COMPUTED_VALUE"""),0.0)</f>
        <v>0</v>
      </c>
    </row>
    <row r="373">
      <c r="A373" s="5" t="str">
        <f>IFERROR(__xludf.DUMMYFUNCTION("""COMPUTED_VALUE"""),"CIV03")</f>
        <v>CIV03</v>
      </c>
      <c r="B373" s="5" t="str">
        <f>IFERROR(__xludf.DUMMYFUNCTION("""COMPUTED_VALUE"""),"COTE D'IVIORE")</f>
        <v>COTE D'IVIORE</v>
      </c>
      <c r="C373" s="5" t="str">
        <f>IFERROR(__xludf.DUMMYFUNCTION("""COMPUTED_VALUE"""),"NORMAL")</f>
        <v>NORMAL</v>
      </c>
      <c r="D373" s="5" t="str">
        <f>IFERROR(__xludf.DUMMYFUNCTION("""COMPUTED_VALUE"""),"GHISLAIN KONAN")</f>
        <v>GHISLAIN KONAN</v>
      </c>
      <c r="E373" s="5">
        <f>IFERROR(__xludf.DUMMYFUNCTION("""COMPUTED_VALUE"""),0.0)</f>
        <v>0</v>
      </c>
    </row>
    <row r="374">
      <c r="A374" s="5" t="str">
        <f>IFERROR(__xludf.DUMMYFUNCTION("""COMPUTED_VALUE"""),"CIV04")</f>
        <v>CIV04</v>
      </c>
      <c r="B374" s="5" t="str">
        <f>IFERROR(__xludf.DUMMYFUNCTION("""COMPUTED_VALUE"""),"COTE D'IVIORE")</f>
        <v>COTE D'IVIORE</v>
      </c>
      <c r="C374" s="5" t="str">
        <f>IFERROR(__xludf.DUMMYFUNCTION("""COMPUTED_VALUE"""),"NORMAL")</f>
        <v>NORMAL</v>
      </c>
      <c r="D374" s="5" t="str">
        <f>IFERROR(__xludf.DUMMYFUNCTION("""COMPUTED_VALUE"""),"WILFRIED SINGO")</f>
        <v>WILFRIED SINGO</v>
      </c>
      <c r="E374" s="5">
        <f>IFERROR(__xludf.DUMMYFUNCTION("""COMPUTED_VALUE"""),0.0)</f>
        <v>0</v>
      </c>
    </row>
    <row r="375">
      <c r="A375" s="5" t="str">
        <f>IFERROR(__xludf.DUMMYFUNCTION("""COMPUTED_VALUE"""),"CIV05")</f>
        <v>CIV05</v>
      </c>
      <c r="B375" s="5" t="str">
        <f>IFERROR(__xludf.DUMMYFUNCTION("""COMPUTED_VALUE"""),"COTE D'IVIORE")</f>
        <v>COTE D'IVIORE</v>
      </c>
      <c r="C375" s="5" t="str">
        <f>IFERROR(__xludf.DUMMYFUNCTION("""COMPUTED_VALUE"""),"NORMAL")</f>
        <v>NORMAL</v>
      </c>
      <c r="D375" s="5" t="str">
        <f>IFERROR(__xludf.DUMMYFUNCTION("""COMPUTED_VALUE"""),"ODILON KOSSOUNOU")</f>
        <v>ODILON KOSSOUNOU</v>
      </c>
      <c r="E375" s="5">
        <f>IFERROR(__xludf.DUMMYFUNCTION("""COMPUTED_VALUE"""),0.0)</f>
        <v>0</v>
      </c>
    </row>
    <row r="376">
      <c r="A376" s="5" t="str">
        <f>IFERROR(__xludf.DUMMYFUNCTION("""COMPUTED_VALUE"""),"CIV06")</f>
        <v>CIV06</v>
      </c>
      <c r="B376" s="5" t="str">
        <f>IFERROR(__xludf.DUMMYFUNCTION("""COMPUTED_VALUE"""),"COTE D'IVIORE")</f>
        <v>COTE D'IVIORE</v>
      </c>
      <c r="C376" s="5" t="str">
        <f>IFERROR(__xludf.DUMMYFUNCTION("""COMPUTED_VALUE"""),"NORMAL")</f>
        <v>NORMAL</v>
      </c>
      <c r="D376" s="5" t="str">
        <f>IFERROR(__xludf.DUMMYFUNCTION("""COMPUTED_VALUE"""),"EVAN NDICKA")</f>
        <v>EVAN NDICKA</v>
      </c>
      <c r="E376" s="5">
        <f>IFERROR(__xludf.DUMMYFUNCTION("""COMPUTED_VALUE"""),0.0)</f>
        <v>0</v>
      </c>
    </row>
    <row r="377">
      <c r="A377" s="5" t="str">
        <f>IFERROR(__xludf.DUMMYFUNCTION("""COMPUTED_VALUE"""),"CIV07")</f>
        <v>CIV07</v>
      </c>
      <c r="B377" s="5" t="str">
        <f>IFERROR(__xludf.DUMMYFUNCTION("""COMPUTED_VALUE"""),"COTE D'IVIORE")</f>
        <v>COTE D'IVIORE</v>
      </c>
      <c r="C377" s="5" t="str">
        <f>IFERROR(__xludf.DUMMYFUNCTION("""COMPUTED_VALUE"""),"NORMAL")</f>
        <v>NORMAL</v>
      </c>
      <c r="D377" s="5" t="str">
        <f>IFERROR(__xludf.DUMMYFUNCTION("""COMPUTED_VALUE"""),"WILLY BOLY")</f>
        <v>WILLY BOLY</v>
      </c>
      <c r="E377" s="5">
        <f>IFERROR(__xludf.DUMMYFUNCTION("""COMPUTED_VALUE"""),0.0)</f>
        <v>0</v>
      </c>
    </row>
    <row r="378">
      <c r="A378" s="5" t="str">
        <f>IFERROR(__xludf.DUMMYFUNCTION("""COMPUTED_VALUE"""),"CIV08")</f>
        <v>CIV08</v>
      </c>
      <c r="B378" s="5" t="str">
        <f>IFERROR(__xludf.DUMMYFUNCTION("""COMPUTED_VALUE"""),"COTE D'IVIORE")</f>
        <v>COTE D'IVIORE</v>
      </c>
      <c r="C378" s="5" t="str">
        <f>IFERROR(__xludf.DUMMYFUNCTION("""COMPUTED_VALUE"""),"NORMAL")</f>
        <v>NORMAL</v>
      </c>
      <c r="D378" s="5" t="str">
        <f>IFERROR(__xludf.DUMMYFUNCTION("""COMPUTED_VALUE"""),"EMMANUEL AGBADOU")</f>
        <v>EMMANUEL AGBADOU</v>
      </c>
      <c r="E378" s="5">
        <f>IFERROR(__xludf.DUMMYFUNCTION("""COMPUTED_VALUE"""),0.0)</f>
        <v>0</v>
      </c>
    </row>
    <row r="379">
      <c r="A379" s="5" t="str">
        <f>IFERROR(__xludf.DUMMYFUNCTION("""COMPUTED_VALUE"""),"CIV09")</f>
        <v>CIV09</v>
      </c>
      <c r="B379" s="5" t="str">
        <f>IFERROR(__xludf.DUMMYFUNCTION("""COMPUTED_VALUE"""),"COTE D'IVIORE")</f>
        <v>COTE D'IVIORE</v>
      </c>
      <c r="C379" s="5" t="str">
        <f>IFERROR(__xludf.DUMMYFUNCTION("""COMPUTED_VALUE"""),"NORMAL")</f>
        <v>NORMAL</v>
      </c>
      <c r="D379" s="5" t="str">
        <f>IFERROR(__xludf.DUMMYFUNCTION("""COMPUTED_VALUE"""),"OUSMANE DOIMANDE")</f>
        <v>OUSMANE DOIMANDE</v>
      </c>
      <c r="E379" s="5">
        <f>IFERROR(__xludf.DUMMYFUNCTION("""COMPUTED_VALUE"""),0.0)</f>
        <v>0</v>
      </c>
    </row>
    <row r="380">
      <c r="A380" s="5" t="str">
        <f>IFERROR(__xludf.DUMMYFUNCTION("""COMPUTED_VALUE"""),"CIV10")</f>
        <v>CIV10</v>
      </c>
      <c r="B380" s="5" t="str">
        <f>IFERROR(__xludf.DUMMYFUNCTION("""COMPUTED_VALUE"""),"COTE D'IVIORE")</f>
        <v>COTE D'IVIORE</v>
      </c>
      <c r="C380" s="5" t="str">
        <f>IFERROR(__xludf.DUMMYFUNCTION("""COMPUTED_VALUE"""),"NORMAL")</f>
        <v>NORMAL</v>
      </c>
      <c r="D380" s="5" t="str">
        <f>IFERROR(__xludf.DUMMYFUNCTION("""COMPUTED_VALUE"""),"FRACNK KESSIE")</f>
        <v>FRACNK KESSIE</v>
      </c>
      <c r="E380" s="5">
        <f>IFERROR(__xludf.DUMMYFUNCTION("""COMPUTED_VALUE"""),0.0)</f>
        <v>0</v>
      </c>
    </row>
    <row r="381">
      <c r="A381" s="5" t="str">
        <f>IFERROR(__xludf.DUMMYFUNCTION("""COMPUTED_VALUE"""),"CIV11")</f>
        <v>CIV11</v>
      </c>
      <c r="B381" s="5" t="str">
        <f>IFERROR(__xludf.DUMMYFUNCTION("""COMPUTED_VALUE"""),"COTE D'IVIORE")</f>
        <v>COTE D'IVIORE</v>
      </c>
      <c r="C381" s="5" t="str">
        <f>IFERROR(__xludf.DUMMYFUNCTION("""COMPUTED_VALUE"""),"NORMAL")</f>
        <v>NORMAL</v>
      </c>
      <c r="D381" s="5" t="str">
        <f>IFERROR(__xludf.DUMMYFUNCTION("""COMPUTED_VALUE"""),"SEKO FOFANA")</f>
        <v>SEKO FOFANA</v>
      </c>
      <c r="E381" s="5">
        <f>IFERROR(__xludf.DUMMYFUNCTION("""COMPUTED_VALUE"""),0.0)</f>
        <v>0</v>
      </c>
    </row>
    <row r="382">
      <c r="A382" s="5" t="str">
        <f>IFERROR(__xludf.DUMMYFUNCTION("""COMPUTED_VALUE"""),"CIV12")</f>
        <v>CIV12</v>
      </c>
      <c r="B382" s="5" t="str">
        <f>IFERROR(__xludf.DUMMYFUNCTION("""COMPUTED_VALUE"""),"COTE D'IVIORE")</f>
        <v>COTE D'IVIORE</v>
      </c>
      <c r="C382" s="5" t="str">
        <f>IFERROR(__xludf.DUMMYFUNCTION("""COMPUTED_VALUE"""),"NORMAL")</f>
        <v>NORMAL</v>
      </c>
      <c r="D382" s="5" t="str">
        <f>IFERROR(__xludf.DUMMYFUNCTION("""COMPUTED_VALUE"""),"IBAHIM SANGARE")</f>
        <v>IBAHIM SANGARE</v>
      </c>
      <c r="E382" s="5">
        <f>IFERROR(__xludf.DUMMYFUNCTION("""COMPUTED_VALUE"""),0.0)</f>
        <v>0</v>
      </c>
    </row>
    <row r="383">
      <c r="A383" s="5" t="str">
        <f>IFERROR(__xludf.DUMMYFUNCTION("""COMPUTED_VALUE"""),"CIV13")</f>
        <v>CIV13</v>
      </c>
      <c r="B383" s="5" t="str">
        <f>IFERROR(__xludf.DUMMYFUNCTION("""COMPUTED_VALUE"""),"COTE D'IVIORE")</f>
        <v>COTE D'IVIORE</v>
      </c>
      <c r="C383" s="5" t="str">
        <f>IFERROR(__xludf.DUMMYFUNCTION("""COMPUTED_VALUE"""),"TEAM")</f>
        <v>TEAM</v>
      </c>
      <c r="D383" s="5" t="str">
        <f>IFERROR(__xludf.DUMMYFUNCTION("""COMPUTED_VALUE"""),"COTE D'IVIORE NATIONAL TEAM")</f>
        <v>COTE D'IVIORE NATIONAL TEAM</v>
      </c>
      <c r="E383" s="5">
        <f>IFERROR(__xludf.DUMMYFUNCTION("""COMPUTED_VALUE"""),0.0)</f>
        <v>0</v>
      </c>
    </row>
    <row r="384">
      <c r="A384" s="5" t="str">
        <f>IFERROR(__xludf.DUMMYFUNCTION("""COMPUTED_VALUE"""),"CIV14")</f>
        <v>CIV14</v>
      </c>
      <c r="B384" s="5" t="str">
        <f>IFERROR(__xludf.DUMMYFUNCTION("""COMPUTED_VALUE"""),"COTE D'IVIORE")</f>
        <v>COTE D'IVIORE</v>
      </c>
      <c r="C384" s="5" t="str">
        <f>IFERROR(__xludf.DUMMYFUNCTION("""COMPUTED_VALUE"""),"NORMAL")</f>
        <v>NORMAL</v>
      </c>
      <c r="D384" s="5" t="str">
        <f>IFERROR(__xludf.DUMMYFUNCTION("""COMPUTED_VALUE"""),"JEAN PHILIPPE GBAMIN")</f>
        <v>JEAN PHILIPPE GBAMIN</v>
      </c>
      <c r="E384" s="5">
        <f>IFERROR(__xludf.DUMMYFUNCTION("""COMPUTED_VALUE"""),0.0)</f>
        <v>0</v>
      </c>
    </row>
    <row r="385">
      <c r="A385" s="5" t="str">
        <f>IFERROR(__xludf.DUMMYFUNCTION("""COMPUTED_VALUE"""),"CIV15")</f>
        <v>CIV15</v>
      </c>
      <c r="B385" s="5" t="str">
        <f>IFERROR(__xludf.DUMMYFUNCTION("""COMPUTED_VALUE"""),"COTE D'IVIORE")</f>
        <v>COTE D'IVIORE</v>
      </c>
      <c r="C385" s="5" t="str">
        <f>IFERROR(__xludf.DUMMYFUNCTION("""COMPUTED_VALUE"""),"NORMAL")</f>
        <v>NORMAL</v>
      </c>
      <c r="D385" s="5" t="str">
        <f>IFERROR(__xludf.DUMMYFUNCTION("""COMPUTED_VALUE"""),"AMAD DIALLO")</f>
        <v>AMAD DIALLO</v>
      </c>
      <c r="E385" s="5">
        <f>IFERROR(__xludf.DUMMYFUNCTION("""COMPUTED_VALUE"""),0.0)</f>
        <v>0</v>
      </c>
    </row>
    <row r="386">
      <c r="A386" s="5" t="str">
        <f>IFERROR(__xludf.DUMMYFUNCTION("""COMPUTED_VALUE"""),"CIV16")</f>
        <v>CIV16</v>
      </c>
      <c r="B386" s="5" t="str">
        <f>IFERROR(__xludf.DUMMYFUNCTION("""COMPUTED_VALUE"""),"COTE D'IVIORE")</f>
        <v>COTE D'IVIORE</v>
      </c>
      <c r="C386" s="5" t="str">
        <f>IFERROR(__xludf.DUMMYFUNCTION("""COMPUTED_VALUE"""),"NORMAL")</f>
        <v>NORMAL</v>
      </c>
      <c r="D386" s="5" t="str">
        <f>IFERROR(__xludf.DUMMYFUNCTION("""COMPUTED_VALUE"""),"SEBASTIEN HALLER")</f>
        <v>SEBASTIEN HALLER</v>
      </c>
      <c r="E386" s="5">
        <f>IFERROR(__xludf.DUMMYFUNCTION("""COMPUTED_VALUE"""),0.0)</f>
        <v>0</v>
      </c>
    </row>
    <row r="387">
      <c r="A387" s="5" t="str">
        <f>IFERROR(__xludf.DUMMYFUNCTION("""COMPUTED_VALUE"""),"CIV17")</f>
        <v>CIV17</v>
      </c>
      <c r="B387" s="5" t="str">
        <f>IFERROR(__xludf.DUMMYFUNCTION("""COMPUTED_VALUE"""),"COTE D'IVIORE")</f>
        <v>COTE D'IVIORE</v>
      </c>
      <c r="C387" s="5" t="str">
        <f>IFERROR(__xludf.DUMMYFUNCTION("""COMPUTED_VALUE"""),"NORMAL")</f>
        <v>NORMAL</v>
      </c>
      <c r="D387" s="5" t="str">
        <f>IFERROR(__xludf.DUMMYFUNCTION("""COMPUTED_VALUE"""),"SIMON ADINGRA")</f>
        <v>SIMON ADINGRA</v>
      </c>
      <c r="E387" s="5">
        <f>IFERROR(__xludf.DUMMYFUNCTION("""COMPUTED_VALUE"""),0.0)</f>
        <v>0</v>
      </c>
    </row>
    <row r="388">
      <c r="A388" s="5" t="str">
        <f>IFERROR(__xludf.DUMMYFUNCTION("""COMPUTED_VALUE"""),"CIV18")</f>
        <v>CIV18</v>
      </c>
      <c r="B388" s="5" t="str">
        <f>IFERROR(__xludf.DUMMYFUNCTION("""COMPUTED_VALUE"""),"COTE D'IVIORE")</f>
        <v>COTE D'IVIORE</v>
      </c>
      <c r="C388" s="5" t="str">
        <f>IFERROR(__xludf.DUMMYFUNCTION("""COMPUTED_VALUE"""),"NORMAL")</f>
        <v>NORMAL</v>
      </c>
      <c r="D388" s="5" t="str">
        <f>IFERROR(__xludf.DUMMYFUNCTION("""COMPUTED_VALUE"""),"YAN DIOMANDE")</f>
        <v>YAN DIOMANDE</v>
      </c>
      <c r="E388" s="5">
        <f>IFERROR(__xludf.DUMMYFUNCTION("""COMPUTED_VALUE"""),0.0)</f>
        <v>0</v>
      </c>
    </row>
    <row r="389">
      <c r="A389" s="5" t="str">
        <f>IFERROR(__xludf.DUMMYFUNCTION("""COMPUTED_VALUE"""),"CIV19")</f>
        <v>CIV19</v>
      </c>
      <c r="B389" s="5" t="str">
        <f>IFERROR(__xludf.DUMMYFUNCTION("""COMPUTED_VALUE"""),"COTE D'IVIORE")</f>
        <v>COTE D'IVIORE</v>
      </c>
      <c r="C389" s="5" t="str">
        <f>IFERROR(__xludf.DUMMYFUNCTION("""COMPUTED_VALUE"""),"NORMAL")</f>
        <v>NORMAL</v>
      </c>
      <c r="D389" s="5" t="str">
        <f>IFERROR(__xludf.DUMMYFUNCTION("""COMPUTED_VALUE"""),"EVANN GUESSAND")</f>
        <v>EVANN GUESSAND</v>
      </c>
      <c r="E389" s="5">
        <f>IFERROR(__xludf.DUMMYFUNCTION("""COMPUTED_VALUE"""),0.0)</f>
        <v>0</v>
      </c>
    </row>
    <row r="390">
      <c r="A390" s="5" t="str">
        <f>IFERROR(__xludf.DUMMYFUNCTION("""COMPUTED_VALUE"""),"CIV20")</f>
        <v>CIV20</v>
      </c>
      <c r="B390" s="5" t="str">
        <f>IFERROR(__xludf.DUMMYFUNCTION("""COMPUTED_VALUE"""),"COTE D'IVIORE")</f>
        <v>COTE D'IVIORE</v>
      </c>
      <c r="C390" s="5" t="str">
        <f>IFERROR(__xludf.DUMMYFUNCTION("""COMPUTED_VALUE"""),"NORMAL")</f>
        <v>NORMAL</v>
      </c>
      <c r="D390" s="5" t="str">
        <f>IFERROR(__xludf.DUMMYFUNCTION("""COMPUTED_VALUE"""),"OUMAR DIAKITE")</f>
        <v>OUMAR DIAKITE</v>
      </c>
      <c r="E390" s="5">
        <f>IFERROR(__xludf.DUMMYFUNCTION("""COMPUTED_VALUE"""),0.0)</f>
        <v>0</v>
      </c>
    </row>
    <row r="391">
      <c r="A391" s="5" t="str">
        <f>IFERROR(__xludf.DUMMYFUNCTION("""COMPUTED_VALUE"""),"ECU01")</f>
        <v>ECU01</v>
      </c>
      <c r="B391" s="5" t="str">
        <f>IFERROR(__xludf.DUMMYFUNCTION("""COMPUTED_VALUE"""),"ECUADOR")</f>
        <v>ECUADOR</v>
      </c>
      <c r="C391" s="5" t="str">
        <f>IFERROR(__xludf.DUMMYFUNCTION("""COMPUTED_VALUE"""),"BADGE")</f>
        <v>BADGE</v>
      </c>
      <c r="D391" s="5" t="str">
        <f>IFERROR(__xludf.DUMMYFUNCTION("""COMPUTED_VALUE"""),"ECUADOR NATIONAL TEAM")</f>
        <v>ECUADOR NATIONAL TEAM</v>
      </c>
      <c r="E391" s="5">
        <f>IFERROR(__xludf.DUMMYFUNCTION("""COMPUTED_VALUE"""),0.0)</f>
        <v>0</v>
      </c>
    </row>
    <row r="392">
      <c r="A392" s="5" t="str">
        <f>IFERROR(__xludf.DUMMYFUNCTION("""COMPUTED_VALUE"""),"ECU02")</f>
        <v>ECU02</v>
      </c>
      <c r="B392" s="5" t="str">
        <f>IFERROR(__xludf.DUMMYFUNCTION("""COMPUTED_VALUE"""),"ECUADOR")</f>
        <v>ECUADOR</v>
      </c>
      <c r="C392" s="5" t="str">
        <f>IFERROR(__xludf.DUMMYFUNCTION("""COMPUTED_VALUE"""),"NORMAL")</f>
        <v>NORMAL</v>
      </c>
      <c r="D392" s="5" t="str">
        <f>IFERROR(__xludf.DUMMYFUNCTION("""COMPUTED_VALUE"""),"HERNAN GALINDEZ")</f>
        <v>HERNAN GALINDEZ</v>
      </c>
      <c r="E392" s="5">
        <f>IFERROR(__xludf.DUMMYFUNCTION("""COMPUTED_VALUE"""),0.0)</f>
        <v>0</v>
      </c>
    </row>
    <row r="393">
      <c r="A393" s="5" t="str">
        <f>IFERROR(__xludf.DUMMYFUNCTION("""COMPUTED_VALUE"""),"ECU03")</f>
        <v>ECU03</v>
      </c>
      <c r="B393" s="5" t="str">
        <f>IFERROR(__xludf.DUMMYFUNCTION("""COMPUTED_VALUE"""),"ECUADOR")</f>
        <v>ECUADOR</v>
      </c>
      <c r="C393" s="5" t="str">
        <f>IFERROR(__xludf.DUMMYFUNCTION("""COMPUTED_VALUE"""),"NORMAL")</f>
        <v>NORMAL</v>
      </c>
      <c r="D393" s="5" t="str">
        <f>IFERROR(__xludf.DUMMYFUNCTION("""COMPUTED_VALUE"""),"GONZALO VALLE")</f>
        <v>GONZALO VALLE</v>
      </c>
      <c r="E393" s="5">
        <f>IFERROR(__xludf.DUMMYFUNCTION("""COMPUTED_VALUE"""),0.0)</f>
        <v>0</v>
      </c>
    </row>
    <row r="394">
      <c r="A394" s="5" t="str">
        <f>IFERROR(__xludf.DUMMYFUNCTION("""COMPUTED_VALUE"""),"ECU04")</f>
        <v>ECU04</v>
      </c>
      <c r="B394" s="5" t="str">
        <f>IFERROR(__xludf.DUMMYFUNCTION("""COMPUTED_VALUE"""),"ECUADOR")</f>
        <v>ECUADOR</v>
      </c>
      <c r="C394" s="5" t="str">
        <f>IFERROR(__xludf.DUMMYFUNCTION("""COMPUTED_VALUE"""),"NORMAL")</f>
        <v>NORMAL</v>
      </c>
      <c r="D394" s="5" t="str">
        <f>IFERROR(__xludf.DUMMYFUNCTION("""COMPUTED_VALUE"""),"PIERO HINCAPIE")</f>
        <v>PIERO HINCAPIE</v>
      </c>
      <c r="E394" s="5">
        <f>IFERROR(__xludf.DUMMYFUNCTION("""COMPUTED_VALUE"""),0.0)</f>
        <v>0</v>
      </c>
    </row>
    <row r="395">
      <c r="A395" s="5" t="str">
        <f>IFERROR(__xludf.DUMMYFUNCTION("""COMPUTED_VALUE"""),"ECU05")</f>
        <v>ECU05</v>
      </c>
      <c r="B395" s="5" t="str">
        <f>IFERROR(__xludf.DUMMYFUNCTION("""COMPUTED_VALUE"""),"ECUADOR")</f>
        <v>ECUADOR</v>
      </c>
      <c r="C395" s="5" t="str">
        <f>IFERROR(__xludf.DUMMYFUNCTION("""COMPUTED_VALUE"""),"NORMAL")</f>
        <v>NORMAL</v>
      </c>
      <c r="D395" s="5" t="str">
        <f>IFERROR(__xludf.DUMMYFUNCTION("""COMPUTED_VALUE"""),"PERVIS ESTUPIÑAN")</f>
        <v>PERVIS ESTUPIÑAN</v>
      </c>
      <c r="E395" s="5">
        <f>IFERROR(__xludf.DUMMYFUNCTION("""COMPUTED_VALUE"""),0.0)</f>
        <v>0</v>
      </c>
    </row>
    <row r="396">
      <c r="A396" s="5" t="str">
        <f>IFERROR(__xludf.DUMMYFUNCTION("""COMPUTED_VALUE"""),"ECU06")</f>
        <v>ECU06</v>
      </c>
      <c r="B396" s="5" t="str">
        <f>IFERROR(__xludf.DUMMYFUNCTION("""COMPUTED_VALUE"""),"ECUADOR")</f>
        <v>ECUADOR</v>
      </c>
      <c r="C396" s="5" t="str">
        <f>IFERROR(__xludf.DUMMYFUNCTION("""COMPUTED_VALUE"""),"NORMAL")</f>
        <v>NORMAL</v>
      </c>
      <c r="D396" s="5" t="str">
        <f>IFERROR(__xludf.DUMMYFUNCTION("""COMPUTED_VALUE"""),"WILLIAN PACHO")</f>
        <v>WILLIAN PACHO</v>
      </c>
      <c r="E396" s="5">
        <f>IFERROR(__xludf.DUMMYFUNCTION("""COMPUTED_VALUE"""),0.0)</f>
        <v>0</v>
      </c>
    </row>
    <row r="397">
      <c r="A397" s="5" t="str">
        <f>IFERROR(__xludf.DUMMYFUNCTION("""COMPUTED_VALUE"""),"ECU07")</f>
        <v>ECU07</v>
      </c>
      <c r="B397" s="5" t="str">
        <f>IFERROR(__xludf.DUMMYFUNCTION("""COMPUTED_VALUE"""),"ECUADOR")</f>
        <v>ECUADOR</v>
      </c>
      <c r="C397" s="5" t="str">
        <f>IFERROR(__xludf.DUMMYFUNCTION("""COMPUTED_VALUE"""),"NORMAL")</f>
        <v>NORMAL</v>
      </c>
      <c r="D397" s="5" t="str">
        <f>IFERROR(__xludf.DUMMYFUNCTION("""COMPUTED_VALUE"""),"ANGELO PRECIADO")</f>
        <v>ANGELO PRECIADO</v>
      </c>
      <c r="E397" s="5">
        <f>IFERROR(__xludf.DUMMYFUNCTION("""COMPUTED_VALUE"""),0.0)</f>
        <v>0</v>
      </c>
    </row>
    <row r="398">
      <c r="A398" s="5" t="str">
        <f>IFERROR(__xludf.DUMMYFUNCTION("""COMPUTED_VALUE"""),"ECU08")</f>
        <v>ECU08</v>
      </c>
      <c r="B398" s="5" t="str">
        <f>IFERROR(__xludf.DUMMYFUNCTION("""COMPUTED_VALUE"""),"ECUADOR")</f>
        <v>ECUADOR</v>
      </c>
      <c r="C398" s="5" t="str">
        <f>IFERROR(__xludf.DUMMYFUNCTION("""COMPUTED_VALUE"""),"NORMAL")</f>
        <v>NORMAL</v>
      </c>
      <c r="D398" s="5" t="str">
        <f>IFERROR(__xludf.DUMMYFUNCTION("""COMPUTED_VALUE"""),"JOEL ORDOÑEZ")</f>
        <v>JOEL ORDOÑEZ</v>
      </c>
      <c r="E398" s="5">
        <f>IFERROR(__xludf.DUMMYFUNCTION("""COMPUTED_VALUE"""),0.0)</f>
        <v>0</v>
      </c>
    </row>
    <row r="399">
      <c r="A399" s="5" t="str">
        <f>IFERROR(__xludf.DUMMYFUNCTION("""COMPUTED_VALUE"""),"ECU09")</f>
        <v>ECU09</v>
      </c>
      <c r="B399" s="5" t="str">
        <f>IFERROR(__xludf.DUMMYFUNCTION("""COMPUTED_VALUE"""),"ECUADOR")</f>
        <v>ECUADOR</v>
      </c>
      <c r="C399" s="5" t="str">
        <f>IFERROR(__xludf.DUMMYFUNCTION("""COMPUTED_VALUE"""),"NORMAL")</f>
        <v>NORMAL</v>
      </c>
      <c r="D399" s="5" t="str">
        <f>IFERROR(__xludf.DUMMYFUNCTION("""COMPUTED_VALUE"""),"MOISES CAICEDO")</f>
        <v>MOISES CAICEDO</v>
      </c>
      <c r="E399" s="5">
        <f>IFERROR(__xludf.DUMMYFUNCTION("""COMPUTED_VALUE"""),0.0)</f>
        <v>0</v>
      </c>
    </row>
    <row r="400">
      <c r="A400" s="5" t="str">
        <f>IFERROR(__xludf.DUMMYFUNCTION("""COMPUTED_VALUE"""),"ECU10")</f>
        <v>ECU10</v>
      </c>
      <c r="B400" s="5" t="str">
        <f>IFERROR(__xludf.DUMMYFUNCTION("""COMPUTED_VALUE"""),"ECUADOR")</f>
        <v>ECUADOR</v>
      </c>
      <c r="C400" s="5" t="str">
        <f>IFERROR(__xludf.DUMMYFUNCTION("""COMPUTED_VALUE"""),"NORMAL")</f>
        <v>NORMAL</v>
      </c>
      <c r="D400" s="5" t="str">
        <f>IFERROR(__xludf.DUMMYFUNCTION("""COMPUTED_VALUE"""),"ALAN FRANCO")</f>
        <v>ALAN FRANCO</v>
      </c>
      <c r="E400" s="5">
        <f>IFERROR(__xludf.DUMMYFUNCTION("""COMPUTED_VALUE"""),0.0)</f>
        <v>0</v>
      </c>
    </row>
    <row r="401">
      <c r="A401" s="5" t="str">
        <f>IFERROR(__xludf.DUMMYFUNCTION("""COMPUTED_VALUE"""),"ECU11")</f>
        <v>ECU11</v>
      </c>
      <c r="B401" s="5" t="str">
        <f>IFERROR(__xludf.DUMMYFUNCTION("""COMPUTED_VALUE"""),"ECUADOR")</f>
        <v>ECUADOR</v>
      </c>
      <c r="C401" s="5" t="str">
        <f>IFERROR(__xludf.DUMMYFUNCTION("""COMPUTED_VALUE"""),"NORMAL")</f>
        <v>NORMAL</v>
      </c>
      <c r="D401" s="5" t="str">
        <f>IFERROR(__xludf.DUMMYFUNCTION("""COMPUTED_VALUE"""),"KENDRY PAEZ")</f>
        <v>KENDRY PAEZ</v>
      </c>
      <c r="E401" s="5">
        <f>IFERROR(__xludf.DUMMYFUNCTION("""COMPUTED_VALUE"""),0.0)</f>
        <v>0</v>
      </c>
    </row>
    <row r="402">
      <c r="A402" s="5" t="str">
        <f>IFERROR(__xludf.DUMMYFUNCTION("""COMPUTED_VALUE"""),"ECU12")</f>
        <v>ECU12</v>
      </c>
      <c r="B402" s="5" t="str">
        <f>IFERROR(__xludf.DUMMYFUNCTION("""COMPUTED_VALUE"""),"ECUADOR")</f>
        <v>ECUADOR</v>
      </c>
      <c r="C402" s="5" t="str">
        <f>IFERROR(__xludf.DUMMYFUNCTION("""COMPUTED_VALUE"""),"NORMAL")</f>
        <v>NORMAL</v>
      </c>
      <c r="D402" s="5" t="str">
        <f>IFERROR(__xludf.DUMMYFUNCTION("""COMPUTED_VALUE"""),"PEDRO VITE")</f>
        <v>PEDRO VITE</v>
      </c>
      <c r="E402" s="5">
        <f>IFERROR(__xludf.DUMMYFUNCTION("""COMPUTED_VALUE"""),0.0)</f>
        <v>0</v>
      </c>
    </row>
    <row r="403">
      <c r="A403" s="5" t="str">
        <f>IFERROR(__xludf.DUMMYFUNCTION("""COMPUTED_VALUE"""),"ECU13")</f>
        <v>ECU13</v>
      </c>
      <c r="B403" s="5" t="str">
        <f>IFERROR(__xludf.DUMMYFUNCTION("""COMPUTED_VALUE"""),"ECUADOR")</f>
        <v>ECUADOR</v>
      </c>
      <c r="C403" s="5" t="str">
        <f>IFERROR(__xludf.DUMMYFUNCTION("""COMPUTED_VALUE"""),"TEAM")</f>
        <v>TEAM</v>
      </c>
      <c r="D403" s="5" t="str">
        <f>IFERROR(__xludf.DUMMYFUNCTION("""COMPUTED_VALUE"""),"ECUADOR NATIONAL TEAM")</f>
        <v>ECUADOR NATIONAL TEAM</v>
      </c>
      <c r="E403" s="5">
        <f>IFERROR(__xludf.DUMMYFUNCTION("""COMPUTED_VALUE"""),0.0)</f>
        <v>0</v>
      </c>
    </row>
    <row r="404">
      <c r="A404" s="5" t="str">
        <f>IFERROR(__xludf.DUMMYFUNCTION("""COMPUTED_VALUE"""),"ECU14")</f>
        <v>ECU14</v>
      </c>
      <c r="B404" s="5" t="str">
        <f>IFERROR(__xludf.DUMMYFUNCTION("""COMPUTED_VALUE"""),"ECUADOR")</f>
        <v>ECUADOR</v>
      </c>
      <c r="C404" s="5" t="str">
        <f>IFERROR(__xludf.DUMMYFUNCTION("""COMPUTED_VALUE"""),"NORMAL")</f>
        <v>NORMAL</v>
      </c>
      <c r="D404" s="5" t="str">
        <f>IFERROR(__xludf.DUMMYFUNCTION("""COMPUTED_VALUE"""),"JOHN YEBOAH")</f>
        <v>JOHN YEBOAH</v>
      </c>
      <c r="E404" s="5">
        <f>IFERROR(__xludf.DUMMYFUNCTION("""COMPUTED_VALUE"""),0.0)</f>
        <v>0</v>
      </c>
    </row>
    <row r="405">
      <c r="A405" s="5" t="str">
        <f>IFERROR(__xludf.DUMMYFUNCTION("""COMPUTED_VALUE"""),"ECU15")</f>
        <v>ECU15</v>
      </c>
      <c r="B405" s="5" t="str">
        <f>IFERROR(__xludf.DUMMYFUNCTION("""COMPUTED_VALUE"""),"ECUADOR")</f>
        <v>ECUADOR</v>
      </c>
      <c r="C405" s="5" t="str">
        <f>IFERROR(__xludf.DUMMYFUNCTION("""COMPUTED_VALUE"""),"NORMAL")</f>
        <v>NORMAL</v>
      </c>
      <c r="D405" s="5" t="str">
        <f>IFERROR(__xludf.DUMMYFUNCTION("""COMPUTED_VALUE"""),"LEONARDO CAMPANA")</f>
        <v>LEONARDO CAMPANA</v>
      </c>
      <c r="E405" s="5">
        <f>IFERROR(__xludf.DUMMYFUNCTION("""COMPUTED_VALUE"""),0.0)</f>
        <v>0</v>
      </c>
    </row>
    <row r="406">
      <c r="A406" s="5" t="str">
        <f>IFERROR(__xludf.DUMMYFUNCTION("""COMPUTED_VALUE"""),"ECU16")</f>
        <v>ECU16</v>
      </c>
      <c r="B406" s="5" t="str">
        <f>IFERROR(__xludf.DUMMYFUNCTION("""COMPUTED_VALUE"""),"ECUADOR")</f>
        <v>ECUADOR</v>
      </c>
      <c r="C406" s="5" t="str">
        <f>IFERROR(__xludf.DUMMYFUNCTION("""COMPUTED_VALUE"""),"NORMAL")</f>
        <v>NORMAL</v>
      </c>
      <c r="D406" s="5" t="str">
        <f>IFERROR(__xludf.DUMMYFUNCTION("""COMPUTED_VALUE"""),"GONZALO PLATA")</f>
        <v>GONZALO PLATA</v>
      </c>
      <c r="E406" s="5">
        <f>IFERROR(__xludf.DUMMYFUNCTION("""COMPUTED_VALUE"""),0.0)</f>
        <v>0</v>
      </c>
    </row>
    <row r="407">
      <c r="A407" s="5" t="str">
        <f>IFERROR(__xludf.DUMMYFUNCTION("""COMPUTED_VALUE"""),"ECU17")</f>
        <v>ECU17</v>
      </c>
      <c r="B407" s="5" t="str">
        <f>IFERROR(__xludf.DUMMYFUNCTION("""COMPUTED_VALUE"""),"ECUADOR")</f>
        <v>ECUADOR</v>
      </c>
      <c r="C407" s="5" t="str">
        <f>IFERROR(__xludf.DUMMYFUNCTION("""COMPUTED_VALUE"""),"NORMAL")</f>
        <v>NORMAL</v>
      </c>
      <c r="D407" s="5" t="str">
        <f>IFERROR(__xludf.DUMMYFUNCTION("""COMPUTED_VALUE"""),"NILSON ANGULO")</f>
        <v>NILSON ANGULO</v>
      </c>
      <c r="E407" s="5">
        <f>IFERROR(__xludf.DUMMYFUNCTION("""COMPUTED_VALUE"""),0.0)</f>
        <v>0</v>
      </c>
    </row>
    <row r="408">
      <c r="A408" s="5" t="str">
        <f>IFERROR(__xludf.DUMMYFUNCTION("""COMPUTED_VALUE"""),"ECU18")</f>
        <v>ECU18</v>
      </c>
      <c r="B408" s="5" t="str">
        <f>IFERROR(__xludf.DUMMYFUNCTION("""COMPUTED_VALUE"""),"ECUADOR")</f>
        <v>ECUADOR</v>
      </c>
      <c r="C408" s="5" t="str">
        <f>IFERROR(__xludf.DUMMYFUNCTION("""COMPUTED_VALUE"""),"NORMAL")</f>
        <v>NORMAL</v>
      </c>
      <c r="D408" s="5" t="str">
        <f>IFERROR(__xludf.DUMMYFUNCTION("""COMPUTED_VALUE"""),"ALAN MINDA")</f>
        <v>ALAN MINDA</v>
      </c>
      <c r="E408" s="5">
        <f>IFERROR(__xludf.DUMMYFUNCTION("""COMPUTED_VALUE"""),0.0)</f>
        <v>0</v>
      </c>
    </row>
    <row r="409">
      <c r="A409" s="5" t="str">
        <f>IFERROR(__xludf.DUMMYFUNCTION("""COMPUTED_VALUE"""),"ECU19")</f>
        <v>ECU19</v>
      </c>
      <c r="B409" s="5" t="str">
        <f>IFERROR(__xludf.DUMMYFUNCTION("""COMPUTED_VALUE"""),"ECUADOR")</f>
        <v>ECUADOR</v>
      </c>
      <c r="C409" s="5" t="str">
        <f>IFERROR(__xludf.DUMMYFUNCTION("""COMPUTED_VALUE"""),"NORMAL")</f>
        <v>NORMAL</v>
      </c>
      <c r="D409" s="5" t="str">
        <f>IFERROR(__xludf.DUMMYFUNCTION("""COMPUTED_VALUE"""),"KEVIN RODRIGUEZ")</f>
        <v>KEVIN RODRIGUEZ</v>
      </c>
      <c r="E409" s="5">
        <f>IFERROR(__xludf.DUMMYFUNCTION("""COMPUTED_VALUE"""),0.0)</f>
        <v>0</v>
      </c>
    </row>
    <row r="410">
      <c r="A410" s="5" t="str">
        <f>IFERROR(__xludf.DUMMYFUNCTION("""COMPUTED_VALUE"""),"ECU20")</f>
        <v>ECU20</v>
      </c>
      <c r="B410" s="5" t="str">
        <f>IFERROR(__xludf.DUMMYFUNCTION("""COMPUTED_VALUE"""),"ECUADOR")</f>
        <v>ECUADOR</v>
      </c>
      <c r="C410" s="5" t="str">
        <f>IFERROR(__xludf.DUMMYFUNCTION("""COMPUTED_VALUE"""),"NORMAL")</f>
        <v>NORMAL</v>
      </c>
      <c r="D410" s="5" t="str">
        <f>IFERROR(__xludf.DUMMYFUNCTION("""COMPUTED_VALUE"""),"ENNER VALENCIA")</f>
        <v>ENNER VALENCIA</v>
      </c>
      <c r="E410" s="5">
        <f>IFERROR(__xludf.DUMMYFUNCTION("""COMPUTED_VALUE"""),0.0)</f>
        <v>0</v>
      </c>
    </row>
    <row r="411">
      <c r="A411" s="5" t="str">
        <f>IFERROR(__xludf.DUMMYFUNCTION("""COMPUTED_VALUE"""),"NED01")</f>
        <v>NED01</v>
      </c>
      <c r="B411" s="5" t="str">
        <f>IFERROR(__xludf.DUMMYFUNCTION("""COMPUTED_VALUE"""),"NETHERLANDS")</f>
        <v>NETHERLANDS</v>
      </c>
      <c r="C411" s="5" t="str">
        <f>IFERROR(__xludf.DUMMYFUNCTION("""COMPUTED_VALUE"""),"BADGE")</f>
        <v>BADGE</v>
      </c>
      <c r="D411" s="5" t="str">
        <f>IFERROR(__xludf.DUMMYFUNCTION("""COMPUTED_VALUE"""),"NETHERLANDS NATIONAL TEAM")</f>
        <v>NETHERLANDS NATIONAL TEAM</v>
      </c>
      <c r="E411" s="5">
        <f>IFERROR(__xludf.DUMMYFUNCTION("""COMPUTED_VALUE"""),0.0)</f>
        <v>0</v>
      </c>
    </row>
    <row r="412">
      <c r="A412" s="5" t="str">
        <f>IFERROR(__xludf.DUMMYFUNCTION("""COMPUTED_VALUE"""),"NED02")</f>
        <v>NED02</v>
      </c>
      <c r="B412" s="5" t="str">
        <f>IFERROR(__xludf.DUMMYFUNCTION("""COMPUTED_VALUE"""),"NETHERLANDS")</f>
        <v>NETHERLANDS</v>
      </c>
      <c r="C412" s="5" t="str">
        <f>IFERROR(__xludf.DUMMYFUNCTION("""COMPUTED_VALUE"""),"NORMAL")</f>
        <v>NORMAL</v>
      </c>
      <c r="D412" s="5" t="str">
        <f>IFERROR(__xludf.DUMMYFUNCTION("""COMPUTED_VALUE"""),"BART VERBRUGGEN")</f>
        <v>BART VERBRUGGEN</v>
      </c>
      <c r="E412" s="5">
        <f>IFERROR(__xludf.DUMMYFUNCTION("""COMPUTED_VALUE"""),0.0)</f>
        <v>0</v>
      </c>
    </row>
    <row r="413">
      <c r="A413" s="5" t="str">
        <f>IFERROR(__xludf.DUMMYFUNCTION("""COMPUTED_VALUE"""),"NED03")</f>
        <v>NED03</v>
      </c>
      <c r="B413" s="5" t="str">
        <f>IFERROR(__xludf.DUMMYFUNCTION("""COMPUTED_VALUE"""),"NETHERLANDS")</f>
        <v>NETHERLANDS</v>
      </c>
      <c r="C413" s="5" t="str">
        <f>IFERROR(__xludf.DUMMYFUNCTION("""COMPUTED_VALUE"""),"NORMAL")</f>
        <v>NORMAL</v>
      </c>
      <c r="D413" s="5" t="str">
        <f>IFERROR(__xludf.DUMMYFUNCTION("""COMPUTED_VALUE"""),"VIRGIL VAN DIJK")</f>
        <v>VIRGIL VAN DIJK</v>
      </c>
      <c r="E413" s="5">
        <f>IFERROR(__xludf.DUMMYFUNCTION("""COMPUTED_VALUE"""),0.0)</f>
        <v>0</v>
      </c>
    </row>
    <row r="414">
      <c r="A414" s="5" t="str">
        <f>IFERROR(__xludf.DUMMYFUNCTION("""COMPUTED_VALUE"""),"NED04")</f>
        <v>NED04</v>
      </c>
      <c r="B414" s="5" t="str">
        <f>IFERROR(__xludf.DUMMYFUNCTION("""COMPUTED_VALUE"""),"NETHERLANDS")</f>
        <v>NETHERLANDS</v>
      </c>
      <c r="C414" s="5" t="str">
        <f>IFERROR(__xludf.DUMMYFUNCTION("""COMPUTED_VALUE"""),"NORMAL")</f>
        <v>NORMAL</v>
      </c>
      <c r="D414" s="5" t="str">
        <f>IFERROR(__xludf.DUMMYFUNCTION("""COMPUTED_VALUE"""),"MICKY VAN DE VEN")</f>
        <v>MICKY VAN DE VEN</v>
      </c>
      <c r="E414" s="5">
        <f>IFERROR(__xludf.DUMMYFUNCTION("""COMPUTED_VALUE"""),0.0)</f>
        <v>0</v>
      </c>
    </row>
    <row r="415">
      <c r="A415" s="5" t="str">
        <f>IFERROR(__xludf.DUMMYFUNCTION("""COMPUTED_VALUE"""),"NED05")</f>
        <v>NED05</v>
      </c>
      <c r="B415" s="5" t="str">
        <f>IFERROR(__xludf.DUMMYFUNCTION("""COMPUTED_VALUE"""),"NETHERLANDS")</f>
        <v>NETHERLANDS</v>
      </c>
      <c r="C415" s="5" t="str">
        <f>IFERROR(__xludf.DUMMYFUNCTION("""COMPUTED_VALUE"""),"NORMAL")</f>
        <v>NORMAL</v>
      </c>
      <c r="D415" s="5" t="str">
        <f>IFERROR(__xludf.DUMMYFUNCTION("""COMPUTED_VALUE"""),"JURRIEN TIMBER")</f>
        <v>JURRIEN TIMBER</v>
      </c>
      <c r="E415" s="5">
        <f>IFERROR(__xludf.DUMMYFUNCTION("""COMPUTED_VALUE"""),0.0)</f>
        <v>0</v>
      </c>
    </row>
    <row r="416">
      <c r="A416" s="5" t="str">
        <f>IFERROR(__xludf.DUMMYFUNCTION("""COMPUTED_VALUE"""),"NED06")</f>
        <v>NED06</v>
      </c>
      <c r="B416" s="5" t="str">
        <f>IFERROR(__xludf.DUMMYFUNCTION("""COMPUTED_VALUE"""),"NETHERLANDS")</f>
        <v>NETHERLANDS</v>
      </c>
      <c r="C416" s="5" t="str">
        <f>IFERROR(__xludf.DUMMYFUNCTION("""COMPUTED_VALUE"""),"NORMAL")</f>
        <v>NORMAL</v>
      </c>
      <c r="D416" s="5" t="str">
        <f>IFERROR(__xludf.DUMMYFUNCTION("""COMPUTED_VALUE"""),"DENZEL DUMFRIES")</f>
        <v>DENZEL DUMFRIES</v>
      </c>
      <c r="E416" s="5">
        <f>IFERROR(__xludf.DUMMYFUNCTION("""COMPUTED_VALUE"""),0.0)</f>
        <v>0</v>
      </c>
    </row>
    <row r="417">
      <c r="A417" s="5" t="str">
        <f>IFERROR(__xludf.DUMMYFUNCTION("""COMPUTED_VALUE"""),"NED07")</f>
        <v>NED07</v>
      </c>
      <c r="B417" s="5" t="str">
        <f>IFERROR(__xludf.DUMMYFUNCTION("""COMPUTED_VALUE"""),"NETHERLANDS")</f>
        <v>NETHERLANDS</v>
      </c>
      <c r="C417" s="5" t="str">
        <f>IFERROR(__xludf.DUMMYFUNCTION("""COMPUTED_VALUE"""),"NORMAL")</f>
        <v>NORMAL</v>
      </c>
      <c r="D417" s="5" t="str">
        <f>IFERROR(__xludf.DUMMYFUNCTION("""COMPUTED_VALUE"""),"NATHAN AKE")</f>
        <v>NATHAN AKE</v>
      </c>
      <c r="E417" s="5">
        <f>IFERROR(__xludf.DUMMYFUNCTION("""COMPUTED_VALUE"""),0.0)</f>
        <v>0</v>
      </c>
    </row>
    <row r="418">
      <c r="A418" s="5" t="str">
        <f>IFERROR(__xludf.DUMMYFUNCTION("""COMPUTED_VALUE"""),"NED08")</f>
        <v>NED08</v>
      </c>
      <c r="B418" s="5" t="str">
        <f>IFERROR(__xludf.DUMMYFUNCTION("""COMPUTED_VALUE"""),"NETHERLANDS")</f>
        <v>NETHERLANDS</v>
      </c>
      <c r="C418" s="5" t="str">
        <f>IFERROR(__xludf.DUMMYFUNCTION("""COMPUTED_VALUE"""),"NORMAL")</f>
        <v>NORMAL</v>
      </c>
      <c r="D418" s="5" t="str">
        <f>IFERROR(__xludf.DUMMYFUNCTION("""COMPUTED_VALUE"""),"JAREMIE FRIMPONG")</f>
        <v>JAREMIE FRIMPONG</v>
      </c>
      <c r="E418" s="5">
        <f>IFERROR(__xludf.DUMMYFUNCTION("""COMPUTED_VALUE"""),0.0)</f>
        <v>0</v>
      </c>
    </row>
    <row r="419">
      <c r="A419" s="5" t="str">
        <f>IFERROR(__xludf.DUMMYFUNCTION("""COMPUTED_VALUE"""),"NED09")</f>
        <v>NED09</v>
      </c>
      <c r="B419" s="5" t="str">
        <f>IFERROR(__xludf.DUMMYFUNCTION("""COMPUTED_VALUE"""),"NETHERLANDS")</f>
        <v>NETHERLANDS</v>
      </c>
      <c r="C419" s="5" t="str">
        <f>IFERROR(__xludf.DUMMYFUNCTION("""COMPUTED_VALUE"""),"NORMAL")</f>
        <v>NORMAL</v>
      </c>
      <c r="D419" s="5" t="str">
        <f>IFERROR(__xludf.DUMMYFUNCTION("""COMPUTED_VALUE"""),"JAN PAUL VAN HECKE")</f>
        <v>JAN PAUL VAN HECKE</v>
      </c>
      <c r="E419" s="5">
        <f>IFERROR(__xludf.DUMMYFUNCTION("""COMPUTED_VALUE"""),0.0)</f>
        <v>0</v>
      </c>
    </row>
    <row r="420">
      <c r="A420" s="5" t="str">
        <f>IFERROR(__xludf.DUMMYFUNCTION("""COMPUTED_VALUE"""),"NED10")</f>
        <v>NED10</v>
      </c>
      <c r="B420" s="5" t="str">
        <f>IFERROR(__xludf.DUMMYFUNCTION("""COMPUTED_VALUE"""),"NETHERLANDS")</f>
        <v>NETHERLANDS</v>
      </c>
      <c r="C420" s="5" t="str">
        <f>IFERROR(__xludf.DUMMYFUNCTION("""COMPUTED_VALUE"""),"NORMAL")</f>
        <v>NORMAL</v>
      </c>
      <c r="D420" s="5" t="str">
        <f>IFERROR(__xludf.DUMMYFUNCTION("""COMPUTED_VALUE"""),"TIJJANI REIJNDERS")</f>
        <v>TIJJANI REIJNDERS</v>
      </c>
      <c r="E420" s="5">
        <f>IFERROR(__xludf.DUMMYFUNCTION("""COMPUTED_VALUE"""),0.0)</f>
        <v>0</v>
      </c>
    </row>
    <row r="421">
      <c r="A421" s="5" t="str">
        <f>IFERROR(__xludf.DUMMYFUNCTION("""COMPUTED_VALUE"""),"NED11")</f>
        <v>NED11</v>
      </c>
      <c r="B421" s="5" t="str">
        <f>IFERROR(__xludf.DUMMYFUNCTION("""COMPUTED_VALUE"""),"NETHERLANDS")</f>
        <v>NETHERLANDS</v>
      </c>
      <c r="C421" s="5" t="str">
        <f>IFERROR(__xludf.DUMMYFUNCTION("""COMPUTED_VALUE"""),"NORMAL")</f>
        <v>NORMAL</v>
      </c>
      <c r="D421" s="5" t="str">
        <f>IFERROR(__xludf.DUMMYFUNCTION("""COMPUTED_VALUE"""),"RYAN GRAVENBERCH")</f>
        <v>RYAN GRAVENBERCH</v>
      </c>
      <c r="E421" s="5">
        <f>IFERROR(__xludf.DUMMYFUNCTION("""COMPUTED_VALUE"""),0.0)</f>
        <v>0</v>
      </c>
    </row>
    <row r="422">
      <c r="A422" s="5" t="str">
        <f>IFERROR(__xludf.DUMMYFUNCTION("""COMPUTED_VALUE"""),"NED12")</f>
        <v>NED12</v>
      </c>
      <c r="B422" s="5" t="str">
        <f>IFERROR(__xludf.DUMMYFUNCTION("""COMPUTED_VALUE"""),"NETHERLANDS")</f>
        <v>NETHERLANDS</v>
      </c>
      <c r="C422" s="5" t="str">
        <f>IFERROR(__xludf.DUMMYFUNCTION("""COMPUTED_VALUE"""),"NORMAL")</f>
        <v>NORMAL</v>
      </c>
      <c r="D422" s="5" t="str">
        <f>IFERROR(__xludf.DUMMYFUNCTION("""COMPUTED_VALUE"""),"TEUN KOOPMEINERS")</f>
        <v>TEUN KOOPMEINERS</v>
      </c>
      <c r="E422" s="5">
        <f>IFERROR(__xludf.DUMMYFUNCTION("""COMPUTED_VALUE"""),0.0)</f>
        <v>0</v>
      </c>
    </row>
    <row r="423">
      <c r="A423" s="5" t="str">
        <f>IFERROR(__xludf.DUMMYFUNCTION("""COMPUTED_VALUE"""),"NED13")</f>
        <v>NED13</v>
      </c>
      <c r="B423" s="5" t="str">
        <f>IFERROR(__xludf.DUMMYFUNCTION("""COMPUTED_VALUE"""),"NETHERLANDS")</f>
        <v>NETHERLANDS</v>
      </c>
      <c r="C423" s="5" t="str">
        <f>IFERROR(__xludf.DUMMYFUNCTION("""COMPUTED_VALUE"""),"TEAM")</f>
        <v>TEAM</v>
      </c>
      <c r="D423" s="5" t="str">
        <f>IFERROR(__xludf.DUMMYFUNCTION("""COMPUTED_VALUE"""),"NETHERLANDS NATIONAL TEAM")</f>
        <v>NETHERLANDS NATIONAL TEAM</v>
      </c>
      <c r="E423" s="5">
        <f>IFERROR(__xludf.DUMMYFUNCTION("""COMPUTED_VALUE"""),0.0)</f>
        <v>0</v>
      </c>
    </row>
    <row r="424">
      <c r="A424" s="5" t="str">
        <f>IFERROR(__xludf.DUMMYFUNCTION("""COMPUTED_VALUE"""),"NED14")</f>
        <v>NED14</v>
      </c>
      <c r="B424" s="5" t="str">
        <f>IFERROR(__xludf.DUMMYFUNCTION("""COMPUTED_VALUE"""),"NETHERLANDS")</f>
        <v>NETHERLANDS</v>
      </c>
      <c r="C424" s="5" t="str">
        <f>IFERROR(__xludf.DUMMYFUNCTION("""COMPUTED_VALUE"""),"NORMAL")</f>
        <v>NORMAL</v>
      </c>
      <c r="D424" s="5" t="str">
        <f>IFERROR(__xludf.DUMMYFUNCTION("""COMPUTED_VALUE"""),"FRENKIE DE JONG")</f>
        <v>FRENKIE DE JONG</v>
      </c>
      <c r="E424" s="5">
        <f>IFERROR(__xludf.DUMMYFUNCTION("""COMPUTED_VALUE"""),0.0)</f>
        <v>0</v>
      </c>
    </row>
    <row r="425">
      <c r="A425" s="5" t="str">
        <f>IFERROR(__xludf.DUMMYFUNCTION("""COMPUTED_VALUE"""),"NED15")</f>
        <v>NED15</v>
      </c>
      <c r="B425" s="5" t="str">
        <f>IFERROR(__xludf.DUMMYFUNCTION("""COMPUTED_VALUE"""),"NETHERLANDS")</f>
        <v>NETHERLANDS</v>
      </c>
      <c r="C425" s="5" t="str">
        <f>IFERROR(__xludf.DUMMYFUNCTION("""COMPUTED_VALUE"""),"NORMAL")</f>
        <v>NORMAL</v>
      </c>
      <c r="D425" s="5" t="str">
        <f>IFERROR(__xludf.DUMMYFUNCTION("""COMPUTED_VALUE"""),"XAVI SIMMONS")</f>
        <v>XAVI SIMMONS</v>
      </c>
      <c r="E425" s="5">
        <f>IFERROR(__xludf.DUMMYFUNCTION("""COMPUTED_VALUE"""),0.0)</f>
        <v>0</v>
      </c>
    </row>
    <row r="426">
      <c r="A426" s="5" t="str">
        <f>IFERROR(__xludf.DUMMYFUNCTION("""COMPUTED_VALUE"""),"NED16")</f>
        <v>NED16</v>
      </c>
      <c r="B426" s="5" t="str">
        <f>IFERROR(__xludf.DUMMYFUNCTION("""COMPUTED_VALUE"""),"NETHERLANDS")</f>
        <v>NETHERLANDS</v>
      </c>
      <c r="C426" s="5" t="str">
        <f>IFERROR(__xludf.DUMMYFUNCTION("""COMPUTED_VALUE"""),"NORMAL")</f>
        <v>NORMAL</v>
      </c>
      <c r="D426" s="5" t="str">
        <f>IFERROR(__xludf.DUMMYFUNCTION("""COMPUTED_VALUE"""),"JUSTIN KLUIVERT")</f>
        <v>JUSTIN KLUIVERT</v>
      </c>
      <c r="E426" s="5">
        <f>IFERROR(__xludf.DUMMYFUNCTION("""COMPUTED_VALUE"""),0.0)</f>
        <v>0</v>
      </c>
    </row>
    <row r="427">
      <c r="A427" s="5" t="str">
        <f>IFERROR(__xludf.DUMMYFUNCTION("""COMPUTED_VALUE"""),"NED17")</f>
        <v>NED17</v>
      </c>
      <c r="B427" s="5" t="str">
        <f>IFERROR(__xludf.DUMMYFUNCTION("""COMPUTED_VALUE"""),"NETHERLANDS")</f>
        <v>NETHERLANDS</v>
      </c>
      <c r="C427" s="5" t="str">
        <f>IFERROR(__xludf.DUMMYFUNCTION("""COMPUTED_VALUE"""),"NORMAL")</f>
        <v>NORMAL</v>
      </c>
      <c r="D427" s="5" t="str">
        <f>IFERROR(__xludf.DUMMYFUNCTION("""COMPUTED_VALUE"""),"MEMPHIS DEPAY")</f>
        <v>MEMPHIS DEPAY</v>
      </c>
      <c r="E427" s="5">
        <f>IFERROR(__xludf.DUMMYFUNCTION("""COMPUTED_VALUE"""),0.0)</f>
        <v>0</v>
      </c>
    </row>
    <row r="428">
      <c r="A428" s="5" t="str">
        <f>IFERROR(__xludf.DUMMYFUNCTION("""COMPUTED_VALUE"""),"NED18")</f>
        <v>NED18</v>
      </c>
      <c r="B428" s="5" t="str">
        <f>IFERROR(__xludf.DUMMYFUNCTION("""COMPUTED_VALUE"""),"NETHERLANDS")</f>
        <v>NETHERLANDS</v>
      </c>
      <c r="C428" s="5" t="str">
        <f>IFERROR(__xludf.DUMMYFUNCTION("""COMPUTED_VALUE"""),"NORMAL")</f>
        <v>NORMAL</v>
      </c>
      <c r="D428" s="5" t="str">
        <f>IFERROR(__xludf.DUMMYFUNCTION("""COMPUTED_VALUE"""),"DONYELL MALEN")</f>
        <v>DONYELL MALEN</v>
      </c>
      <c r="E428" s="5">
        <f>IFERROR(__xludf.DUMMYFUNCTION("""COMPUTED_VALUE"""),0.0)</f>
        <v>0</v>
      </c>
    </row>
    <row r="429">
      <c r="A429" s="5" t="str">
        <f>IFERROR(__xludf.DUMMYFUNCTION("""COMPUTED_VALUE"""),"NED19")</f>
        <v>NED19</v>
      </c>
      <c r="B429" s="5" t="str">
        <f>IFERROR(__xludf.DUMMYFUNCTION("""COMPUTED_VALUE"""),"NETHERLANDS")</f>
        <v>NETHERLANDS</v>
      </c>
      <c r="C429" s="5" t="str">
        <f>IFERROR(__xludf.DUMMYFUNCTION("""COMPUTED_VALUE"""),"NORMAL")</f>
        <v>NORMAL</v>
      </c>
      <c r="D429" s="5" t="str">
        <f>IFERROR(__xludf.DUMMYFUNCTION("""COMPUTED_VALUE"""),"WOUT WEGHORST")</f>
        <v>WOUT WEGHORST</v>
      </c>
      <c r="E429" s="5">
        <f>IFERROR(__xludf.DUMMYFUNCTION("""COMPUTED_VALUE"""),0.0)</f>
        <v>0</v>
      </c>
    </row>
    <row r="430">
      <c r="A430" s="5" t="str">
        <f>IFERROR(__xludf.DUMMYFUNCTION("""COMPUTED_VALUE"""),"NED20")</f>
        <v>NED20</v>
      </c>
      <c r="B430" s="5" t="str">
        <f>IFERROR(__xludf.DUMMYFUNCTION("""COMPUTED_VALUE"""),"NETHERLANDS")</f>
        <v>NETHERLANDS</v>
      </c>
      <c r="C430" s="5" t="str">
        <f>IFERROR(__xludf.DUMMYFUNCTION("""COMPUTED_VALUE"""),"NORMAL")</f>
        <v>NORMAL</v>
      </c>
      <c r="D430" s="5" t="str">
        <f>IFERROR(__xludf.DUMMYFUNCTION("""COMPUTED_VALUE"""),"CODY GAKPO")</f>
        <v>CODY GAKPO</v>
      </c>
      <c r="E430" s="5">
        <f>IFERROR(__xludf.DUMMYFUNCTION("""COMPUTED_VALUE"""),0.0)</f>
        <v>0</v>
      </c>
    </row>
    <row r="431">
      <c r="A431" s="7" t="str">
        <f>IFERROR(__xludf.DUMMYFUNCTION("""COMPUTED_VALUE"""),"JAP01")</f>
        <v>JAP01</v>
      </c>
      <c r="B431" s="5" t="str">
        <f>IFERROR(__xludf.DUMMYFUNCTION("""COMPUTED_VALUE"""),"JAPAN")</f>
        <v>JAPAN</v>
      </c>
      <c r="C431" s="5" t="str">
        <f>IFERROR(__xludf.DUMMYFUNCTION("""COMPUTED_VALUE"""),"BADGE")</f>
        <v>BADGE</v>
      </c>
      <c r="D431" s="5" t="str">
        <f>IFERROR(__xludf.DUMMYFUNCTION("""COMPUTED_VALUE"""),"JAPAN NATIONAL TEAM")</f>
        <v>JAPAN NATIONAL TEAM</v>
      </c>
      <c r="E431" s="5">
        <f>IFERROR(__xludf.DUMMYFUNCTION("""COMPUTED_VALUE"""),0.0)</f>
        <v>0</v>
      </c>
    </row>
    <row r="432">
      <c r="A432" s="7" t="str">
        <f>IFERROR(__xludf.DUMMYFUNCTION("""COMPUTED_VALUE"""),"JAP02")</f>
        <v>JAP02</v>
      </c>
      <c r="B432" s="5" t="str">
        <f>IFERROR(__xludf.DUMMYFUNCTION("""COMPUTED_VALUE"""),"JAPAN")</f>
        <v>JAPAN</v>
      </c>
      <c r="C432" s="5" t="str">
        <f>IFERROR(__xludf.DUMMYFUNCTION("""COMPUTED_VALUE"""),"NORMAL")</f>
        <v>NORMAL</v>
      </c>
      <c r="D432" s="5" t="str">
        <f>IFERROR(__xludf.DUMMYFUNCTION("""COMPUTED_VALUE"""),"ZION SUZUKI")</f>
        <v>ZION SUZUKI</v>
      </c>
      <c r="E432" s="5">
        <f>IFERROR(__xludf.DUMMYFUNCTION("""COMPUTED_VALUE"""),0.0)</f>
        <v>0</v>
      </c>
    </row>
    <row r="433">
      <c r="A433" s="7" t="str">
        <f>IFERROR(__xludf.DUMMYFUNCTION("""COMPUTED_VALUE"""),"JAP03")</f>
        <v>JAP03</v>
      </c>
      <c r="B433" s="5" t="str">
        <f>IFERROR(__xludf.DUMMYFUNCTION("""COMPUTED_VALUE"""),"JAPAN")</f>
        <v>JAPAN</v>
      </c>
      <c r="C433" s="5" t="str">
        <f>IFERROR(__xludf.DUMMYFUNCTION("""COMPUTED_VALUE"""),"NORMAL")</f>
        <v>NORMAL</v>
      </c>
      <c r="D433" s="5" t="str">
        <f>IFERROR(__xludf.DUMMYFUNCTION("""COMPUTED_VALUE"""),"HENRY HEROKI MOCHIZUKI")</f>
        <v>HENRY HEROKI MOCHIZUKI</v>
      </c>
      <c r="E433" s="5">
        <f>IFERROR(__xludf.DUMMYFUNCTION("""COMPUTED_VALUE"""),0.0)</f>
        <v>0</v>
      </c>
    </row>
    <row r="434">
      <c r="A434" s="7" t="str">
        <f>IFERROR(__xludf.DUMMYFUNCTION("""COMPUTED_VALUE"""),"JAP04")</f>
        <v>JAP04</v>
      </c>
      <c r="B434" s="5" t="str">
        <f>IFERROR(__xludf.DUMMYFUNCTION("""COMPUTED_VALUE"""),"JAPAN")</f>
        <v>JAPAN</v>
      </c>
      <c r="C434" s="5" t="str">
        <f>IFERROR(__xludf.DUMMYFUNCTION("""COMPUTED_VALUE"""),"NORMAL")</f>
        <v>NORMAL</v>
      </c>
      <c r="D434" s="5" t="str">
        <f>IFERROR(__xludf.DUMMYFUNCTION("""COMPUTED_VALUE"""),"AYUMU SEKO")</f>
        <v>AYUMU SEKO</v>
      </c>
      <c r="E434" s="5">
        <f>IFERROR(__xludf.DUMMYFUNCTION("""COMPUTED_VALUE"""),0.0)</f>
        <v>0</v>
      </c>
    </row>
    <row r="435">
      <c r="A435" s="7" t="str">
        <f>IFERROR(__xludf.DUMMYFUNCTION("""COMPUTED_VALUE"""),"JAP05")</f>
        <v>JAP05</v>
      </c>
      <c r="B435" s="5" t="str">
        <f>IFERROR(__xludf.DUMMYFUNCTION("""COMPUTED_VALUE"""),"JAPAN")</f>
        <v>JAPAN</v>
      </c>
      <c r="C435" s="5" t="str">
        <f>IFERROR(__xludf.DUMMYFUNCTION("""COMPUTED_VALUE"""),"NORMAL")</f>
        <v>NORMAL</v>
      </c>
      <c r="D435" s="5" t="str">
        <f>IFERROR(__xludf.DUMMYFUNCTION("""COMPUTED_VALUE"""),"JUNNOSUKE SUZUKI")</f>
        <v>JUNNOSUKE SUZUKI</v>
      </c>
      <c r="E435" s="5">
        <f>IFERROR(__xludf.DUMMYFUNCTION("""COMPUTED_VALUE"""),0.0)</f>
        <v>0</v>
      </c>
    </row>
    <row r="436">
      <c r="A436" s="7" t="str">
        <f>IFERROR(__xludf.DUMMYFUNCTION("""COMPUTED_VALUE"""),"JAP06")</f>
        <v>JAP06</v>
      </c>
      <c r="B436" s="5" t="str">
        <f>IFERROR(__xludf.DUMMYFUNCTION("""COMPUTED_VALUE"""),"JAPAN")</f>
        <v>JAPAN</v>
      </c>
      <c r="C436" s="5" t="str">
        <f>IFERROR(__xludf.DUMMYFUNCTION("""COMPUTED_VALUE"""),"NORMAL")</f>
        <v>NORMAL</v>
      </c>
      <c r="D436" s="5" t="str">
        <f>IFERROR(__xludf.DUMMYFUNCTION("""COMPUTED_VALUE"""),"SHOGO TANIGUCHI")</f>
        <v>SHOGO TANIGUCHI</v>
      </c>
      <c r="E436" s="5">
        <f>IFERROR(__xludf.DUMMYFUNCTION("""COMPUTED_VALUE"""),0.0)</f>
        <v>0</v>
      </c>
    </row>
    <row r="437">
      <c r="A437" s="7" t="str">
        <f>IFERROR(__xludf.DUMMYFUNCTION("""COMPUTED_VALUE"""),"JAP07")</f>
        <v>JAP07</v>
      </c>
      <c r="B437" s="5" t="str">
        <f>IFERROR(__xludf.DUMMYFUNCTION("""COMPUTED_VALUE"""),"JAPAN")</f>
        <v>JAPAN</v>
      </c>
      <c r="C437" s="5" t="str">
        <f>IFERROR(__xludf.DUMMYFUNCTION("""COMPUTED_VALUE"""),"NORMAL")</f>
        <v>NORMAL</v>
      </c>
      <c r="D437" s="5" t="str">
        <f>IFERROR(__xludf.DUMMYFUNCTION("""COMPUTED_VALUE"""),"TSUYOSHI WATANABE")</f>
        <v>TSUYOSHI WATANABE</v>
      </c>
      <c r="E437" s="5">
        <f>IFERROR(__xludf.DUMMYFUNCTION("""COMPUTED_VALUE"""),0.0)</f>
        <v>0</v>
      </c>
    </row>
    <row r="438">
      <c r="A438" s="7" t="str">
        <f>IFERROR(__xludf.DUMMYFUNCTION("""COMPUTED_VALUE"""),"JAP08")</f>
        <v>JAP08</v>
      </c>
      <c r="B438" s="5" t="str">
        <f>IFERROR(__xludf.DUMMYFUNCTION("""COMPUTED_VALUE"""),"JAPAN")</f>
        <v>JAPAN</v>
      </c>
      <c r="C438" s="5" t="str">
        <f>IFERROR(__xludf.DUMMYFUNCTION("""COMPUTED_VALUE"""),"NORMAL")</f>
        <v>NORMAL</v>
      </c>
      <c r="D438" s="5" t="str">
        <f>IFERROR(__xludf.DUMMYFUNCTION("""COMPUTED_VALUE"""),"KAISHU SANO")</f>
        <v>KAISHU SANO</v>
      </c>
      <c r="E438" s="5">
        <f>IFERROR(__xludf.DUMMYFUNCTION("""COMPUTED_VALUE"""),0.0)</f>
        <v>0</v>
      </c>
    </row>
    <row r="439">
      <c r="A439" s="7" t="str">
        <f>IFERROR(__xludf.DUMMYFUNCTION("""COMPUTED_VALUE"""),"JAP09")</f>
        <v>JAP09</v>
      </c>
      <c r="B439" s="5" t="str">
        <f>IFERROR(__xludf.DUMMYFUNCTION("""COMPUTED_VALUE"""),"JAPAN")</f>
        <v>JAPAN</v>
      </c>
      <c r="C439" s="5" t="str">
        <f>IFERROR(__xludf.DUMMYFUNCTION("""COMPUTED_VALUE"""),"NORMAL")</f>
        <v>NORMAL</v>
      </c>
      <c r="D439" s="5" t="str">
        <f>IFERROR(__xludf.DUMMYFUNCTION("""COMPUTED_VALUE"""),"YUKI SOMA")</f>
        <v>YUKI SOMA</v>
      </c>
      <c r="E439" s="5">
        <f>IFERROR(__xludf.DUMMYFUNCTION("""COMPUTED_VALUE"""),0.0)</f>
        <v>0</v>
      </c>
    </row>
    <row r="440">
      <c r="A440" s="7" t="str">
        <f>IFERROR(__xludf.DUMMYFUNCTION("""COMPUTED_VALUE"""),"JAP10")</f>
        <v>JAP10</v>
      </c>
      <c r="B440" s="5" t="str">
        <f>IFERROR(__xludf.DUMMYFUNCTION("""COMPUTED_VALUE"""),"JAPAN")</f>
        <v>JAPAN</v>
      </c>
      <c r="C440" s="5" t="str">
        <f>IFERROR(__xludf.DUMMYFUNCTION("""COMPUTED_VALUE"""),"NORMAL")</f>
        <v>NORMAL</v>
      </c>
      <c r="D440" s="5" t="str">
        <f>IFERROR(__xludf.DUMMYFUNCTION("""COMPUTED_VALUE"""),"AO TANAKA")</f>
        <v>AO TANAKA</v>
      </c>
      <c r="E440" s="5">
        <f>IFERROR(__xludf.DUMMYFUNCTION("""COMPUTED_VALUE"""),0.0)</f>
        <v>0</v>
      </c>
    </row>
    <row r="441">
      <c r="A441" s="7" t="str">
        <f>IFERROR(__xludf.DUMMYFUNCTION("""COMPUTED_VALUE"""),"JAP11")</f>
        <v>JAP11</v>
      </c>
      <c r="B441" s="5" t="str">
        <f>IFERROR(__xludf.DUMMYFUNCTION("""COMPUTED_VALUE"""),"JAPAN")</f>
        <v>JAPAN</v>
      </c>
      <c r="C441" s="5" t="str">
        <f>IFERROR(__xludf.DUMMYFUNCTION("""COMPUTED_VALUE"""),"NORMAL")</f>
        <v>NORMAL</v>
      </c>
      <c r="D441" s="5" t="str">
        <f>IFERROR(__xludf.DUMMYFUNCTION("""COMPUTED_VALUE"""),"DAICHI KAMADA")</f>
        <v>DAICHI KAMADA</v>
      </c>
      <c r="E441" s="5">
        <f>IFERROR(__xludf.DUMMYFUNCTION("""COMPUTED_VALUE"""),0.0)</f>
        <v>0</v>
      </c>
    </row>
    <row r="442">
      <c r="A442" s="7" t="str">
        <f>IFERROR(__xludf.DUMMYFUNCTION("""COMPUTED_VALUE"""),"JAP12")</f>
        <v>JAP12</v>
      </c>
      <c r="B442" s="5" t="str">
        <f>IFERROR(__xludf.DUMMYFUNCTION("""COMPUTED_VALUE"""),"JAPAN")</f>
        <v>JAPAN</v>
      </c>
      <c r="C442" s="5" t="str">
        <f>IFERROR(__xludf.DUMMYFUNCTION("""COMPUTED_VALUE"""),"NORMAL")</f>
        <v>NORMAL</v>
      </c>
      <c r="D442" s="5" t="str">
        <f>IFERROR(__xludf.DUMMYFUNCTION("""COMPUTED_VALUE"""),"TAKEFUSA KUBO")</f>
        <v>TAKEFUSA KUBO</v>
      </c>
      <c r="E442" s="5">
        <f>IFERROR(__xludf.DUMMYFUNCTION("""COMPUTED_VALUE"""),0.0)</f>
        <v>0</v>
      </c>
    </row>
    <row r="443">
      <c r="A443" s="7" t="str">
        <f>IFERROR(__xludf.DUMMYFUNCTION("""COMPUTED_VALUE"""),"JAP13")</f>
        <v>JAP13</v>
      </c>
      <c r="B443" s="5" t="str">
        <f>IFERROR(__xludf.DUMMYFUNCTION("""COMPUTED_VALUE"""),"JAPAN")</f>
        <v>JAPAN</v>
      </c>
      <c r="C443" s="5" t="str">
        <f>IFERROR(__xludf.DUMMYFUNCTION("""COMPUTED_VALUE"""),"TEAM")</f>
        <v>TEAM</v>
      </c>
      <c r="D443" s="5" t="str">
        <f>IFERROR(__xludf.DUMMYFUNCTION("""COMPUTED_VALUE"""),"JAPAN NATIONAL TEAM")</f>
        <v>JAPAN NATIONAL TEAM</v>
      </c>
      <c r="E443" s="5">
        <f>IFERROR(__xludf.DUMMYFUNCTION("""COMPUTED_VALUE"""),0.0)</f>
        <v>0</v>
      </c>
    </row>
    <row r="444">
      <c r="A444" s="7" t="str">
        <f>IFERROR(__xludf.DUMMYFUNCTION("""COMPUTED_VALUE"""),"JAP14")</f>
        <v>JAP14</v>
      </c>
      <c r="B444" s="5" t="str">
        <f>IFERROR(__xludf.DUMMYFUNCTION("""COMPUTED_VALUE"""),"JAPAN")</f>
        <v>JAPAN</v>
      </c>
      <c r="C444" s="5" t="str">
        <f>IFERROR(__xludf.DUMMYFUNCTION("""COMPUTED_VALUE"""),"NORMAL")</f>
        <v>NORMAL</v>
      </c>
      <c r="D444" s="5" t="str">
        <f>IFERROR(__xludf.DUMMYFUNCTION("""COMPUTED_VALUE"""),"RITSU DOAN")</f>
        <v>RITSU DOAN</v>
      </c>
      <c r="E444" s="5">
        <f>IFERROR(__xludf.DUMMYFUNCTION("""COMPUTED_VALUE"""),0.0)</f>
        <v>0</v>
      </c>
    </row>
    <row r="445">
      <c r="A445" s="7" t="str">
        <f>IFERROR(__xludf.DUMMYFUNCTION("""COMPUTED_VALUE"""),"JAP15")</f>
        <v>JAP15</v>
      </c>
      <c r="B445" s="5" t="str">
        <f>IFERROR(__xludf.DUMMYFUNCTION("""COMPUTED_VALUE"""),"JAPAN")</f>
        <v>JAPAN</v>
      </c>
      <c r="C445" s="5" t="str">
        <f>IFERROR(__xludf.DUMMYFUNCTION("""COMPUTED_VALUE"""),"NORMAL")</f>
        <v>NORMAL</v>
      </c>
      <c r="D445" s="5" t="str">
        <f>IFERROR(__xludf.DUMMYFUNCTION("""COMPUTED_VALUE"""),"KEITO NAKAMURA")</f>
        <v>KEITO NAKAMURA</v>
      </c>
      <c r="E445" s="5">
        <f>IFERROR(__xludf.DUMMYFUNCTION("""COMPUTED_VALUE"""),0.0)</f>
        <v>0</v>
      </c>
    </row>
    <row r="446">
      <c r="A446" s="7" t="str">
        <f>IFERROR(__xludf.DUMMYFUNCTION("""COMPUTED_VALUE"""),"JAP16")</f>
        <v>JAP16</v>
      </c>
      <c r="B446" s="5" t="str">
        <f>IFERROR(__xludf.DUMMYFUNCTION("""COMPUTED_VALUE"""),"JAPAN")</f>
        <v>JAPAN</v>
      </c>
      <c r="C446" s="5" t="str">
        <f>IFERROR(__xludf.DUMMYFUNCTION("""COMPUTED_VALUE"""),"NORMAL")</f>
        <v>NORMAL</v>
      </c>
      <c r="D446" s="5" t="str">
        <f>IFERROR(__xludf.DUMMYFUNCTION("""COMPUTED_VALUE"""),"TAKUMI MINAMINO")</f>
        <v>TAKUMI MINAMINO</v>
      </c>
      <c r="E446" s="5">
        <f>IFERROR(__xludf.DUMMYFUNCTION("""COMPUTED_VALUE"""),0.0)</f>
        <v>0</v>
      </c>
    </row>
    <row r="447">
      <c r="A447" s="7" t="str">
        <f>IFERROR(__xludf.DUMMYFUNCTION("""COMPUTED_VALUE"""),"JAP17")</f>
        <v>JAP17</v>
      </c>
      <c r="B447" s="5" t="str">
        <f>IFERROR(__xludf.DUMMYFUNCTION("""COMPUTED_VALUE"""),"JAPAN")</f>
        <v>JAPAN</v>
      </c>
      <c r="C447" s="5" t="str">
        <f>IFERROR(__xludf.DUMMYFUNCTION("""COMPUTED_VALUE"""),"NORMAL")</f>
        <v>NORMAL</v>
      </c>
      <c r="D447" s="5" t="str">
        <f>IFERROR(__xludf.DUMMYFUNCTION("""COMPUTED_VALUE"""),"SHUTO MACHINO")</f>
        <v>SHUTO MACHINO</v>
      </c>
      <c r="E447" s="5">
        <f>IFERROR(__xludf.DUMMYFUNCTION("""COMPUTED_VALUE"""),0.0)</f>
        <v>0</v>
      </c>
    </row>
    <row r="448">
      <c r="A448" s="7" t="str">
        <f>IFERROR(__xludf.DUMMYFUNCTION("""COMPUTED_VALUE"""),"JAP18")</f>
        <v>JAP18</v>
      </c>
      <c r="B448" s="5" t="str">
        <f>IFERROR(__xludf.DUMMYFUNCTION("""COMPUTED_VALUE"""),"JAPAN")</f>
        <v>JAPAN</v>
      </c>
      <c r="C448" s="5" t="str">
        <f>IFERROR(__xludf.DUMMYFUNCTION("""COMPUTED_VALUE"""),"NORMAL")</f>
        <v>NORMAL</v>
      </c>
      <c r="D448" s="5" t="str">
        <f>IFERROR(__xludf.DUMMYFUNCTION("""COMPUTED_VALUE"""),"JUNYA ITO")</f>
        <v>JUNYA ITO</v>
      </c>
      <c r="E448" s="5">
        <f>IFERROR(__xludf.DUMMYFUNCTION("""COMPUTED_VALUE"""),0.0)</f>
        <v>0</v>
      </c>
    </row>
    <row r="449">
      <c r="A449" s="7" t="str">
        <f>IFERROR(__xludf.DUMMYFUNCTION("""COMPUTED_VALUE"""),"JAP19")</f>
        <v>JAP19</v>
      </c>
      <c r="B449" s="5" t="str">
        <f>IFERROR(__xludf.DUMMYFUNCTION("""COMPUTED_VALUE"""),"JAPAN")</f>
        <v>JAPAN</v>
      </c>
      <c r="C449" s="5" t="str">
        <f>IFERROR(__xludf.DUMMYFUNCTION("""COMPUTED_VALUE"""),"NORMAL")</f>
        <v>NORMAL</v>
      </c>
      <c r="D449" s="5" t="str">
        <f>IFERROR(__xludf.DUMMYFUNCTION("""COMPUTED_VALUE"""),"KOKI OGAWA")</f>
        <v>KOKI OGAWA</v>
      </c>
      <c r="E449" s="5">
        <f>IFERROR(__xludf.DUMMYFUNCTION("""COMPUTED_VALUE"""),0.0)</f>
        <v>0</v>
      </c>
    </row>
    <row r="450">
      <c r="A450" s="7" t="str">
        <f>IFERROR(__xludf.DUMMYFUNCTION("""COMPUTED_VALUE"""),"JAP20")</f>
        <v>JAP20</v>
      </c>
      <c r="B450" s="5" t="str">
        <f>IFERROR(__xludf.DUMMYFUNCTION("""COMPUTED_VALUE"""),"JAPAN")</f>
        <v>JAPAN</v>
      </c>
      <c r="C450" s="5" t="str">
        <f>IFERROR(__xludf.DUMMYFUNCTION("""COMPUTED_VALUE"""),"NORMAL")</f>
        <v>NORMAL</v>
      </c>
      <c r="D450" s="5" t="str">
        <f>IFERROR(__xludf.DUMMYFUNCTION("""COMPUTED_VALUE"""),"AYASE UEDA")</f>
        <v>AYASE UEDA</v>
      </c>
      <c r="E450" s="5">
        <f>IFERROR(__xludf.DUMMYFUNCTION("""COMPUTED_VALUE"""),0.0)</f>
        <v>0</v>
      </c>
    </row>
    <row r="451">
      <c r="A451" s="5" t="str">
        <f>IFERROR(__xludf.DUMMYFUNCTION("""COMPUTED_VALUE"""),"SWE01")</f>
        <v>SWE01</v>
      </c>
      <c r="B451" s="5" t="str">
        <f>IFERROR(__xludf.DUMMYFUNCTION("""COMPUTED_VALUE"""),"SWEDEN")</f>
        <v>SWEDEN</v>
      </c>
      <c r="C451" s="5" t="str">
        <f>IFERROR(__xludf.DUMMYFUNCTION("""COMPUTED_VALUE"""),"BADGE")</f>
        <v>BADGE</v>
      </c>
      <c r="D451" s="5" t="str">
        <f>IFERROR(__xludf.DUMMYFUNCTION("""COMPUTED_VALUE"""),"SWEDEN NATIONAL TEAM")</f>
        <v>SWEDEN NATIONAL TEAM</v>
      </c>
      <c r="E451" s="5">
        <f>IFERROR(__xludf.DUMMYFUNCTION("""COMPUTED_VALUE"""),0.0)</f>
        <v>0</v>
      </c>
    </row>
    <row r="452">
      <c r="A452" s="5" t="str">
        <f>IFERROR(__xludf.DUMMYFUNCTION("""COMPUTED_VALUE"""),"SWE02")</f>
        <v>SWE02</v>
      </c>
      <c r="B452" s="5" t="str">
        <f>IFERROR(__xludf.DUMMYFUNCTION("""COMPUTED_VALUE"""),"SWEDEN")</f>
        <v>SWEDEN</v>
      </c>
      <c r="C452" s="5" t="str">
        <f>IFERROR(__xludf.DUMMYFUNCTION("""COMPUTED_VALUE"""),"NORMAL")</f>
        <v>NORMAL</v>
      </c>
      <c r="D452" s="5" t="str">
        <f>IFERROR(__xludf.DUMMYFUNCTION("""COMPUTED_VALUE"""),"VIKTOR JOHANSSON")</f>
        <v>VIKTOR JOHANSSON</v>
      </c>
      <c r="E452" s="5">
        <f>IFERROR(__xludf.DUMMYFUNCTION("""COMPUTED_VALUE"""),0.0)</f>
        <v>0</v>
      </c>
    </row>
    <row r="453">
      <c r="A453" s="5" t="str">
        <f>IFERROR(__xludf.DUMMYFUNCTION("""COMPUTED_VALUE"""),"SWE03")</f>
        <v>SWE03</v>
      </c>
      <c r="B453" s="5" t="str">
        <f>IFERROR(__xludf.DUMMYFUNCTION("""COMPUTED_VALUE"""),"SWEDEN")</f>
        <v>SWEDEN</v>
      </c>
      <c r="C453" s="5" t="str">
        <f>IFERROR(__xludf.DUMMYFUNCTION("""COMPUTED_VALUE"""),"NORMAL")</f>
        <v>NORMAL</v>
      </c>
      <c r="D453" s="5" t="str">
        <f>IFERROR(__xludf.DUMMYFUNCTION("""COMPUTED_VALUE"""),"ISAK HEIN")</f>
        <v>ISAK HEIN</v>
      </c>
      <c r="E453" s="5">
        <f>IFERROR(__xludf.DUMMYFUNCTION("""COMPUTED_VALUE"""),0.0)</f>
        <v>0</v>
      </c>
    </row>
    <row r="454">
      <c r="A454" s="5" t="str">
        <f>IFERROR(__xludf.DUMMYFUNCTION("""COMPUTED_VALUE"""),"SWE04")</f>
        <v>SWE04</v>
      </c>
      <c r="B454" s="5" t="str">
        <f>IFERROR(__xludf.DUMMYFUNCTION("""COMPUTED_VALUE"""),"SWEDEN")</f>
        <v>SWEDEN</v>
      </c>
      <c r="C454" s="5" t="str">
        <f>IFERROR(__xludf.DUMMYFUNCTION("""COMPUTED_VALUE"""),"NORMAL")</f>
        <v>NORMAL</v>
      </c>
      <c r="D454" s="5" t="str">
        <f>IFERROR(__xludf.DUMMYFUNCTION("""COMPUTED_VALUE"""),"GABRIEL GUDMUNDSSON")</f>
        <v>GABRIEL GUDMUNDSSON</v>
      </c>
      <c r="E454" s="5">
        <f>IFERROR(__xludf.DUMMYFUNCTION("""COMPUTED_VALUE"""),0.0)</f>
        <v>0</v>
      </c>
    </row>
    <row r="455">
      <c r="A455" s="5" t="str">
        <f>IFERROR(__xludf.DUMMYFUNCTION("""COMPUTED_VALUE"""),"SWE05")</f>
        <v>SWE05</v>
      </c>
      <c r="B455" s="5" t="str">
        <f>IFERROR(__xludf.DUMMYFUNCTION("""COMPUTED_VALUE"""),"SWEDEN")</f>
        <v>SWEDEN</v>
      </c>
      <c r="C455" s="5" t="str">
        <f>IFERROR(__xludf.DUMMYFUNCTION("""COMPUTED_VALUE"""),"NORMAL")</f>
        <v>NORMAL</v>
      </c>
      <c r="D455" s="5" t="str">
        <f>IFERROR(__xludf.DUMMYFUNCTION("""COMPUTED_VALUE"""),"EMIL HOLM")</f>
        <v>EMIL HOLM</v>
      </c>
      <c r="E455" s="5">
        <f>IFERROR(__xludf.DUMMYFUNCTION("""COMPUTED_VALUE"""),0.0)</f>
        <v>0</v>
      </c>
    </row>
    <row r="456">
      <c r="A456" s="5" t="str">
        <f>IFERROR(__xludf.DUMMYFUNCTION("""COMPUTED_VALUE"""),"SWE06")</f>
        <v>SWE06</v>
      </c>
      <c r="B456" s="5" t="str">
        <f>IFERROR(__xludf.DUMMYFUNCTION("""COMPUTED_VALUE"""),"SWEDEN")</f>
        <v>SWEDEN</v>
      </c>
      <c r="C456" s="5" t="str">
        <f>IFERROR(__xludf.DUMMYFUNCTION("""COMPUTED_VALUE"""),"NORMAL")</f>
        <v>NORMAL</v>
      </c>
      <c r="D456" s="5" t="str">
        <f>IFERROR(__xludf.DUMMYFUNCTION("""COMPUTED_VALUE"""),"VICTOR NILSSON LINDELOF")</f>
        <v>VICTOR NILSSON LINDELOF</v>
      </c>
      <c r="E456" s="5">
        <f>IFERROR(__xludf.DUMMYFUNCTION("""COMPUTED_VALUE"""),0.0)</f>
        <v>0</v>
      </c>
    </row>
    <row r="457">
      <c r="A457" s="5" t="str">
        <f>IFERROR(__xludf.DUMMYFUNCTION("""COMPUTED_VALUE"""),"SWE07")</f>
        <v>SWE07</v>
      </c>
      <c r="B457" s="5" t="str">
        <f>IFERROR(__xludf.DUMMYFUNCTION("""COMPUTED_VALUE"""),"SWEDEN")</f>
        <v>SWEDEN</v>
      </c>
      <c r="C457" s="5" t="str">
        <f>IFERROR(__xludf.DUMMYFUNCTION("""COMPUTED_VALUE"""),"NORMAL")</f>
        <v>NORMAL</v>
      </c>
      <c r="D457" s="5" t="str">
        <f>IFERROR(__xludf.DUMMYFUNCTION("""COMPUTED_VALUE"""),"GUSTAF LAGERBIELKE")</f>
        <v>GUSTAF LAGERBIELKE</v>
      </c>
      <c r="E457" s="5">
        <f>IFERROR(__xludf.DUMMYFUNCTION("""COMPUTED_VALUE"""),0.0)</f>
        <v>0</v>
      </c>
    </row>
    <row r="458">
      <c r="A458" s="5" t="str">
        <f>IFERROR(__xludf.DUMMYFUNCTION("""COMPUTED_VALUE"""),"SWE08")</f>
        <v>SWE08</v>
      </c>
      <c r="B458" s="5" t="str">
        <f>IFERROR(__xludf.DUMMYFUNCTION("""COMPUTED_VALUE"""),"SWEDEN")</f>
        <v>SWEDEN</v>
      </c>
      <c r="C458" s="5" t="str">
        <f>IFERROR(__xludf.DUMMYFUNCTION("""COMPUTED_VALUE"""),"NORMAL")</f>
        <v>NORMAL</v>
      </c>
      <c r="D458" s="5" t="str">
        <f>IFERROR(__xludf.DUMMYFUNCTION("""COMPUTED_VALUE"""),"LUCAS BERGVALL")</f>
        <v>LUCAS BERGVALL</v>
      </c>
      <c r="E458" s="5">
        <f>IFERROR(__xludf.DUMMYFUNCTION("""COMPUTED_VALUE"""),0.0)</f>
        <v>0</v>
      </c>
    </row>
    <row r="459">
      <c r="A459" s="5" t="str">
        <f>IFERROR(__xludf.DUMMYFUNCTION("""COMPUTED_VALUE"""),"SWE09")</f>
        <v>SWE09</v>
      </c>
      <c r="B459" s="5" t="str">
        <f>IFERROR(__xludf.DUMMYFUNCTION("""COMPUTED_VALUE"""),"SWEDEN")</f>
        <v>SWEDEN</v>
      </c>
      <c r="C459" s="5" t="str">
        <f>IFERROR(__xludf.DUMMYFUNCTION("""COMPUTED_VALUE"""),"NORMAL")</f>
        <v>NORMAL</v>
      </c>
      <c r="D459" s="5" t="str">
        <f>IFERROR(__xludf.DUMMYFUNCTION("""COMPUTED_VALUE"""),"HUGO LARSSON")</f>
        <v>HUGO LARSSON</v>
      </c>
      <c r="E459" s="5">
        <f>IFERROR(__xludf.DUMMYFUNCTION("""COMPUTED_VALUE"""),0.0)</f>
        <v>0</v>
      </c>
    </row>
    <row r="460">
      <c r="A460" s="5" t="str">
        <f>IFERROR(__xludf.DUMMYFUNCTION("""COMPUTED_VALUE"""),"SWE10")</f>
        <v>SWE10</v>
      </c>
      <c r="B460" s="5" t="str">
        <f>IFERROR(__xludf.DUMMYFUNCTION("""COMPUTED_VALUE"""),"SWEDEN")</f>
        <v>SWEDEN</v>
      </c>
      <c r="C460" s="5" t="str">
        <f>IFERROR(__xludf.DUMMYFUNCTION("""COMPUTED_VALUE"""),"NORMAL")</f>
        <v>NORMAL</v>
      </c>
      <c r="D460" s="5" t="str">
        <f>IFERROR(__xludf.DUMMYFUNCTION("""COMPUTED_VALUE"""),"JESPER KARLSTROM")</f>
        <v>JESPER KARLSTROM</v>
      </c>
      <c r="E460" s="5">
        <f>IFERROR(__xludf.DUMMYFUNCTION("""COMPUTED_VALUE"""),0.0)</f>
        <v>0</v>
      </c>
    </row>
    <row r="461">
      <c r="A461" s="5" t="str">
        <f>IFERROR(__xludf.DUMMYFUNCTION("""COMPUTED_VALUE"""),"SWE11")</f>
        <v>SWE11</v>
      </c>
      <c r="B461" s="5" t="str">
        <f>IFERROR(__xludf.DUMMYFUNCTION("""COMPUTED_VALUE"""),"SWEDEN")</f>
        <v>SWEDEN</v>
      </c>
      <c r="C461" s="5" t="str">
        <f>IFERROR(__xludf.DUMMYFUNCTION("""COMPUTED_VALUE"""),"NORMAL")</f>
        <v>NORMAL</v>
      </c>
      <c r="D461" s="5" t="str">
        <f>IFERROR(__xludf.DUMMYFUNCTION("""COMPUTED_VALUE"""),"YASIN AYARI")</f>
        <v>YASIN AYARI</v>
      </c>
      <c r="E461" s="5">
        <f>IFERROR(__xludf.DUMMYFUNCTION("""COMPUTED_VALUE"""),0.0)</f>
        <v>0</v>
      </c>
    </row>
    <row r="462">
      <c r="A462" s="5" t="str">
        <f>IFERROR(__xludf.DUMMYFUNCTION("""COMPUTED_VALUE"""),"SWE12")</f>
        <v>SWE12</v>
      </c>
      <c r="B462" s="5" t="str">
        <f>IFERROR(__xludf.DUMMYFUNCTION("""COMPUTED_VALUE"""),"SWEDEN")</f>
        <v>SWEDEN</v>
      </c>
      <c r="C462" s="5" t="str">
        <f>IFERROR(__xludf.DUMMYFUNCTION("""COMPUTED_VALUE"""),"NORMAL")</f>
        <v>NORMAL</v>
      </c>
      <c r="D462" s="5" t="str">
        <f>IFERROR(__xludf.DUMMYFUNCTION("""COMPUTED_VALUE"""),"MATTIAS SVANBERG")</f>
        <v>MATTIAS SVANBERG</v>
      </c>
      <c r="E462" s="5">
        <f>IFERROR(__xludf.DUMMYFUNCTION("""COMPUTED_VALUE"""),0.0)</f>
        <v>0</v>
      </c>
    </row>
    <row r="463">
      <c r="A463" s="5" t="str">
        <f>IFERROR(__xludf.DUMMYFUNCTION("""COMPUTED_VALUE"""),"SWE13")</f>
        <v>SWE13</v>
      </c>
      <c r="B463" s="5" t="str">
        <f>IFERROR(__xludf.DUMMYFUNCTION("""COMPUTED_VALUE"""),"SWEDEN")</f>
        <v>SWEDEN</v>
      </c>
      <c r="C463" s="5" t="str">
        <f>IFERROR(__xludf.DUMMYFUNCTION("""COMPUTED_VALUE"""),"TEAM")</f>
        <v>TEAM</v>
      </c>
      <c r="D463" s="5" t="str">
        <f>IFERROR(__xludf.DUMMYFUNCTION("""COMPUTED_VALUE"""),"SWEDEN NATIONAL TEAM")</f>
        <v>SWEDEN NATIONAL TEAM</v>
      </c>
      <c r="E463" s="5">
        <f>IFERROR(__xludf.DUMMYFUNCTION("""COMPUTED_VALUE"""),0.0)</f>
        <v>0</v>
      </c>
    </row>
    <row r="464">
      <c r="A464" s="5" t="str">
        <f>IFERROR(__xludf.DUMMYFUNCTION("""COMPUTED_VALUE"""),"SWE14")</f>
        <v>SWE14</v>
      </c>
      <c r="B464" s="5" t="str">
        <f>IFERROR(__xludf.DUMMYFUNCTION("""COMPUTED_VALUE"""),"SWEDEN")</f>
        <v>SWEDEN</v>
      </c>
      <c r="C464" s="5" t="str">
        <f>IFERROR(__xludf.DUMMYFUNCTION("""COMPUTED_VALUE"""),"NORMAL")</f>
        <v>NORMAL</v>
      </c>
      <c r="D464" s="5" t="str">
        <f>IFERROR(__xludf.DUMMYFUNCTION("""COMPUTED_VALUE"""),"DANIEL SVENSSON")</f>
        <v>DANIEL SVENSSON</v>
      </c>
      <c r="E464" s="5">
        <f>IFERROR(__xludf.DUMMYFUNCTION("""COMPUTED_VALUE"""),0.0)</f>
        <v>0</v>
      </c>
    </row>
    <row r="465">
      <c r="A465" s="5" t="str">
        <f>IFERROR(__xludf.DUMMYFUNCTION("""COMPUTED_VALUE"""),"SWE15")</f>
        <v>SWE15</v>
      </c>
      <c r="B465" s="5" t="str">
        <f>IFERROR(__xludf.DUMMYFUNCTION("""COMPUTED_VALUE"""),"SWEDEN")</f>
        <v>SWEDEN</v>
      </c>
      <c r="C465" s="5" t="str">
        <f>IFERROR(__xludf.DUMMYFUNCTION("""COMPUTED_VALUE"""),"NORMAL")</f>
        <v>NORMAL</v>
      </c>
      <c r="D465" s="5" t="str">
        <f>IFERROR(__xludf.DUMMYFUNCTION("""COMPUTED_VALUE"""),"KEN SEMA")</f>
        <v>KEN SEMA</v>
      </c>
      <c r="E465" s="5">
        <f>IFERROR(__xludf.DUMMYFUNCTION("""COMPUTED_VALUE"""),0.0)</f>
        <v>0</v>
      </c>
    </row>
    <row r="466">
      <c r="A466" s="5" t="str">
        <f>IFERROR(__xludf.DUMMYFUNCTION("""COMPUTED_VALUE"""),"SWE16")</f>
        <v>SWE16</v>
      </c>
      <c r="B466" s="5" t="str">
        <f>IFERROR(__xludf.DUMMYFUNCTION("""COMPUTED_VALUE"""),"SWEDEN")</f>
        <v>SWEDEN</v>
      </c>
      <c r="C466" s="5" t="str">
        <f>IFERROR(__xludf.DUMMYFUNCTION("""COMPUTED_VALUE"""),"NORMAL")</f>
        <v>NORMAL</v>
      </c>
      <c r="D466" s="5" t="str">
        <f>IFERROR(__xludf.DUMMYFUNCTION("""COMPUTED_VALUE"""),"ROONY BARDGHJI")</f>
        <v>ROONY BARDGHJI</v>
      </c>
      <c r="E466" s="5">
        <f>IFERROR(__xludf.DUMMYFUNCTION("""COMPUTED_VALUE"""),0.0)</f>
        <v>0</v>
      </c>
    </row>
    <row r="467">
      <c r="A467" s="5" t="str">
        <f>IFERROR(__xludf.DUMMYFUNCTION("""COMPUTED_VALUE"""),"SWE17")</f>
        <v>SWE17</v>
      </c>
      <c r="B467" s="5" t="str">
        <f>IFERROR(__xludf.DUMMYFUNCTION("""COMPUTED_VALUE"""),"SWEDEN")</f>
        <v>SWEDEN</v>
      </c>
      <c r="C467" s="5" t="str">
        <f>IFERROR(__xludf.DUMMYFUNCTION("""COMPUTED_VALUE"""),"NORMAL")</f>
        <v>NORMAL</v>
      </c>
      <c r="D467" s="5" t="str">
        <f>IFERROR(__xludf.DUMMYFUNCTION("""COMPUTED_VALUE"""),"DEJAN KULUSEVSKI")</f>
        <v>DEJAN KULUSEVSKI</v>
      </c>
      <c r="E467" s="5">
        <f>IFERROR(__xludf.DUMMYFUNCTION("""COMPUTED_VALUE"""),0.0)</f>
        <v>0</v>
      </c>
    </row>
    <row r="468">
      <c r="A468" s="5" t="str">
        <f>IFERROR(__xludf.DUMMYFUNCTION("""COMPUTED_VALUE"""),"SWE18")</f>
        <v>SWE18</v>
      </c>
      <c r="B468" s="5" t="str">
        <f>IFERROR(__xludf.DUMMYFUNCTION("""COMPUTED_VALUE"""),"SWEDEN")</f>
        <v>SWEDEN</v>
      </c>
      <c r="C468" s="5" t="str">
        <f>IFERROR(__xludf.DUMMYFUNCTION("""COMPUTED_VALUE"""),"NORMAL")</f>
        <v>NORMAL</v>
      </c>
      <c r="D468" s="5" t="str">
        <f>IFERROR(__xludf.DUMMYFUNCTION("""COMPUTED_VALUE"""),"ANTHONY ELANGA")</f>
        <v>ANTHONY ELANGA</v>
      </c>
      <c r="E468" s="5">
        <f>IFERROR(__xludf.DUMMYFUNCTION("""COMPUTED_VALUE"""),0.0)</f>
        <v>0</v>
      </c>
    </row>
    <row r="469">
      <c r="A469" s="5" t="str">
        <f>IFERROR(__xludf.DUMMYFUNCTION("""COMPUTED_VALUE"""),"SWE19")</f>
        <v>SWE19</v>
      </c>
      <c r="B469" s="5" t="str">
        <f>IFERROR(__xludf.DUMMYFUNCTION("""COMPUTED_VALUE"""),"SWEDEN")</f>
        <v>SWEDEN</v>
      </c>
      <c r="C469" s="5" t="str">
        <f>IFERROR(__xludf.DUMMYFUNCTION("""COMPUTED_VALUE"""),"NORMAL")</f>
        <v>NORMAL</v>
      </c>
      <c r="D469" s="5" t="str">
        <f>IFERROR(__xludf.DUMMYFUNCTION("""COMPUTED_VALUE"""),"ALEXANDER ISAK")</f>
        <v>ALEXANDER ISAK</v>
      </c>
      <c r="E469" s="5">
        <f>IFERROR(__xludf.DUMMYFUNCTION("""COMPUTED_VALUE"""),0.0)</f>
        <v>0</v>
      </c>
    </row>
    <row r="470">
      <c r="A470" s="5" t="str">
        <f>IFERROR(__xludf.DUMMYFUNCTION("""COMPUTED_VALUE"""),"SWE20")</f>
        <v>SWE20</v>
      </c>
      <c r="B470" s="5" t="str">
        <f>IFERROR(__xludf.DUMMYFUNCTION("""COMPUTED_VALUE"""),"SWEDEN")</f>
        <v>SWEDEN</v>
      </c>
      <c r="C470" s="5" t="str">
        <f>IFERROR(__xludf.DUMMYFUNCTION("""COMPUTED_VALUE"""),"NORMAL")</f>
        <v>NORMAL</v>
      </c>
      <c r="D470" s="5" t="str">
        <f>IFERROR(__xludf.DUMMYFUNCTION("""COMPUTED_VALUE"""),"VIKTOR GYOKERES")</f>
        <v>VIKTOR GYOKERES</v>
      </c>
      <c r="E470" s="5">
        <f>IFERROR(__xludf.DUMMYFUNCTION("""COMPUTED_VALUE"""),0.0)</f>
        <v>0</v>
      </c>
    </row>
    <row r="471">
      <c r="A471" s="5" t="str">
        <f>IFERROR(__xludf.DUMMYFUNCTION("""COMPUTED_VALUE"""),"TUN01")</f>
        <v>TUN01</v>
      </c>
      <c r="B471" s="5" t="str">
        <f>IFERROR(__xludf.DUMMYFUNCTION("""COMPUTED_VALUE"""),"TUNISIA")</f>
        <v>TUNISIA</v>
      </c>
      <c r="C471" s="5" t="str">
        <f>IFERROR(__xludf.DUMMYFUNCTION("""COMPUTED_VALUE"""),"BADGE")</f>
        <v>BADGE</v>
      </c>
      <c r="D471" s="5" t="str">
        <f>IFERROR(__xludf.DUMMYFUNCTION("""COMPUTED_VALUE"""),"TUNISIA NATIONAL TEAM")</f>
        <v>TUNISIA NATIONAL TEAM</v>
      </c>
      <c r="E471" s="5">
        <f>IFERROR(__xludf.DUMMYFUNCTION("""COMPUTED_VALUE"""),0.0)</f>
        <v>0</v>
      </c>
    </row>
    <row r="472">
      <c r="A472" s="5" t="str">
        <f>IFERROR(__xludf.DUMMYFUNCTION("""COMPUTED_VALUE"""),"TUN02")</f>
        <v>TUN02</v>
      </c>
      <c r="B472" s="5" t="str">
        <f>IFERROR(__xludf.DUMMYFUNCTION("""COMPUTED_VALUE"""),"TUNISIA")</f>
        <v>TUNISIA</v>
      </c>
      <c r="C472" s="5" t="str">
        <f>IFERROR(__xludf.DUMMYFUNCTION("""COMPUTED_VALUE"""),"NORMAL")</f>
        <v>NORMAL</v>
      </c>
      <c r="D472" s="5" t="str">
        <f>IFERROR(__xludf.DUMMYFUNCTION("""COMPUTED_VALUE"""),"BECHIR BEN SAID")</f>
        <v>BECHIR BEN SAID</v>
      </c>
      <c r="E472" s="5">
        <f>IFERROR(__xludf.DUMMYFUNCTION("""COMPUTED_VALUE"""),0.0)</f>
        <v>0</v>
      </c>
    </row>
    <row r="473">
      <c r="A473" s="5" t="str">
        <f>IFERROR(__xludf.DUMMYFUNCTION("""COMPUTED_VALUE"""),"TUN03")</f>
        <v>TUN03</v>
      </c>
      <c r="B473" s="5" t="str">
        <f>IFERROR(__xludf.DUMMYFUNCTION("""COMPUTED_VALUE"""),"TUNISIA")</f>
        <v>TUNISIA</v>
      </c>
      <c r="C473" s="5" t="str">
        <f>IFERROR(__xludf.DUMMYFUNCTION("""COMPUTED_VALUE"""),"NORMAL")</f>
        <v>NORMAL</v>
      </c>
      <c r="D473" s="5" t="str">
        <f>IFERROR(__xludf.DUMMYFUNCTION("""COMPUTED_VALUE"""),"AYMEHN DAHMEN")</f>
        <v>AYMEHN DAHMEN</v>
      </c>
      <c r="E473" s="5">
        <f>IFERROR(__xludf.DUMMYFUNCTION("""COMPUTED_VALUE"""),0.0)</f>
        <v>0</v>
      </c>
    </row>
    <row r="474">
      <c r="A474" s="5" t="str">
        <f>IFERROR(__xludf.DUMMYFUNCTION("""COMPUTED_VALUE"""),"TUN04")</f>
        <v>TUN04</v>
      </c>
      <c r="B474" s="5" t="str">
        <f>IFERROR(__xludf.DUMMYFUNCTION("""COMPUTED_VALUE"""),"TUNISIA")</f>
        <v>TUNISIA</v>
      </c>
      <c r="C474" s="5" t="str">
        <f>IFERROR(__xludf.DUMMYFUNCTION("""COMPUTED_VALUE"""),"NORMAL")</f>
        <v>NORMAL</v>
      </c>
      <c r="D474" s="5" t="str">
        <f>IFERROR(__xludf.DUMMYFUNCTION("""COMPUTED_VALUE"""),"VAN VALERY")</f>
        <v>VAN VALERY</v>
      </c>
      <c r="E474" s="5">
        <f>IFERROR(__xludf.DUMMYFUNCTION("""COMPUTED_VALUE"""),0.0)</f>
        <v>0</v>
      </c>
    </row>
    <row r="475">
      <c r="A475" s="5" t="str">
        <f>IFERROR(__xludf.DUMMYFUNCTION("""COMPUTED_VALUE"""),"TUN05")</f>
        <v>TUN05</v>
      </c>
      <c r="B475" s="5" t="str">
        <f>IFERROR(__xludf.DUMMYFUNCTION("""COMPUTED_VALUE"""),"TUNISIA")</f>
        <v>TUNISIA</v>
      </c>
      <c r="C475" s="5" t="str">
        <f>IFERROR(__xludf.DUMMYFUNCTION("""COMPUTED_VALUE"""),"NORMAL")</f>
        <v>NORMAL</v>
      </c>
      <c r="D475" s="5" t="str">
        <f>IFERROR(__xludf.DUMMYFUNCTION("""COMPUTED_VALUE"""),"MONTASSAR TALBI")</f>
        <v>MONTASSAR TALBI</v>
      </c>
      <c r="E475" s="5">
        <f>IFERROR(__xludf.DUMMYFUNCTION("""COMPUTED_VALUE"""),0.0)</f>
        <v>0</v>
      </c>
    </row>
    <row r="476">
      <c r="A476" s="5" t="str">
        <f>IFERROR(__xludf.DUMMYFUNCTION("""COMPUTED_VALUE"""),"TUN06")</f>
        <v>TUN06</v>
      </c>
      <c r="B476" s="5" t="str">
        <f>IFERROR(__xludf.DUMMYFUNCTION("""COMPUTED_VALUE"""),"TUNISIA")</f>
        <v>TUNISIA</v>
      </c>
      <c r="C476" s="5" t="str">
        <f>IFERROR(__xludf.DUMMYFUNCTION("""COMPUTED_VALUE"""),"NORMAL")</f>
        <v>NORMAL</v>
      </c>
      <c r="D476" s="5" t="str">
        <f>IFERROR(__xludf.DUMMYFUNCTION("""COMPUTED_VALUE"""),"YASSINE MERIAH")</f>
        <v>YASSINE MERIAH</v>
      </c>
      <c r="E476" s="5">
        <f>IFERROR(__xludf.DUMMYFUNCTION("""COMPUTED_VALUE"""),0.0)</f>
        <v>0</v>
      </c>
    </row>
    <row r="477">
      <c r="A477" s="5" t="str">
        <f>IFERROR(__xludf.DUMMYFUNCTION("""COMPUTED_VALUE"""),"TUN07")</f>
        <v>TUN07</v>
      </c>
      <c r="B477" s="5" t="str">
        <f>IFERROR(__xludf.DUMMYFUNCTION("""COMPUTED_VALUE"""),"TUNISIA")</f>
        <v>TUNISIA</v>
      </c>
      <c r="C477" s="5" t="str">
        <f>IFERROR(__xludf.DUMMYFUNCTION("""COMPUTED_VALUE"""),"NORMAL")</f>
        <v>NORMAL</v>
      </c>
      <c r="D477" s="5" t="str">
        <f>IFERROR(__xludf.DUMMYFUNCTION("""COMPUTED_VALUE"""),"ALI ABDI")</f>
        <v>ALI ABDI</v>
      </c>
      <c r="E477" s="5">
        <f>IFERROR(__xludf.DUMMYFUNCTION("""COMPUTED_VALUE"""),0.0)</f>
        <v>0</v>
      </c>
    </row>
    <row r="478">
      <c r="A478" s="5" t="str">
        <f>IFERROR(__xludf.DUMMYFUNCTION("""COMPUTED_VALUE"""),"TUN08")</f>
        <v>TUN08</v>
      </c>
      <c r="B478" s="5" t="str">
        <f>IFERROR(__xludf.DUMMYFUNCTION("""COMPUTED_VALUE"""),"TUNISIA")</f>
        <v>TUNISIA</v>
      </c>
      <c r="C478" s="5" t="str">
        <f>IFERROR(__xludf.DUMMYFUNCTION("""COMPUTED_VALUE"""),"NORMAL")</f>
        <v>NORMAL</v>
      </c>
      <c r="D478" s="5" t="str">
        <f>IFERROR(__xludf.DUMMYFUNCTION("""COMPUTED_VALUE"""),"DYLAN BRONN")</f>
        <v>DYLAN BRONN</v>
      </c>
      <c r="E478" s="5">
        <f>IFERROR(__xludf.DUMMYFUNCTION("""COMPUTED_VALUE"""),0.0)</f>
        <v>0</v>
      </c>
    </row>
    <row r="479">
      <c r="A479" s="5" t="str">
        <f>IFERROR(__xludf.DUMMYFUNCTION("""COMPUTED_VALUE"""),"TUN09")</f>
        <v>TUN09</v>
      </c>
      <c r="B479" s="5" t="str">
        <f>IFERROR(__xludf.DUMMYFUNCTION("""COMPUTED_VALUE"""),"TUNISIA")</f>
        <v>TUNISIA</v>
      </c>
      <c r="C479" s="5" t="str">
        <f>IFERROR(__xludf.DUMMYFUNCTION("""COMPUTED_VALUE"""),"NORMAL")</f>
        <v>NORMAL</v>
      </c>
      <c r="D479" s="5" t="str">
        <f>IFERROR(__xludf.DUMMYFUNCTION("""COMPUTED_VALUE"""),"ELLYES SKHIRI")</f>
        <v>ELLYES SKHIRI</v>
      </c>
      <c r="E479" s="5">
        <f>IFERROR(__xludf.DUMMYFUNCTION("""COMPUTED_VALUE"""),0.0)</f>
        <v>0</v>
      </c>
    </row>
    <row r="480">
      <c r="A480" s="5" t="str">
        <f>IFERROR(__xludf.DUMMYFUNCTION("""COMPUTED_VALUE"""),"TUN10")</f>
        <v>TUN10</v>
      </c>
      <c r="B480" s="5" t="str">
        <f>IFERROR(__xludf.DUMMYFUNCTION("""COMPUTED_VALUE"""),"TUNISIA")</f>
        <v>TUNISIA</v>
      </c>
      <c r="C480" s="5" t="str">
        <f>IFERROR(__xludf.DUMMYFUNCTION("""COMPUTED_VALUE"""),"NORMAL")</f>
        <v>NORMAL</v>
      </c>
      <c r="D480" s="5" t="str">
        <f>IFERROR(__xludf.DUMMYFUNCTION("""COMPUTED_VALUE"""),"AISSA LAIDOUNI")</f>
        <v>AISSA LAIDOUNI</v>
      </c>
      <c r="E480" s="5">
        <f>IFERROR(__xludf.DUMMYFUNCTION("""COMPUTED_VALUE"""),0.0)</f>
        <v>0</v>
      </c>
    </row>
    <row r="481">
      <c r="A481" s="5" t="str">
        <f>IFERROR(__xludf.DUMMYFUNCTION("""COMPUTED_VALUE"""),"TUN11")</f>
        <v>TUN11</v>
      </c>
      <c r="B481" s="5" t="str">
        <f>IFERROR(__xludf.DUMMYFUNCTION("""COMPUTED_VALUE"""),"TUNISIA")</f>
        <v>TUNISIA</v>
      </c>
      <c r="C481" s="5" t="str">
        <f>IFERROR(__xludf.DUMMYFUNCTION("""COMPUTED_VALUE"""),"NORMAL")</f>
        <v>NORMAL</v>
      </c>
      <c r="D481" s="5" t="str">
        <f>IFERROR(__xludf.DUMMYFUNCTION("""COMPUTED_VALUE"""),"FERJANI SASSI")</f>
        <v>FERJANI SASSI</v>
      </c>
      <c r="E481" s="5">
        <f>IFERROR(__xludf.DUMMYFUNCTION("""COMPUTED_VALUE"""),0.0)</f>
        <v>0</v>
      </c>
    </row>
    <row r="482">
      <c r="A482" s="5" t="str">
        <f>IFERROR(__xludf.DUMMYFUNCTION("""COMPUTED_VALUE"""),"TUN12")</f>
        <v>TUN12</v>
      </c>
      <c r="B482" s="5" t="str">
        <f>IFERROR(__xludf.DUMMYFUNCTION("""COMPUTED_VALUE"""),"TUNISIA")</f>
        <v>TUNISIA</v>
      </c>
      <c r="C482" s="5" t="str">
        <f>IFERROR(__xludf.DUMMYFUNCTION("""COMPUTED_VALUE"""),"NORMAL")</f>
        <v>NORMAL</v>
      </c>
      <c r="D482" s="5" t="str">
        <f>IFERROR(__xludf.DUMMYFUNCTION("""COMPUTED_VALUE"""),"MIOHAMED ALI BEN ROMDHANE")</f>
        <v>MIOHAMED ALI BEN ROMDHANE</v>
      </c>
      <c r="E482" s="5">
        <f>IFERROR(__xludf.DUMMYFUNCTION("""COMPUTED_VALUE"""),0.0)</f>
        <v>0</v>
      </c>
    </row>
    <row r="483">
      <c r="A483" s="5" t="str">
        <f>IFERROR(__xludf.DUMMYFUNCTION("""COMPUTED_VALUE"""),"TUN13")</f>
        <v>TUN13</v>
      </c>
      <c r="B483" s="5" t="str">
        <f>IFERROR(__xludf.DUMMYFUNCTION("""COMPUTED_VALUE"""),"TUNISIA")</f>
        <v>TUNISIA</v>
      </c>
      <c r="C483" s="5" t="str">
        <f>IFERROR(__xludf.DUMMYFUNCTION("""COMPUTED_VALUE"""),"TEAM")</f>
        <v>TEAM</v>
      </c>
      <c r="D483" s="5" t="str">
        <f>IFERROR(__xludf.DUMMYFUNCTION("""COMPUTED_VALUE"""),"TUNISIA NATIONAL TEAM")</f>
        <v>TUNISIA NATIONAL TEAM</v>
      </c>
      <c r="E483" s="5">
        <f>IFERROR(__xludf.DUMMYFUNCTION("""COMPUTED_VALUE"""),0.0)</f>
        <v>0</v>
      </c>
    </row>
    <row r="484">
      <c r="A484" s="5" t="str">
        <f>IFERROR(__xludf.DUMMYFUNCTION("""COMPUTED_VALUE"""),"TUN14")</f>
        <v>TUN14</v>
      </c>
      <c r="B484" s="5" t="str">
        <f>IFERROR(__xludf.DUMMYFUNCTION("""COMPUTED_VALUE"""),"TUNISIA")</f>
        <v>TUNISIA</v>
      </c>
      <c r="C484" s="5" t="str">
        <f>IFERROR(__xludf.DUMMYFUNCTION("""COMPUTED_VALUE"""),"NORMAL")</f>
        <v>NORMAL</v>
      </c>
      <c r="D484" s="5" t="str">
        <f>IFERROR(__xludf.DUMMYFUNCTION("""COMPUTED_VALUE"""),"HANNIBAL MEJBRI")</f>
        <v>HANNIBAL MEJBRI</v>
      </c>
      <c r="E484" s="5">
        <f>IFERROR(__xludf.DUMMYFUNCTION("""COMPUTED_VALUE"""),0.0)</f>
        <v>0</v>
      </c>
    </row>
    <row r="485">
      <c r="A485" s="5" t="str">
        <f>IFERROR(__xludf.DUMMYFUNCTION("""COMPUTED_VALUE"""),"TUN15")</f>
        <v>TUN15</v>
      </c>
      <c r="B485" s="5" t="str">
        <f>IFERROR(__xludf.DUMMYFUNCTION("""COMPUTED_VALUE"""),"TUNISIA")</f>
        <v>TUNISIA</v>
      </c>
      <c r="C485" s="5" t="str">
        <f>IFERROR(__xludf.DUMMYFUNCTION("""COMPUTED_VALUE"""),"NORMAL")</f>
        <v>NORMAL</v>
      </c>
      <c r="D485" s="5" t="str">
        <f>IFERROR(__xludf.DUMMYFUNCTION("""COMPUTED_VALUE"""),"ELIAS ACHOURI")</f>
        <v>ELIAS ACHOURI</v>
      </c>
      <c r="E485" s="5">
        <f>IFERROR(__xludf.DUMMYFUNCTION("""COMPUTED_VALUE"""),0.0)</f>
        <v>0</v>
      </c>
    </row>
    <row r="486">
      <c r="A486" s="5" t="str">
        <f>IFERROR(__xludf.DUMMYFUNCTION("""COMPUTED_VALUE"""),"TUN16")</f>
        <v>TUN16</v>
      </c>
      <c r="B486" s="5" t="str">
        <f>IFERROR(__xludf.DUMMYFUNCTION("""COMPUTED_VALUE"""),"TUNISIA")</f>
        <v>TUNISIA</v>
      </c>
      <c r="C486" s="5" t="str">
        <f>IFERROR(__xludf.DUMMYFUNCTION("""COMPUTED_VALUE"""),"NORMAL")</f>
        <v>NORMAL</v>
      </c>
      <c r="D486" s="5" t="str">
        <f>IFERROR(__xludf.DUMMYFUNCTION("""COMPUTED_VALUE"""),"ELIAS SAAD")</f>
        <v>ELIAS SAAD</v>
      </c>
      <c r="E486" s="5">
        <f>IFERROR(__xludf.DUMMYFUNCTION("""COMPUTED_VALUE"""),0.0)</f>
        <v>0</v>
      </c>
    </row>
    <row r="487">
      <c r="A487" s="5" t="str">
        <f>IFERROR(__xludf.DUMMYFUNCTION("""COMPUTED_VALUE"""),"TUN17")</f>
        <v>TUN17</v>
      </c>
      <c r="B487" s="5" t="str">
        <f>IFERROR(__xludf.DUMMYFUNCTION("""COMPUTED_VALUE"""),"TUNISIA")</f>
        <v>TUNISIA</v>
      </c>
      <c r="C487" s="5" t="str">
        <f>IFERROR(__xludf.DUMMYFUNCTION("""COMPUTED_VALUE"""),"NORMAL")</f>
        <v>NORMAL</v>
      </c>
      <c r="D487" s="5" t="str">
        <f>IFERROR(__xludf.DUMMYFUNCTION("""COMPUTED_VALUE"""),"HAZEM MASTOURI")</f>
        <v>HAZEM MASTOURI</v>
      </c>
      <c r="E487" s="5">
        <f>IFERROR(__xludf.DUMMYFUNCTION("""COMPUTED_VALUE"""),0.0)</f>
        <v>0</v>
      </c>
    </row>
    <row r="488">
      <c r="A488" s="5" t="str">
        <f>IFERROR(__xludf.DUMMYFUNCTION("""COMPUTED_VALUE"""),"TUN18")</f>
        <v>TUN18</v>
      </c>
      <c r="B488" s="5" t="str">
        <f>IFERROR(__xludf.DUMMYFUNCTION("""COMPUTED_VALUE"""),"TUNISIA")</f>
        <v>TUNISIA</v>
      </c>
      <c r="C488" s="5" t="str">
        <f>IFERROR(__xludf.DUMMYFUNCTION("""COMPUTED_VALUE"""),"NORMAL")</f>
        <v>NORMAL</v>
      </c>
      <c r="D488" s="5" t="str">
        <f>IFERROR(__xludf.DUMMYFUNCTION("""COMPUTED_VALUE"""),"ISMAEL GHARBI")</f>
        <v>ISMAEL GHARBI</v>
      </c>
      <c r="E488" s="5">
        <f>IFERROR(__xludf.DUMMYFUNCTION("""COMPUTED_VALUE"""),0.0)</f>
        <v>0</v>
      </c>
    </row>
    <row r="489">
      <c r="A489" s="5" t="str">
        <f>IFERROR(__xludf.DUMMYFUNCTION("""COMPUTED_VALUE"""),"TUN19")</f>
        <v>TUN19</v>
      </c>
      <c r="B489" s="5" t="str">
        <f>IFERROR(__xludf.DUMMYFUNCTION("""COMPUTED_VALUE"""),"TUNISIA")</f>
        <v>TUNISIA</v>
      </c>
      <c r="C489" s="5" t="str">
        <f>IFERROR(__xludf.DUMMYFUNCTION("""COMPUTED_VALUE"""),"NORMAL")</f>
        <v>NORMAL</v>
      </c>
      <c r="D489" s="5" t="str">
        <f>IFERROR(__xludf.DUMMYFUNCTION("""COMPUTED_VALUE"""),"SAYFALLAH LTAIEF")</f>
        <v>SAYFALLAH LTAIEF</v>
      </c>
      <c r="E489" s="5">
        <f>IFERROR(__xludf.DUMMYFUNCTION("""COMPUTED_VALUE"""),0.0)</f>
        <v>0</v>
      </c>
    </row>
    <row r="490">
      <c r="A490" s="5" t="str">
        <f>IFERROR(__xludf.DUMMYFUNCTION("""COMPUTED_VALUE"""),"TUN20")</f>
        <v>TUN20</v>
      </c>
      <c r="B490" s="5" t="str">
        <f>IFERROR(__xludf.DUMMYFUNCTION("""COMPUTED_VALUE"""),"TUNISIA")</f>
        <v>TUNISIA</v>
      </c>
      <c r="C490" s="5" t="str">
        <f>IFERROR(__xludf.DUMMYFUNCTION("""COMPUTED_VALUE"""),"NORMAL")</f>
        <v>NORMAL</v>
      </c>
      <c r="D490" s="5" t="str">
        <f>IFERROR(__xludf.DUMMYFUNCTION("""COMPUTED_VALUE"""),"NAIM SLITTI")</f>
        <v>NAIM SLITTI</v>
      </c>
      <c r="E490" s="5">
        <f>IFERROR(__xludf.DUMMYFUNCTION("""COMPUTED_VALUE"""),0.0)</f>
        <v>0</v>
      </c>
    </row>
    <row r="491">
      <c r="A491" s="7" t="str">
        <f>IFERROR(__xludf.DUMMYFUNCTION("""COMPUTED_VALUE"""),"CC1")</f>
        <v>CC1</v>
      </c>
      <c r="B491" s="5" t="str">
        <f>IFERROR(__xludf.DUMMYFUNCTION("""COMPUTED_VALUE"""),"SECTION 3")</f>
        <v>SECTION 3</v>
      </c>
      <c r="C491" s="5" t="str">
        <f>IFERROR(__xludf.DUMMYFUNCTION("""COMPUTED_VALUE"""),"SPECIAL")</f>
        <v>SPECIAL</v>
      </c>
      <c r="D491" s="5" t="str">
        <f>IFERROR(__xludf.DUMMYFUNCTION("""COMPUTED_VALUE"""),"LAMINE YAMAL")</f>
        <v>LAMINE YAMAL</v>
      </c>
      <c r="E491" s="8">
        <f>IFERROR(__xludf.DUMMYFUNCTION("""COMPUTED_VALUE"""),0.0)</f>
        <v>0</v>
      </c>
    </row>
    <row r="492">
      <c r="A492" s="5" t="str">
        <f>IFERROR(__xludf.DUMMYFUNCTION("""COMPUTED_VALUE"""),"CC2")</f>
        <v>CC2</v>
      </c>
      <c r="B492" s="5" t="str">
        <f>IFERROR(__xludf.DUMMYFUNCTION("""COMPUTED_VALUE"""),"SECTION 3")</f>
        <v>SECTION 3</v>
      </c>
      <c r="C492" s="5" t="str">
        <f>IFERROR(__xludf.DUMMYFUNCTION("""COMPUTED_VALUE"""),"SPECIAL")</f>
        <v>SPECIAL</v>
      </c>
      <c r="D492" s="5" t="str">
        <f>IFERROR(__xludf.DUMMYFUNCTION("""COMPUTED_VALUE"""),"JOSHUE KIMMICH")</f>
        <v>JOSHUE KIMMICH</v>
      </c>
      <c r="E492" s="8">
        <f>IFERROR(__xludf.DUMMYFUNCTION("""COMPUTED_VALUE"""),0.0)</f>
        <v>0</v>
      </c>
    </row>
    <row r="493">
      <c r="A493" s="5" t="str">
        <f>IFERROR(__xludf.DUMMYFUNCTION("""COMPUTED_VALUE"""),"CC3")</f>
        <v>CC3</v>
      </c>
      <c r="B493" s="5" t="str">
        <f>IFERROR(__xludf.DUMMYFUNCTION("""COMPUTED_VALUE"""),"SECTION 3")</f>
        <v>SECTION 3</v>
      </c>
      <c r="C493" s="5" t="str">
        <f>IFERROR(__xludf.DUMMYFUNCTION("""COMPUTED_VALUE"""),"SPECIAL")</f>
        <v>SPECIAL</v>
      </c>
      <c r="D493" s="5" t="str">
        <f>IFERROR(__xludf.DUMMYFUNCTION("""COMPUTED_VALUE"""),"HARRY KANE")</f>
        <v>HARRY KANE</v>
      </c>
      <c r="E493" s="8">
        <f>IFERROR(__xludf.DUMMYFUNCTION("""COMPUTED_VALUE"""),0.0)</f>
        <v>0</v>
      </c>
    </row>
    <row r="494">
      <c r="A494" s="7" t="str">
        <f>IFERROR(__xludf.DUMMYFUNCTION("""COMPUTED_VALUE"""),"CC4")</f>
        <v>CC4</v>
      </c>
      <c r="B494" s="5" t="str">
        <f>IFERROR(__xludf.DUMMYFUNCTION("""COMPUTED_VALUE"""),"SECTION 3")</f>
        <v>SECTION 3</v>
      </c>
      <c r="C494" s="5" t="str">
        <f>IFERROR(__xludf.DUMMYFUNCTION("""COMPUTED_VALUE"""),"SPECIAL")</f>
        <v>SPECIAL</v>
      </c>
      <c r="D494" s="5" t="str">
        <f>IFERROR(__xludf.DUMMYFUNCTION("""COMPUTED_VALUE"""),"SANTIAGO GIMENEZ")</f>
        <v>SANTIAGO GIMENEZ</v>
      </c>
      <c r="E494" s="8">
        <f>IFERROR(__xludf.DUMMYFUNCTION("""COMPUTED_VALUE"""),0.0)</f>
        <v>0</v>
      </c>
    </row>
    <row r="495">
      <c r="A495" s="5" t="str">
        <f>IFERROR(__xludf.DUMMYFUNCTION("""COMPUTED_VALUE"""),"CC5")</f>
        <v>CC5</v>
      </c>
      <c r="B495" s="5" t="str">
        <f>IFERROR(__xludf.DUMMYFUNCTION("""COMPUTED_VALUE"""),"SECTION 3")</f>
        <v>SECTION 3</v>
      </c>
      <c r="C495" s="5" t="str">
        <f>IFERROR(__xludf.DUMMYFUNCTION("""COMPUTED_VALUE"""),"SPECIAL")</f>
        <v>SPECIAL</v>
      </c>
      <c r="D495" s="5" t="str">
        <f>IFERROR(__xludf.DUMMYFUNCTION("""COMPUTED_VALUE"""),"JOSKO GVARDIOL")</f>
        <v>JOSKO GVARDIOL</v>
      </c>
      <c r="E495" s="8">
        <f>IFERROR(__xludf.DUMMYFUNCTION("""COMPUTED_VALUE"""),0.0)</f>
        <v>0</v>
      </c>
    </row>
    <row r="496">
      <c r="A496" s="5" t="str">
        <f>IFERROR(__xludf.DUMMYFUNCTION("""COMPUTED_VALUE"""),"CC6")</f>
        <v>CC6</v>
      </c>
      <c r="B496" s="5" t="str">
        <f>IFERROR(__xludf.DUMMYFUNCTION("""COMPUTED_VALUE"""),"SECTION 3")</f>
        <v>SECTION 3</v>
      </c>
      <c r="C496" s="5" t="str">
        <f>IFERROR(__xludf.DUMMYFUNCTION("""COMPUTED_VALUE"""),"SPECIAL")</f>
        <v>SPECIAL</v>
      </c>
      <c r="D496" s="5" t="str">
        <f>IFERROR(__xludf.DUMMYFUNCTION("""COMPUTED_VALUE"""),"FEDERICO VALVERDE")</f>
        <v>FEDERICO VALVERDE</v>
      </c>
      <c r="E496" s="8">
        <f>IFERROR(__xludf.DUMMYFUNCTION("""COMPUTED_VALUE"""),0.0)</f>
        <v>0</v>
      </c>
    </row>
    <row r="497">
      <c r="A497" s="7" t="str">
        <f>IFERROR(__xludf.DUMMYFUNCTION("""COMPUTED_VALUE"""),"CC7")</f>
        <v>CC7</v>
      </c>
      <c r="B497" s="5" t="str">
        <f>IFERROR(__xludf.DUMMYFUNCTION("""COMPUTED_VALUE"""),"SECTION 3")</f>
        <v>SECTION 3</v>
      </c>
      <c r="C497" s="5" t="str">
        <f>IFERROR(__xludf.DUMMYFUNCTION("""COMPUTED_VALUE"""),"SPECIAL")</f>
        <v>SPECIAL</v>
      </c>
      <c r="D497" s="5" t="str">
        <f>IFERROR(__xludf.DUMMYFUNCTION("""COMPUTED_VALUE"""),"JEFFERSON LERMA")</f>
        <v>JEFFERSON LERMA</v>
      </c>
      <c r="E497" s="8">
        <f>IFERROR(__xludf.DUMMYFUNCTION("""COMPUTED_VALUE"""),0.0)</f>
        <v>0</v>
      </c>
    </row>
    <row r="498">
      <c r="A498" s="5" t="str">
        <f>IFERROR(__xludf.DUMMYFUNCTION("""COMPUTED_VALUE"""),"CC8")</f>
        <v>CC8</v>
      </c>
      <c r="B498" s="5" t="str">
        <f>IFERROR(__xludf.DUMMYFUNCTION("""COMPUTED_VALUE"""),"SECTION 3")</f>
        <v>SECTION 3</v>
      </c>
      <c r="C498" s="5" t="str">
        <f>IFERROR(__xludf.DUMMYFUNCTION("""COMPUTED_VALUE"""),"SPECIAL")</f>
        <v>SPECIAL</v>
      </c>
      <c r="D498" s="5" t="str">
        <f>IFERROR(__xludf.DUMMYFUNCTION("""COMPUTED_VALUE"""),"ENNER VALENCIA")</f>
        <v>ENNER VALENCIA</v>
      </c>
      <c r="E498" s="8">
        <f>IFERROR(__xludf.DUMMYFUNCTION("""COMPUTED_VALUE"""),0.0)</f>
        <v>0</v>
      </c>
    </row>
    <row r="499">
      <c r="A499" s="5" t="str">
        <f>IFERROR(__xludf.DUMMYFUNCTION("""COMPUTED_VALUE"""),"CC9")</f>
        <v>CC9</v>
      </c>
      <c r="B499" s="5" t="str">
        <f>IFERROR(__xludf.DUMMYFUNCTION("""COMPUTED_VALUE"""),"SECTION 3")</f>
        <v>SECTION 3</v>
      </c>
      <c r="C499" s="5" t="str">
        <f>IFERROR(__xludf.DUMMYFUNCTION("""COMPUTED_VALUE"""),"SPECIAL")</f>
        <v>SPECIAL</v>
      </c>
      <c r="D499" s="5" t="str">
        <f>IFERROR(__xludf.DUMMYFUNCTION("""COMPUTED_VALUE"""),"GABRIEL MAGALHAES")</f>
        <v>GABRIEL MAGALHAES</v>
      </c>
      <c r="E499" s="8">
        <f>IFERROR(__xludf.DUMMYFUNCTION("""COMPUTED_VALUE"""),0.0)</f>
        <v>0</v>
      </c>
    </row>
    <row r="500">
      <c r="A500" s="7" t="str">
        <f>IFERROR(__xludf.DUMMYFUNCTION("""COMPUTED_VALUE"""),"CC10")</f>
        <v>CC10</v>
      </c>
      <c r="B500" s="5" t="str">
        <f>IFERROR(__xludf.DUMMYFUNCTION("""COMPUTED_VALUE"""),"SECTION 3")</f>
        <v>SECTION 3</v>
      </c>
      <c r="C500" s="5" t="str">
        <f>IFERROR(__xludf.DUMMYFUNCTION("""COMPUTED_VALUE"""),"SPECIAL")</f>
        <v>SPECIAL</v>
      </c>
      <c r="D500" s="5" t="str">
        <f>IFERROR(__xludf.DUMMYFUNCTION("""COMPUTED_VALUE"""),"VIRGIL VAN DIJK")</f>
        <v>VIRGIL VAN DIJK</v>
      </c>
      <c r="E500" s="8">
        <f>IFERROR(__xludf.DUMMYFUNCTION("""COMPUTED_VALUE"""),0.0)</f>
        <v>0</v>
      </c>
    </row>
    <row r="501">
      <c r="A501" s="5" t="str">
        <f>IFERROR(__xludf.DUMMYFUNCTION("""COMPUTED_VALUE"""),"CC11")</f>
        <v>CC11</v>
      </c>
      <c r="B501" s="5" t="str">
        <f>IFERROR(__xludf.DUMMYFUNCTION("""COMPUTED_VALUE"""),"SECTION 3")</f>
        <v>SECTION 3</v>
      </c>
      <c r="C501" s="5" t="str">
        <f>IFERROR(__xludf.DUMMYFUNCTION("""COMPUTED_VALUE"""),"SPECIAL")</f>
        <v>SPECIAL</v>
      </c>
      <c r="D501" s="5" t="str">
        <f>IFERROR(__xludf.DUMMYFUNCTION("""COMPUTED_VALUE"""),"ALPHONSO DAVIES")</f>
        <v>ALPHONSO DAVIES</v>
      </c>
      <c r="E501" s="8">
        <f>IFERROR(__xludf.DUMMYFUNCTION("""COMPUTED_VALUE"""),0.0)</f>
        <v>0</v>
      </c>
    </row>
    <row r="502">
      <c r="A502" s="5" t="str">
        <f>IFERROR(__xludf.DUMMYFUNCTION("""COMPUTED_VALUE"""),"CC12")</f>
        <v>CC12</v>
      </c>
      <c r="B502" s="5" t="str">
        <f>IFERROR(__xludf.DUMMYFUNCTION("""COMPUTED_VALUE"""),"SECTION 3")</f>
        <v>SECTION 3</v>
      </c>
      <c r="C502" s="5" t="str">
        <f>IFERROR(__xludf.DUMMYFUNCTION("""COMPUTED_VALUE"""),"SPECIAL")</f>
        <v>SPECIAL</v>
      </c>
      <c r="D502" s="5" t="str">
        <f>IFERROR(__xludf.DUMMYFUNCTION("""COMPUTED_VALUE"""),"EMILIANO MARTINEZ")</f>
        <v>EMILIANO MARTINEZ</v>
      </c>
      <c r="E502" s="8">
        <f>IFERROR(__xludf.DUMMYFUNCTION("""COMPUTED_VALUE"""),0.0)</f>
        <v>0</v>
      </c>
    </row>
    <row r="503">
      <c r="A503" s="7" t="str">
        <f>IFERROR(__xludf.DUMMYFUNCTION("""COMPUTED_VALUE"""),"CC13")</f>
        <v>CC13</v>
      </c>
      <c r="B503" s="5" t="str">
        <f>IFERROR(__xludf.DUMMYFUNCTION("""COMPUTED_VALUE"""),"SECTION 3")</f>
        <v>SECTION 3</v>
      </c>
      <c r="C503" s="5" t="str">
        <f>IFERROR(__xludf.DUMMYFUNCTION("""COMPUTED_VALUE"""),"SPECIAL")</f>
        <v>SPECIAL</v>
      </c>
      <c r="D503" s="5" t="str">
        <f>IFERROR(__xludf.DUMMYFUNCTION("""COMPUTED_VALUE"""),"RAUL JIMENEZ")</f>
        <v>RAUL JIMENEZ</v>
      </c>
      <c r="E503" s="8">
        <f>IFERROR(__xludf.DUMMYFUNCTION("""COMPUTED_VALUE"""),0.0)</f>
        <v>0</v>
      </c>
    </row>
    <row r="504">
      <c r="A504" s="5" t="str">
        <f>IFERROR(__xludf.DUMMYFUNCTION("""COMPUTED_VALUE"""),"CC14")</f>
        <v>CC14</v>
      </c>
      <c r="B504" s="5" t="str">
        <f>IFERROR(__xludf.DUMMYFUNCTION("""COMPUTED_VALUE"""),"SECTION 3")</f>
        <v>SECTION 3</v>
      </c>
      <c r="C504" s="5" t="str">
        <f>IFERROR(__xludf.DUMMYFUNCTION("""COMPUTED_VALUE"""),"SPECIAL")</f>
        <v>SPECIAL</v>
      </c>
      <c r="D504" s="5" t="str">
        <f>IFERROR(__xludf.DUMMYFUNCTION("""COMPUTED_VALUE"""),"LAUTARO MARTINEZ")</f>
        <v>LAUTARO MARTINEZ</v>
      </c>
      <c r="E504" s="8">
        <f>IFERROR(__xludf.DUMMYFUNCTION("""COMPUTED_VALUE"""),0.0)</f>
        <v>0</v>
      </c>
    </row>
    <row r="505">
      <c r="A505" s="5" t="str">
        <f>IFERROR(__xludf.DUMMYFUNCTION("""COMPUTED_VALUE"""),"BEL01")</f>
        <v>BEL01</v>
      </c>
      <c r="B505" s="5" t="str">
        <f>IFERROR(__xludf.DUMMYFUNCTION("""COMPUTED_VALUE"""),"BELGIUM")</f>
        <v>BELGIUM</v>
      </c>
      <c r="C505" s="5" t="str">
        <f>IFERROR(__xludf.DUMMYFUNCTION("""COMPUTED_VALUE"""),"BADGE")</f>
        <v>BADGE</v>
      </c>
      <c r="D505" s="5" t="str">
        <f>IFERROR(__xludf.DUMMYFUNCTION("""COMPUTED_VALUE"""),"BELGIUM NATIONAL TEAM")</f>
        <v>BELGIUM NATIONAL TEAM</v>
      </c>
      <c r="E505" s="5">
        <f>IFERROR(__xludf.DUMMYFUNCTION("""COMPUTED_VALUE"""),0.0)</f>
        <v>0</v>
      </c>
    </row>
    <row r="506">
      <c r="A506" s="5" t="str">
        <f>IFERROR(__xludf.DUMMYFUNCTION("""COMPUTED_VALUE"""),"BEL02")</f>
        <v>BEL02</v>
      </c>
      <c r="B506" s="5" t="str">
        <f>IFERROR(__xludf.DUMMYFUNCTION("""COMPUTED_VALUE"""),"BELGIUM")</f>
        <v>BELGIUM</v>
      </c>
      <c r="C506" s="5" t="str">
        <f>IFERROR(__xludf.DUMMYFUNCTION("""COMPUTED_VALUE"""),"NORMAL")</f>
        <v>NORMAL</v>
      </c>
      <c r="D506" s="5" t="str">
        <f>IFERROR(__xludf.DUMMYFUNCTION("""COMPUTED_VALUE"""),"THIBAUT COURTOIS")</f>
        <v>THIBAUT COURTOIS</v>
      </c>
      <c r="E506" s="5">
        <f>IFERROR(__xludf.DUMMYFUNCTION("""COMPUTED_VALUE"""),0.0)</f>
        <v>0</v>
      </c>
    </row>
    <row r="507">
      <c r="A507" s="5" t="str">
        <f>IFERROR(__xludf.DUMMYFUNCTION("""COMPUTED_VALUE"""),"BEL03")</f>
        <v>BEL03</v>
      </c>
      <c r="B507" s="5" t="str">
        <f>IFERROR(__xludf.DUMMYFUNCTION("""COMPUTED_VALUE"""),"BELGIUM")</f>
        <v>BELGIUM</v>
      </c>
      <c r="C507" s="5" t="str">
        <f>IFERROR(__xludf.DUMMYFUNCTION("""COMPUTED_VALUE"""),"NORMAL")</f>
        <v>NORMAL</v>
      </c>
      <c r="D507" s="5" t="str">
        <f>IFERROR(__xludf.DUMMYFUNCTION("""COMPUTED_VALUE"""),"ARTHUR THEATE")</f>
        <v>ARTHUR THEATE</v>
      </c>
      <c r="E507" s="5">
        <f>IFERROR(__xludf.DUMMYFUNCTION("""COMPUTED_VALUE"""),0.0)</f>
        <v>0</v>
      </c>
    </row>
    <row r="508">
      <c r="A508" s="5" t="str">
        <f>IFERROR(__xludf.DUMMYFUNCTION("""COMPUTED_VALUE"""),"BEL04")</f>
        <v>BEL04</v>
      </c>
      <c r="B508" s="5" t="str">
        <f>IFERROR(__xludf.DUMMYFUNCTION("""COMPUTED_VALUE"""),"BELGIUM")</f>
        <v>BELGIUM</v>
      </c>
      <c r="C508" s="5" t="str">
        <f>IFERROR(__xludf.DUMMYFUNCTION("""COMPUTED_VALUE"""),"NORMAL")</f>
        <v>NORMAL</v>
      </c>
      <c r="D508" s="5" t="str">
        <f>IFERROR(__xludf.DUMMYFUNCTION("""COMPUTED_VALUE"""),"TIMOTHY CASTAGNE")</f>
        <v>TIMOTHY CASTAGNE</v>
      </c>
      <c r="E508" s="5">
        <f>IFERROR(__xludf.DUMMYFUNCTION("""COMPUTED_VALUE"""),0.0)</f>
        <v>0</v>
      </c>
    </row>
    <row r="509">
      <c r="A509" s="5" t="str">
        <f>IFERROR(__xludf.DUMMYFUNCTION("""COMPUTED_VALUE"""),"BEL05")</f>
        <v>BEL05</v>
      </c>
      <c r="B509" s="5" t="str">
        <f>IFERROR(__xludf.DUMMYFUNCTION("""COMPUTED_VALUE"""),"BELGIUM")</f>
        <v>BELGIUM</v>
      </c>
      <c r="C509" s="5" t="str">
        <f>IFERROR(__xludf.DUMMYFUNCTION("""COMPUTED_VALUE"""),"NORMAL")</f>
        <v>NORMAL</v>
      </c>
      <c r="D509" s="5" t="str">
        <f>IFERROR(__xludf.DUMMYFUNCTION("""COMPUTED_VALUE"""),"ZENO DEBASR")</f>
        <v>ZENO DEBASR</v>
      </c>
      <c r="E509" s="5">
        <f>IFERROR(__xludf.DUMMYFUNCTION("""COMPUTED_VALUE"""),0.0)</f>
        <v>0</v>
      </c>
    </row>
    <row r="510">
      <c r="A510" s="5" t="str">
        <f>IFERROR(__xludf.DUMMYFUNCTION("""COMPUTED_VALUE"""),"BEL06")</f>
        <v>BEL06</v>
      </c>
      <c r="B510" s="5" t="str">
        <f>IFERROR(__xludf.DUMMYFUNCTION("""COMPUTED_VALUE"""),"BELGIUM")</f>
        <v>BELGIUM</v>
      </c>
      <c r="C510" s="5" t="str">
        <f>IFERROR(__xludf.DUMMYFUNCTION("""COMPUTED_VALUE"""),"NORMAL")</f>
        <v>NORMAL</v>
      </c>
      <c r="D510" s="5" t="str">
        <f>IFERROR(__xludf.DUMMYFUNCTION("""COMPUTED_VALUE"""),"BRANDON MECHELE")</f>
        <v>BRANDON MECHELE</v>
      </c>
      <c r="E510" s="5">
        <f>IFERROR(__xludf.DUMMYFUNCTION("""COMPUTED_VALUE"""),0.0)</f>
        <v>0</v>
      </c>
    </row>
    <row r="511">
      <c r="A511" s="5" t="str">
        <f>IFERROR(__xludf.DUMMYFUNCTION("""COMPUTED_VALUE"""),"BEL07")</f>
        <v>BEL07</v>
      </c>
      <c r="B511" s="5" t="str">
        <f>IFERROR(__xludf.DUMMYFUNCTION("""COMPUTED_VALUE"""),"BELGIUM")</f>
        <v>BELGIUM</v>
      </c>
      <c r="C511" s="5" t="str">
        <f>IFERROR(__xludf.DUMMYFUNCTION("""COMPUTED_VALUE"""),"NORMAL")</f>
        <v>NORMAL</v>
      </c>
      <c r="D511" s="5" t="str">
        <f>IFERROR(__xludf.DUMMYFUNCTION("""COMPUTED_VALUE"""),"MAXIM DE CUYPER")</f>
        <v>MAXIM DE CUYPER</v>
      </c>
      <c r="E511" s="5">
        <f>IFERROR(__xludf.DUMMYFUNCTION("""COMPUTED_VALUE"""),0.0)</f>
        <v>0</v>
      </c>
    </row>
    <row r="512">
      <c r="A512" s="5" t="str">
        <f>IFERROR(__xludf.DUMMYFUNCTION("""COMPUTED_VALUE"""),"BEL08")</f>
        <v>BEL08</v>
      </c>
      <c r="B512" s="5" t="str">
        <f>IFERROR(__xludf.DUMMYFUNCTION("""COMPUTED_VALUE"""),"BELGIUM")</f>
        <v>BELGIUM</v>
      </c>
      <c r="C512" s="5" t="str">
        <f>IFERROR(__xludf.DUMMYFUNCTION("""COMPUTED_VALUE"""),"NORMAL")</f>
        <v>NORMAL</v>
      </c>
      <c r="D512" s="5" t="str">
        <f>IFERROR(__xludf.DUMMYFUNCTION("""COMPUTED_VALUE"""),"THOMAS MEUNIER")</f>
        <v>THOMAS MEUNIER</v>
      </c>
      <c r="E512" s="5">
        <f>IFERROR(__xludf.DUMMYFUNCTION("""COMPUTED_VALUE"""),0.0)</f>
        <v>0</v>
      </c>
    </row>
    <row r="513">
      <c r="A513" s="5" t="str">
        <f>IFERROR(__xludf.DUMMYFUNCTION("""COMPUTED_VALUE"""),"BEL09")</f>
        <v>BEL09</v>
      </c>
      <c r="B513" s="5" t="str">
        <f>IFERROR(__xludf.DUMMYFUNCTION("""COMPUTED_VALUE"""),"BELGIUM")</f>
        <v>BELGIUM</v>
      </c>
      <c r="C513" s="5" t="str">
        <f>IFERROR(__xludf.DUMMYFUNCTION("""COMPUTED_VALUE"""),"NORMAL")</f>
        <v>NORMAL</v>
      </c>
      <c r="D513" s="5" t="str">
        <f>IFERROR(__xludf.DUMMYFUNCTION("""COMPUTED_VALUE"""),"YOURI TIELEMANS")</f>
        <v>YOURI TIELEMANS</v>
      </c>
      <c r="E513" s="5">
        <f>IFERROR(__xludf.DUMMYFUNCTION("""COMPUTED_VALUE"""),0.0)</f>
        <v>0</v>
      </c>
    </row>
    <row r="514">
      <c r="A514" s="5" t="str">
        <f>IFERROR(__xludf.DUMMYFUNCTION("""COMPUTED_VALUE"""),"BEL10")</f>
        <v>BEL10</v>
      </c>
      <c r="B514" s="5" t="str">
        <f>IFERROR(__xludf.DUMMYFUNCTION("""COMPUTED_VALUE"""),"BELGIUM")</f>
        <v>BELGIUM</v>
      </c>
      <c r="C514" s="5" t="str">
        <f>IFERROR(__xludf.DUMMYFUNCTION("""COMPUTED_VALUE"""),"NORMAL")</f>
        <v>NORMAL</v>
      </c>
      <c r="D514" s="5" t="str">
        <f>IFERROR(__xludf.DUMMYFUNCTION("""COMPUTED_VALUE"""),"AMADOU ONANA")</f>
        <v>AMADOU ONANA</v>
      </c>
      <c r="E514" s="5">
        <f>IFERROR(__xludf.DUMMYFUNCTION("""COMPUTED_VALUE"""),0.0)</f>
        <v>0</v>
      </c>
    </row>
    <row r="515">
      <c r="A515" s="5" t="str">
        <f>IFERROR(__xludf.DUMMYFUNCTION("""COMPUTED_VALUE"""),"BEL11")</f>
        <v>BEL11</v>
      </c>
      <c r="B515" s="5" t="str">
        <f>IFERROR(__xludf.DUMMYFUNCTION("""COMPUTED_VALUE"""),"BELGIUM")</f>
        <v>BELGIUM</v>
      </c>
      <c r="C515" s="5" t="str">
        <f>IFERROR(__xludf.DUMMYFUNCTION("""COMPUTED_VALUE"""),"NORMAL")</f>
        <v>NORMAL</v>
      </c>
      <c r="D515" s="5" t="str">
        <f>IFERROR(__xludf.DUMMYFUNCTION("""COMPUTED_VALUE"""),"NICOLAS RASKIN")</f>
        <v>NICOLAS RASKIN</v>
      </c>
      <c r="E515" s="5">
        <f>IFERROR(__xludf.DUMMYFUNCTION("""COMPUTED_VALUE"""),0.0)</f>
        <v>0</v>
      </c>
    </row>
    <row r="516">
      <c r="A516" s="5" t="str">
        <f>IFERROR(__xludf.DUMMYFUNCTION("""COMPUTED_VALUE"""),"BEL12")</f>
        <v>BEL12</v>
      </c>
      <c r="B516" s="5" t="str">
        <f>IFERROR(__xludf.DUMMYFUNCTION("""COMPUTED_VALUE"""),"BELGIUM")</f>
        <v>BELGIUM</v>
      </c>
      <c r="C516" s="5" t="str">
        <f>IFERROR(__xludf.DUMMYFUNCTION("""COMPUTED_VALUE"""),"NORMAL")</f>
        <v>NORMAL</v>
      </c>
      <c r="D516" s="5" t="str">
        <f>IFERROR(__xludf.DUMMYFUNCTION("""COMPUTED_VALUE"""),"ALEXIS SAELEMAEKERS")</f>
        <v>ALEXIS SAELEMAEKERS</v>
      </c>
      <c r="E516" s="5">
        <f>IFERROR(__xludf.DUMMYFUNCTION("""COMPUTED_VALUE"""),0.0)</f>
        <v>0</v>
      </c>
    </row>
    <row r="517">
      <c r="A517" s="5" t="str">
        <f>IFERROR(__xludf.DUMMYFUNCTION("""COMPUTED_VALUE"""),"BEL13")</f>
        <v>BEL13</v>
      </c>
      <c r="B517" s="5" t="str">
        <f>IFERROR(__xludf.DUMMYFUNCTION("""COMPUTED_VALUE"""),"BELGIUM")</f>
        <v>BELGIUM</v>
      </c>
      <c r="C517" s="5" t="str">
        <f>IFERROR(__xludf.DUMMYFUNCTION("""COMPUTED_VALUE"""),"TEAM")</f>
        <v>TEAM</v>
      </c>
      <c r="D517" s="5" t="str">
        <f>IFERROR(__xludf.DUMMYFUNCTION("""COMPUTED_VALUE"""),"BELGIUM NATIONAL TEAM")</f>
        <v>BELGIUM NATIONAL TEAM</v>
      </c>
      <c r="E517" s="5">
        <f>IFERROR(__xludf.DUMMYFUNCTION("""COMPUTED_VALUE"""),0.0)</f>
        <v>0</v>
      </c>
    </row>
    <row r="518">
      <c r="A518" s="5" t="str">
        <f>IFERROR(__xludf.DUMMYFUNCTION("""COMPUTED_VALUE"""),"BEL14")</f>
        <v>BEL14</v>
      </c>
      <c r="B518" s="5" t="str">
        <f>IFERROR(__xludf.DUMMYFUNCTION("""COMPUTED_VALUE"""),"BELGIUM")</f>
        <v>BELGIUM</v>
      </c>
      <c r="C518" s="5" t="str">
        <f>IFERROR(__xludf.DUMMYFUNCTION("""COMPUTED_VALUE"""),"NORMAL")</f>
        <v>NORMAL</v>
      </c>
      <c r="D518" s="5" t="str">
        <f>IFERROR(__xludf.DUMMYFUNCTION("""COMPUTED_VALUE"""),"HANS VANAKEN")</f>
        <v>HANS VANAKEN</v>
      </c>
      <c r="E518" s="5">
        <f>IFERROR(__xludf.DUMMYFUNCTION("""COMPUTED_VALUE"""),0.0)</f>
        <v>0</v>
      </c>
    </row>
    <row r="519">
      <c r="A519" s="5" t="str">
        <f>IFERROR(__xludf.DUMMYFUNCTION("""COMPUTED_VALUE"""),"BEL15")</f>
        <v>BEL15</v>
      </c>
      <c r="B519" s="5" t="str">
        <f>IFERROR(__xludf.DUMMYFUNCTION("""COMPUTED_VALUE"""),"BELGIUM")</f>
        <v>BELGIUM</v>
      </c>
      <c r="C519" s="5" t="str">
        <f>IFERROR(__xludf.DUMMYFUNCTION("""COMPUTED_VALUE"""),"NORMAL")</f>
        <v>NORMAL</v>
      </c>
      <c r="D519" s="5" t="str">
        <f>IFERROR(__xludf.DUMMYFUNCTION("""COMPUTED_VALUE"""),"KEVIN DEBRUYNE")</f>
        <v>KEVIN DEBRUYNE</v>
      </c>
      <c r="E519" s="5">
        <f>IFERROR(__xludf.DUMMYFUNCTION("""COMPUTED_VALUE"""),0.0)</f>
        <v>0</v>
      </c>
    </row>
    <row r="520">
      <c r="A520" s="5" t="str">
        <f>IFERROR(__xludf.DUMMYFUNCTION("""COMPUTED_VALUE"""),"BEL16")</f>
        <v>BEL16</v>
      </c>
      <c r="B520" s="5" t="str">
        <f>IFERROR(__xludf.DUMMYFUNCTION("""COMPUTED_VALUE"""),"BELGIUM")</f>
        <v>BELGIUM</v>
      </c>
      <c r="C520" s="5" t="str">
        <f>IFERROR(__xludf.DUMMYFUNCTION("""COMPUTED_VALUE"""),"NORMAL")</f>
        <v>NORMAL</v>
      </c>
      <c r="D520" s="5" t="str">
        <f>IFERROR(__xludf.DUMMYFUNCTION("""COMPUTED_VALUE"""),"JEREMY DOKU")</f>
        <v>JEREMY DOKU</v>
      </c>
      <c r="E520" s="5">
        <f>IFERROR(__xludf.DUMMYFUNCTION("""COMPUTED_VALUE"""),0.0)</f>
        <v>0</v>
      </c>
    </row>
    <row r="521">
      <c r="A521" s="5" t="str">
        <f>IFERROR(__xludf.DUMMYFUNCTION("""COMPUTED_VALUE"""),"BEL17")</f>
        <v>BEL17</v>
      </c>
      <c r="B521" s="5" t="str">
        <f>IFERROR(__xludf.DUMMYFUNCTION("""COMPUTED_VALUE"""),"BELGIUM")</f>
        <v>BELGIUM</v>
      </c>
      <c r="C521" s="5" t="str">
        <f>IFERROR(__xludf.DUMMYFUNCTION("""COMPUTED_VALUE"""),"NORMAL")</f>
        <v>NORMAL</v>
      </c>
      <c r="D521" s="5" t="str">
        <f>IFERROR(__xludf.DUMMYFUNCTION("""COMPUTED_VALUE"""),"CHARLES DE KETELAERE")</f>
        <v>CHARLES DE KETELAERE</v>
      </c>
      <c r="E521" s="5">
        <f>IFERROR(__xludf.DUMMYFUNCTION("""COMPUTED_VALUE"""),0.0)</f>
        <v>0</v>
      </c>
    </row>
    <row r="522">
      <c r="A522" s="5" t="str">
        <f>IFERROR(__xludf.DUMMYFUNCTION("""COMPUTED_VALUE"""),"BEL18")</f>
        <v>BEL18</v>
      </c>
      <c r="B522" s="5" t="str">
        <f>IFERROR(__xludf.DUMMYFUNCTION("""COMPUTED_VALUE"""),"BELGIUM")</f>
        <v>BELGIUM</v>
      </c>
      <c r="C522" s="5" t="str">
        <f>IFERROR(__xludf.DUMMYFUNCTION("""COMPUTED_VALUE"""),"NORMAL")</f>
        <v>NORMAL</v>
      </c>
      <c r="D522" s="5" t="str">
        <f>IFERROR(__xludf.DUMMYFUNCTION("""COMPUTED_VALUE"""),"LEANDRO TROSSARD")</f>
        <v>LEANDRO TROSSARD</v>
      </c>
      <c r="E522" s="5">
        <f>IFERROR(__xludf.DUMMYFUNCTION("""COMPUTED_VALUE"""),0.0)</f>
        <v>0</v>
      </c>
    </row>
    <row r="523">
      <c r="A523" s="5" t="str">
        <f>IFERROR(__xludf.DUMMYFUNCTION("""COMPUTED_VALUE"""),"BEL19")</f>
        <v>BEL19</v>
      </c>
      <c r="B523" s="5" t="str">
        <f>IFERROR(__xludf.DUMMYFUNCTION("""COMPUTED_VALUE"""),"BELGIUM")</f>
        <v>BELGIUM</v>
      </c>
      <c r="C523" s="5" t="str">
        <f>IFERROR(__xludf.DUMMYFUNCTION("""COMPUTED_VALUE"""),"NORMAL")</f>
        <v>NORMAL</v>
      </c>
      <c r="D523" s="5" t="str">
        <f>IFERROR(__xludf.DUMMYFUNCTION("""COMPUTED_VALUE"""),"LIOS OPENDA")</f>
        <v>LIOS OPENDA</v>
      </c>
      <c r="E523" s="5">
        <f>IFERROR(__xludf.DUMMYFUNCTION("""COMPUTED_VALUE"""),0.0)</f>
        <v>0</v>
      </c>
    </row>
    <row r="524">
      <c r="A524" s="5" t="str">
        <f>IFERROR(__xludf.DUMMYFUNCTION("""COMPUTED_VALUE"""),"BEL20")</f>
        <v>BEL20</v>
      </c>
      <c r="B524" s="5" t="str">
        <f>IFERROR(__xludf.DUMMYFUNCTION("""COMPUTED_VALUE"""),"BELGIUM")</f>
        <v>BELGIUM</v>
      </c>
      <c r="C524" s="5" t="str">
        <f>IFERROR(__xludf.DUMMYFUNCTION("""COMPUTED_VALUE"""),"NORMAL")</f>
        <v>NORMAL</v>
      </c>
      <c r="D524" s="5" t="str">
        <f>IFERROR(__xludf.DUMMYFUNCTION("""COMPUTED_VALUE"""),"ROMELU LUKAKU")</f>
        <v>ROMELU LUKAKU</v>
      </c>
      <c r="E524" s="5">
        <f>IFERROR(__xludf.DUMMYFUNCTION("""COMPUTED_VALUE"""),0.0)</f>
        <v>0</v>
      </c>
    </row>
    <row r="525">
      <c r="A525" s="7" t="str">
        <f>IFERROR(__xludf.DUMMYFUNCTION("""COMPUTED_VALUE"""),"EGY01")</f>
        <v>EGY01</v>
      </c>
      <c r="B525" s="5" t="str">
        <f>IFERROR(__xludf.DUMMYFUNCTION("""COMPUTED_VALUE"""),"EGYPT")</f>
        <v>EGYPT</v>
      </c>
      <c r="C525" s="5" t="str">
        <f>IFERROR(__xludf.DUMMYFUNCTION("""COMPUTED_VALUE"""),"BADGE")</f>
        <v>BADGE</v>
      </c>
      <c r="D525" s="5" t="str">
        <f>IFERROR(__xludf.DUMMYFUNCTION("""COMPUTED_VALUE"""),"EGYPT NATIONAL TEAM")</f>
        <v>EGYPT NATIONAL TEAM</v>
      </c>
      <c r="E525" s="5">
        <f>IFERROR(__xludf.DUMMYFUNCTION("""COMPUTED_VALUE"""),0.0)</f>
        <v>0</v>
      </c>
    </row>
    <row r="526">
      <c r="A526" s="7" t="str">
        <f>IFERROR(__xludf.DUMMYFUNCTION("""COMPUTED_VALUE"""),"EGY02")</f>
        <v>EGY02</v>
      </c>
      <c r="B526" s="5" t="str">
        <f>IFERROR(__xludf.DUMMYFUNCTION("""COMPUTED_VALUE"""),"EGYPT")</f>
        <v>EGYPT</v>
      </c>
      <c r="C526" s="5" t="str">
        <f>IFERROR(__xludf.DUMMYFUNCTION("""COMPUTED_VALUE"""),"NORMAL")</f>
        <v>NORMAL</v>
      </c>
      <c r="D526" s="5" t="str">
        <f>IFERROR(__xludf.DUMMYFUNCTION("""COMPUTED_VALUE"""),"MOHAMED ELSHENAWY")</f>
        <v>MOHAMED ELSHENAWY</v>
      </c>
      <c r="E526" s="5">
        <f>IFERROR(__xludf.DUMMYFUNCTION("""COMPUTED_VALUE"""),0.0)</f>
        <v>0</v>
      </c>
    </row>
    <row r="527">
      <c r="A527" s="7" t="str">
        <f>IFERROR(__xludf.DUMMYFUNCTION("""COMPUTED_VALUE"""),"EGY03")</f>
        <v>EGY03</v>
      </c>
      <c r="B527" s="5" t="str">
        <f>IFERROR(__xludf.DUMMYFUNCTION("""COMPUTED_VALUE"""),"EGYPT")</f>
        <v>EGYPT</v>
      </c>
      <c r="C527" s="5" t="str">
        <f>IFERROR(__xludf.DUMMYFUNCTION("""COMPUTED_VALUE"""),"NORMAL")</f>
        <v>NORMAL</v>
      </c>
      <c r="D527" s="5" t="str">
        <f>IFERROR(__xludf.DUMMYFUNCTION("""COMPUTED_VALUE"""),"MOHAMED HANY")</f>
        <v>MOHAMED HANY</v>
      </c>
      <c r="E527" s="5">
        <f>IFERROR(__xludf.DUMMYFUNCTION("""COMPUTED_VALUE"""),0.0)</f>
        <v>0</v>
      </c>
    </row>
    <row r="528">
      <c r="A528" s="7" t="str">
        <f>IFERROR(__xludf.DUMMYFUNCTION("""COMPUTED_VALUE"""),"EGY04")</f>
        <v>EGY04</v>
      </c>
      <c r="B528" s="5" t="str">
        <f>IFERROR(__xludf.DUMMYFUNCTION("""COMPUTED_VALUE"""),"EGYPT")</f>
        <v>EGYPT</v>
      </c>
      <c r="C528" s="5" t="str">
        <f>IFERROR(__xludf.DUMMYFUNCTION("""COMPUTED_VALUE"""),"NORMAL")</f>
        <v>NORMAL</v>
      </c>
      <c r="D528" s="5" t="str">
        <f>IFERROR(__xludf.DUMMYFUNCTION("""COMPUTED_VALUE"""),"MOHAMED HAMBY")</f>
        <v>MOHAMED HAMBY</v>
      </c>
      <c r="E528" s="5">
        <f>IFERROR(__xludf.DUMMYFUNCTION("""COMPUTED_VALUE"""),0.0)</f>
        <v>0</v>
      </c>
    </row>
    <row r="529">
      <c r="A529" s="7" t="str">
        <f>IFERROR(__xludf.DUMMYFUNCTION("""COMPUTED_VALUE"""),"EGY05")</f>
        <v>EGY05</v>
      </c>
      <c r="B529" s="5" t="str">
        <f>IFERROR(__xludf.DUMMYFUNCTION("""COMPUTED_VALUE"""),"EGYPT")</f>
        <v>EGYPT</v>
      </c>
      <c r="C529" s="5" t="str">
        <f>IFERROR(__xludf.DUMMYFUNCTION("""COMPUTED_VALUE"""),"NORMAL")</f>
        <v>NORMAL</v>
      </c>
      <c r="D529" s="5" t="str">
        <f>IFERROR(__xludf.DUMMYFUNCTION("""COMPUTED_VALUE"""),"YASSER IBRAHIM")</f>
        <v>YASSER IBRAHIM</v>
      </c>
      <c r="E529" s="5">
        <f>IFERROR(__xludf.DUMMYFUNCTION("""COMPUTED_VALUE"""),0.0)</f>
        <v>0</v>
      </c>
    </row>
    <row r="530">
      <c r="A530" s="7" t="str">
        <f>IFERROR(__xludf.DUMMYFUNCTION("""COMPUTED_VALUE"""),"EGY06")</f>
        <v>EGY06</v>
      </c>
      <c r="B530" s="5" t="str">
        <f>IFERROR(__xludf.DUMMYFUNCTION("""COMPUTED_VALUE"""),"EGYPT")</f>
        <v>EGYPT</v>
      </c>
      <c r="C530" s="5" t="str">
        <f>IFERROR(__xludf.DUMMYFUNCTION("""COMPUTED_VALUE"""),"NORMAL")</f>
        <v>NORMAL</v>
      </c>
      <c r="D530" s="5" t="str">
        <f>IFERROR(__xludf.DUMMYFUNCTION("""COMPUTED_VALUE"""),"KHALED SOBHI")</f>
        <v>KHALED SOBHI</v>
      </c>
      <c r="E530" s="5">
        <f>IFERROR(__xludf.DUMMYFUNCTION("""COMPUTED_VALUE"""),0.0)</f>
        <v>0</v>
      </c>
    </row>
    <row r="531">
      <c r="A531" s="7" t="str">
        <f>IFERROR(__xludf.DUMMYFUNCTION("""COMPUTED_VALUE"""),"EGY07")</f>
        <v>EGY07</v>
      </c>
      <c r="B531" s="5" t="str">
        <f>IFERROR(__xludf.DUMMYFUNCTION("""COMPUTED_VALUE"""),"EGYPT")</f>
        <v>EGYPT</v>
      </c>
      <c r="C531" s="5" t="str">
        <f>IFERROR(__xludf.DUMMYFUNCTION("""COMPUTED_VALUE"""),"NORMAL")</f>
        <v>NORMAL</v>
      </c>
      <c r="D531" s="5" t="str">
        <f>IFERROR(__xludf.DUMMYFUNCTION("""COMPUTED_VALUE"""),"RAMY RABIA")</f>
        <v>RAMY RABIA</v>
      </c>
      <c r="E531" s="5">
        <f>IFERROR(__xludf.DUMMYFUNCTION("""COMPUTED_VALUE"""),0.0)</f>
        <v>0</v>
      </c>
    </row>
    <row r="532">
      <c r="A532" s="7" t="str">
        <f>IFERROR(__xludf.DUMMYFUNCTION("""COMPUTED_VALUE"""),"EGY08")</f>
        <v>EGY08</v>
      </c>
      <c r="B532" s="5" t="str">
        <f>IFERROR(__xludf.DUMMYFUNCTION("""COMPUTED_VALUE"""),"EGYPT")</f>
        <v>EGYPT</v>
      </c>
      <c r="C532" s="5" t="str">
        <f>IFERROR(__xludf.DUMMYFUNCTION("""COMPUTED_VALUE"""),"NORMAL")</f>
        <v>NORMAL</v>
      </c>
      <c r="D532" s="5" t="str">
        <f>IFERROR(__xludf.DUMMYFUNCTION("""COMPUTED_VALUE"""),"HOSSAM ABDELMAGUID")</f>
        <v>HOSSAM ABDELMAGUID</v>
      </c>
      <c r="E532" s="5">
        <f>IFERROR(__xludf.DUMMYFUNCTION("""COMPUTED_VALUE"""),0.0)</f>
        <v>0</v>
      </c>
    </row>
    <row r="533">
      <c r="A533" s="7" t="str">
        <f>IFERROR(__xludf.DUMMYFUNCTION("""COMPUTED_VALUE"""),"EGY09")</f>
        <v>EGY09</v>
      </c>
      <c r="B533" s="5" t="str">
        <f>IFERROR(__xludf.DUMMYFUNCTION("""COMPUTED_VALUE"""),"EGYPT")</f>
        <v>EGYPT</v>
      </c>
      <c r="C533" s="5" t="str">
        <f>IFERROR(__xludf.DUMMYFUNCTION("""COMPUTED_VALUE"""),"NORMAL")</f>
        <v>NORMAL</v>
      </c>
      <c r="D533" s="5" t="str">
        <f>IFERROR(__xludf.DUMMYFUNCTION("""COMPUTED_VALUE"""),"AHMED FATOUH")</f>
        <v>AHMED FATOUH</v>
      </c>
      <c r="E533" s="5">
        <f>IFERROR(__xludf.DUMMYFUNCTION("""COMPUTED_VALUE"""),0.0)</f>
        <v>0</v>
      </c>
    </row>
    <row r="534">
      <c r="A534" s="7" t="str">
        <f>IFERROR(__xludf.DUMMYFUNCTION("""COMPUTED_VALUE"""),"EGY10")</f>
        <v>EGY10</v>
      </c>
      <c r="B534" s="5" t="str">
        <f>IFERROR(__xludf.DUMMYFUNCTION("""COMPUTED_VALUE"""),"EGYPT")</f>
        <v>EGYPT</v>
      </c>
      <c r="C534" s="5" t="str">
        <f>IFERROR(__xludf.DUMMYFUNCTION("""COMPUTED_VALUE"""),"NORMAL")</f>
        <v>NORMAL</v>
      </c>
      <c r="D534" s="5" t="str">
        <f>IFERROR(__xludf.DUMMYFUNCTION("""COMPUTED_VALUE"""),"MARWAN ATTIA")</f>
        <v>MARWAN ATTIA</v>
      </c>
      <c r="E534" s="5">
        <f>IFERROR(__xludf.DUMMYFUNCTION("""COMPUTED_VALUE"""),0.0)</f>
        <v>0</v>
      </c>
    </row>
    <row r="535">
      <c r="A535" s="7" t="str">
        <f>IFERROR(__xludf.DUMMYFUNCTION("""COMPUTED_VALUE"""),"EGY11")</f>
        <v>EGY11</v>
      </c>
      <c r="B535" s="5" t="str">
        <f>IFERROR(__xludf.DUMMYFUNCTION("""COMPUTED_VALUE"""),"EGYPT")</f>
        <v>EGYPT</v>
      </c>
      <c r="C535" s="5" t="str">
        <f>IFERROR(__xludf.DUMMYFUNCTION("""COMPUTED_VALUE"""),"NORMAL")</f>
        <v>NORMAL</v>
      </c>
      <c r="D535" s="5" t="str">
        <f>IFERROR(__xludf.DUMMYFUNCTION("""COMPUTED_VALUE"""),"ZIZO")</f>
        <v>ZIZO</v>
      </c>
      <c r="E535" s="5">
        <f>IFERROR(__xludf.DUMMYFUNCTION("""COMPUTED_VALUE"""),0.0)</f>
        <v>0</v>
      </c>
    </row>
    <row r="536">
      <c r="A536" s="7" t="str">
        <f>IFERROR(__xludf.DUMMYFUNCTION("""COMPUTED_VALUE"""),"EGY12")</f>
        <v>EGY12</v>
      </c>
      <c r="B536" s="5" t="str">
        <f>IFERROR(__xludf.DUMMYFUNCTION("""COMPUTED_VALUE"""),"EGYPT")</f>
        <v>EGYPT</v>
      </c>
      <c r="C536" s="5" t="str">
        <f>IFERROR(__xludf.DUMMYFUNCTION("""COMPUTED_VALUE"""),"NORMAL")</f>
        <v>NORMAL</v>
      </c>
      <c r="D536" s="5" t="str">
        <f>IFERROR(__xludf.DUMMYFUNCTION("""COMPUTED_VALUE"""),"HAMDY FATHY")</f>
        <v>HAMDY FATHY</v>
      </c>
      <c r="E536" s="5">
        <f>IFERROR(__xludf.DUMMYFUNCTION("""COMPUTED_VALUE"""),0.0)</f>
        <v>0</v>
      </c>
    </row>
    <row r="537">
      <c r="A537" s="7" t="str">
        <f>IFERROR(__xludf.DUMMYFUNCTION("""COMPUTED_VALUE"""),"EGY13")</f>
        <v>EGY13</v>
      </c>
      <c r="B537" s="5" t="str">
        <f>IFERROR(__xludf.DUMMYFUNCTION("""COMPUTED_VALUE"""),"EGYPT")</f>
        <v>EGYPT</v>
      </c>
      <c r="C537" s="5" t="str">
        <f>IFERROR(__xludf.DUMMYFUNCTION("""COMPUTED_VALUE"""),"TEAM")</f>
        <v>TEAM</v>
      </c>
      <c r="D537" s="5" t="str">
        <f>IFERROR(__xludf.DUMMYFUNCTION("""COMPUTED_VALUE"""),"EGYPT NATIONAL TEAM")</f>
        <v>EGYPT NATIONAL TEAM</v>
      </c>
      <c r="E537" s="5">
        <f>IFERROR(__xludf.DUMMYFUNCTION("""COMPUTED_VALUE"""),0.0)</f>
        <v>0</v>
      </c>
    </row>
    <row r="538">
      <c r="A538" s="7" t="str">
        <f>IFERROR(__xludf.DUMMYFUNCTION("""COMPUTED_VALUE"""),"EGY14")</f>
        <v>EGY14</v>
      </c>
      <c r="B538" s="5" t="str">
        <f>IFERROR(__xludf.DUMMYFUNCTION("""COMPUTED_VALUE"""),"EGYPT")</f>
        <v>EGYPT</v>
      </c>
      <c r="C538" s="5" t="str">
        <f>IFERROR(__xludf.DUMMYFUNCTION("""COMPUTED_VALUE"""),"NORMAL")</f>
        <v>NORMAL</v>
      </c>
      <c r="D538" s="5" t="str">
        <f>IFERROR(__xludf.DUMMYFUNCTION("""COMPUTED_VALUE"""),"MOHANAD LASHEEN")</f>
        <v>MOHANAD LASHEEN</v>
      </c>
      <c r="E538" s="5">
        <f>IFERROR(__xludf.DUMMYFUNCTION("""COMPUTED_VALUE"""),0.0)</f>
        <v>0</v>
      </c>
    </row>
    <row r="539">
      <c r="A539" s="7" t="str">
        <f>IFERROR(__xludf.DUMMYFUNCTION("""COMPUTED_VALUE"""),"EGY15")</f>
        <v>EGY15</v>
      </c>
      <c r="B539" s="5" t="str">
        <f>IFERROR(__xludf.DUMMYFUNCTION("""COMPUTED_VALUE"""),"EGYPT")</f>
        <v>EGYPT</v>
      </c>
      <c r="C539" s="5" t="str">
        <f>IFERROR(__xludf.DUMMYFUNCTION("""COMPUTED_VALUE"""),"NORMAL")</f>
        <v>NORMAL</v>
      </c>
      <c r="D539" s="5" t="str">
        <f>IFERROR(__xludf.DUMMYFUNCTION("""COMPUTED_VALUE"""),"EMAM ASHOUR")</f>
        <v>EMAM ASHOUR</v>
      </c>
      <c r="E539" s="5">
        <f>IFERROR(__xludf.DUMMYFUNCTION("""COMPUTED_VALUE"""),0.0)</f>
        <v>0</v>
      </c>
    </row>
    <row r="540">
      <c r="A540" s="7" t="str">
        <f>IFERROR(__xludf.DUMMYFUNCTION("""COMPUTED_VALUE"""),"EGY16")</f>
        <v>EGY16</v>
      </c>
      <c r="B540" s="5" t="str">
        <f>IFERROR(__xludf.DUMMYFUNCTION("""COMPUTED_VALUE"""),"EGYPT")</f>
        <v>EGYPT</v>
      </c>
      <c r="C540" s="5" t="str">
        <f>IFERROR(__xludf.DUMMYFUNCTION("""COMPUTED_VALUE"""),"NORMAL")</f>
        <v>NORMAL</v>
      </c>
      <c r="D540" s="5" t="str">
        <f>IFERROR(__xludf.DUMMYFUNCTION("""COMPUTED_VALUE"""),"OSAMA FAISAL")</f>
        <v>OSAMA FAISAL</v>
      </c>
      <c r="E540" s="5">
        <f>IFERROR(__xludf.DUMMYFUNCTION("""COMPUTED_VALUE"""),0.0)</f>
        <v>0</v>
      </c>
    </row>
    <row r="541">
      <c r="A541" s="7" t="str">
        <f>IFERROR(__xludf.DUMMYFUNCTION("""COMPUTED_VALUE"""),"EGY17")</f>
        <v>EGY17</v>
      </c>
      <c r="B541" s="5" t="str">
        <f>IFERROR(__xludf.DUMMYFUNCTION("""COMPUTED_VALUE"""),"EGYPT")</f>
        <v>EGYPT</v>
      </c>
      <c r="C541" s="5" t="str">
        <f>IFERROR(__xludf.DUMMYFUNCTION("""COMPUTED_VALUE"""),"NORMAL")</f>
        <v>NORMAL</v>
      </c>
      <c r="D541" s="5" t="str">
        <f>IFERROR(__xludf.DUMMYFUNCTION("""COMPUTED_VALUE"""),"MOHAMED SALAH")</f>
        <v>MOHAMED SALAH</v>
      </c>
      <c r="E541" s="5">
        <f>IFERROR(__xludf.DUMMYFUNCTION("""COMPUTED_VALUE"""),0.0)</f>
        <v>0</v>
      </c>
    </row>
    <row r="542">
      <c r="A542" s="7" t="str">
        <f>IFERROR(__xludf.DUMMYFUNCTION("""COMPUTED_VALUE"""),"EGY18")</f>
        <v>EGY18</v>
      </c>
      <c r="B542" s="5" t="str">
        <f>IFERROR(__xludf.DUMMYFUNCTION("""COMPUTED_VALUE"""),"EGYPT")</f>
        <v>EGYPT</v>
      </c>
      <c r="C542" s="5" t="str">
        <f>IFERROR(__xludf.DUMMYFUNCTION("""COMPUTED_VALUE"""),"NORMAL")</f>
        <v>NORMAL</v>
      </c>
      <c r="D542" s="5" t="str">
        <f>IFERROR(__xludf.DUMMYFUNCTION("""COMPUTED_VALUE"""),"MOSTAFA MOHAMED")</f>
        <v>MOSTAFA MOHAMED</v>
      </c>
      <c r="E542" s="5">
        <f>IFERROR(__xludf.DUMMYFUNCTION("""COMPUTED_VALUE"""),0.0)</f>
        <v>0</v>
      </c>
    </row>
    <row r="543">
      <c r="A543" s="7" t="str">
        <f>IFERROR(__xludf.DUMMYFUNCTION("""COMPUTED_VALUE"""),"EGY19")</f>
        <v>EGY19</v>
      </c>
      <c r="B543" s="5" t="str">
        <f>IFERROR(__xludf.DUMMYFUNCTION("""COMPUTED_VALUE"""),"EGYPT")</f>
        <v>EGYPT</v>
      </c>
      <c r="C543" s="5" t="str">
        <f>IFERROR(__xludf.DUMMYFUNCTION("""COMPUTED_VALUE"""),"NORMAL")</f>
        <v>NORMAL</v>
      </c>
      <c r="D543" s="5" t="str">
        <f>IFERROR(__xludf.DUMMYFUNCTION("""COMPUTED_VALUE"""),"TREZEGUET")</f>
        <v>TREZEGUET</v>
      </c>
      <c r="E543" s="5">
        <f>IFERROR(__xludf.DUMMYFUNCTION("""COMPUTED_VALUE"""),0.0)</f>
        <v>0</v>
      </c>
    </row>
    <row r="544">
      <c r="A544" s="7" t="str">
        <f>IFERROR(__xludf.DUMMYFUNCTION("""COMPUTED_VALUE"""),"EGY20")</f>
        <v>EGY20</v>
      </c>
      <c r="B544" s="5" t="str">
        <f>IFERROR(__xludf.DUMMYFUNCTION("""COMPUTED_VALUE"""),"EGYPT")</f>
        <v>EGYPT</v>
      </c>
      <c r="C544" s="5" t="str">
        <f>IFERROR(__xludf.DUMMYFUNCTION("""COMPUTED_VALUE"""),"NORMAL")</f>
        <v>NORMAL</v>
      </c>
      <c r="D544" s="5" t="str">
        <f>IFERROR(__xludf.DUMMYFUNCTION("""COMPUTED_VALUE"""),"OMAR MARMOUSH")</f>
        <v>OMAR MARMOUSH</v>
      </c>
      <c r="E544" s="5">
        <f>IFERROR(__xludf.DUMMYFUNCTION("""COMPUTED_VALUE"""),0.0)</f>
        <v>0</v>
      </c>
    </row>
    <row r="545">
      <c r="A545" s="5" t="str">
        <f>IFERROR(__xludf.DUMMYFUNCTION("""COMPUTED_VALUE"""),"IRN01")</f>
        <v>IRN01</v>
      </c>
      <c r="B545" s="5" t="str">
        <f>IFERROR(__xludf.DUMMYFUNCTION("""COMPUTED_VALUE"""),"IRAN")</f>
        <v>IRAN</v>
      </c>
      <c r="C545" s="5" t="str">
        <f>IFERROR(__xludf.DUMMYFUNCTION("""COMPUTED_VALUE"""),"BADGE")</f>
        <v>BADGE</v>
      </c>
      <c r="D545" s="5" t="str">
        <f>IFERROR(__xludf.DUMMYFUNCTION("""COMPUTED_VALUE"""),"IRAN NATIONAL TEAM")</f>
        <v>IRAN NATIONAL TEAM</v>
      </c>
      <c r="E545" s="5">
        <f>IFERROR(__xludf.DUMMYFUNCTION("""COMPUTED_VALUE"""),0.0)</f>
        <v>0</v>
      </c>
    </row>
    <row r="546">
      <c r="A546" s="5" t="str">
        <f>IFERROR(__xludf.DUMMYFUNCTION("""COMPUTED_VALUE"""),"IRN02")</f>
        <v>IRN02</v>
      </c>
      <c r="B546" s="5" t="str">
        <f>IFERROR(__xludf.DUMMYFUNCTION("""COMPUTED_VALUE"""),"IRAN")</f>
        <v>IRAN</v>
      </c>
      <c r="C546" s="5" t="str">
        <f>IFERROR(__xludf.DUMMYFUNCTION("""COMPUTED_VALUE"""),"NORMAL")</f>
        <v>NORMAL</v>
      </c>
      <c r="D546" s="5" t="str">
        <f>IFERROR(__xludf.DUMMYFUNCTION("""COMPUTED_VALUE"""),"ALIREZA BEIRANVAND")</f>
        <v>ALIREZA BEIRANVAND</v>
      </c>
      <c r="E546" s="5">
        <f>IFERROR(__xludf.DUMMYFUNCTION("""COMPUTED_VALUE"""),0.0)</f>
        <v>0</v>
      </c>
    </row>
    <row r="547">
      <c r="A547" s="5" t="str">
        <f>IFERROR(__xludf.DUMMYFUNCTION("""COMPUTED_VALUE"""),"IRN03")</f>
        <v>IRN03</v>
      </c>
      <c r="B547" s="5" t="str">
        <f>IFERROR(__xludf.DUMMYFUNCTION("""COMPUTED_VALUE"""),"IRAN")</f>
        <v>IRAN</v>
      </c>
      <c r="C547" s="5" t="str">
        <f>IFERROR(__xludf.DUMMYFUNCTION("""COMPUTED_VALUE"""),"NORMAL")</f>
        <v>NORMAL</v>
      </c>
      <c r="D547" s="5" t="str">
        <f>IFERROR(__xludf.DUMMYFUNCTION("""COMPUTED_VALUE"""),"MORTEZA POURALIGANJI")</f>
        <v>MORTEZA POURALIGANJI</v>
      </c>
      <c r="E547" s="5">
        <f>IFERROR(__xludf.DUMMYFUNCTION("""COMPUTED_VALUE"""),0.0)</f>
        <v>0</v>
      </c>
    </row>
    <row r="548">
      <c r="A548" s="5" t="str">
        <f>IFERROR(__xludf.DUMMYFUNCTION("""COMPUTED_VALUE"""),"IRN04")</f>
        <v>IRN04</v>
      </c>
      <c r="B548" s="5" t="str">
        <f>IFERROR(__xludf.DUMMYFUNCTION("""COMPUTED_VALUE"""),"IRAN")</f>
        <v>IRAN</v>
      </c>
      <c r="C548" s="5" t="str">
        <f>IFERROR(__xludf.DUMMYFUNCTION("""COMPUTED_VALUE"""),"NORMAL")</f>
        <v>NORMAL</v>
      </c>
      <c r="D548" s="5" t="str">
        <f>IFERROR(__xludf.DUMMYFUNCTION("""COMPUTED_VALUE"""),"EHSAN HAJSAFI")</f>
        <v>EHSAN HAJSAFI</v>
      </c>
      <c r="E548" s="5">
        <f>IFERROR(__xludf.DUMMYFUNCTION("""COMPUTED_VALUE"""),0.0)</f>
        <v>0</v>
      </c>
    </row>
    <row r="549">
      <c r="A549" s="5" t="str">
        <f>IFERROR(__xludf.DUMMYFUNCTION("""COMPUTED_VALUE"""),"IRN05")</f>
        <v>IRN05</v>
      </c>
      <c r="B549" s="5" t="str">
        <f>IFERROR(__xludf.DUMMYFUNCTION("""COMPUTED_VALUE"""),"IRAN")</f>
        <v>IRAN</v>
      </c>
      <c r="C549" s="5" t="str">
        <f>IFERROR(__xludf.DUMMYFUNCTION("""COMPUTED_VALUE"""),"NORMAL")</f>
        <v>NORMAL</v>
      </c>
      <c r="D549" s="5" t="str">
        <f>IFERROR(__xludf.DUMMYFUNCTION("""COMPUTED_VALUE"""),"MILAD MOHAMMADI")</f>
        <v>MILAD MOHAMMADI</v>
      </c>
      <c r="E549" s="5">
        <f>IFERROR(__xludf.DUMMYFUNCTION("""COMPUTED_VALUE"""),0.0)</f>
        <v>0</v>
      </c>
    </row>
    <row r="550">
      <c r="A550" s="5" t="str">
        <f>IFERROR(__xludf.DUMMYFUNCTION("""COMPUTED_VALUE"""),"IRN06")</f>
        <v>IRN06</v>
      </c>
      <c r="B550" s="5" t="str">
        <f>IFERROR(__xludf.DUMMYFUNCTION("""COMPUTED_VALUE"""),"IRAN")</f>
        <v>IRAN</v>
      </c>
      <c r="C550" s="5" t="str">
        <f>IFERROR(__xludf.DUMMYFUNCTION("""COMPUTED_VALUE"""),"NORMAL")</f>
        <v>NORMAL</v>
      </c>
      <c r="D550" s="5" t="str">
        <f>IFERROR(__xludf.DUMMYFUNCTION("""COMPUTED_VALUE"""),"SHOJAE KHALILZAEDH")</f>
        <v>SHOJAE KHALILZAEDH</v>
      </c>
      <c r="E550" s="5">
        <f>IFERROR(__xludf.DUMMYFUNCTION("""COMPUTED_VALUE"""),0.0)</f>
        <v>0</v>
      </c>
    </row>
    <row r="551">
      <c r="A551" s="5" t="str">
        <f>IFERROR(__xludf.DUMMYFUNCTION("""COMPUTED_VALUE"""),"IRN07")</f>
        <v>IRN07</v>
      </c>
      <c r="B551" s="5" t="str">
        <f>IFERROR(__xludf.DUMMYFUNCTION("""COMPUTED_VALUE"""),"IRAN")</f>
        <v>IRAN</v>
      </c>
      <c r="C551" s="5" t="str">
        <f>IFERROR(__xludf.DUMMYFUNCTION("""COMPUTED_VALUE"""),"NORMAL")</f>
        <v>NORMAL</v>
      </c>
      <c r="D551" s="5" t="str">
        <f>IFERROR(__xludf.DUMMYFUNCTION("""COMPUTED_VALUE"""),"RAMIN REZAEIAN")</f>
        <v>RAMIN REZAEIAN</v>
      </c>
      <c r="E551" s="5">
        <f>IFERROR(__xludf.DUMMYFUNCTION("""COMPUTED_VALUE"""),0.0)</f>
        <v>0</v>
      </c>
    </row>
    <row r="552">
      <c r="A552" s="5" t="str">
        <f>IFERROR(__xludf.DUMMYFUNCTION("""COMPUTED_VALUE"""),"IRN08")</f>
        <v>IRN08</v>
      </c>
      <c r="B552" s="5" t="str">
        <f>IFERROR(__xludf.DUMMYFUNCTION("""COMPUTED_VALUE"""),"IRAN")</f>
        <v>IRAN</v>
      </c>
      <c r="C552" s="5" t="str">
        <f>IFERROR(__xludf.DUMMYFUNCTION("""COMPUTED_VALUE"""),"NORMAL")</f>
        <v>NORMAL</v>
      </c>
      <c r="D552" s="5" t="str">
        <f>IFERROR(__xludf.DUMMYFUNCTION("""COMPUTED_VALUE"""),"HOSSEIN KANAANI")</f>
        <v>HOSSEIN KANAANI</v>
      </c>
      <c r="E552" s="5">
        <f>IFERROR(__xludf.DUMMYFUNCTION("""COMPUTED_VALUE"""),0.0)</f>
        <v>0</v>
      </c>
    </row>
    <row r="553">
      <c r="A553" s="5" t="str">
        <f>IFERROR(__xludf.DUMMYFUNCTION("""COMPUTED_VALUE"""),"IRN09")</f>
        <v>IRN09</v>
      </c>
      <c r="B553" s="5" t="str">
        <f>IFERROR(__xludf.DUMMYFUNCTION("""COMPUTED_VALUE"""),"IRAN")</f>
        <v>IRAN</v>
      </c>
      <c r="C553" s="5" t="str">
        <f>IFERROR(__xludf.DUMMYFUNCTION("""COMPUTED_VALUE"""),"NORMAL")</f>
        <v>NORMAL</v>
      </c>
      <c r="D553" s="5" t="str">
        <f>IFERROR(__xludf.DUMMYFUNCTION("""COMPUTED_VALUE"""),"SADEGH MOHARRAMI")</f>
        <v>SADEGH MOHARRAMI</v>
      </c>
      <c r="E553" s="5">
        <f>IFERROR(__xludf.DUMMYFUNCTION("""COMPUTED_VALUE"""),0.0)</f>
        <v>0</v>
      </c>
    </row>
    <row r="554">
      <c r="A554" s="5" t="str">
        <f>IFERROR(__xludf.DUMMYFUNCTION("""COMPUTED_VALUE"""),"IRN10")</f>
        <v>IRN10</v>
      </c>
      <c r="B554" s="5" t="str">
        <f>IFERROR(__xludf.DUMMYFUNCTION("""COMPUTED_VALUE"""),"IRAN")</f>
        <v>IRAN</v>
      </c>
      <c r="C554" s="5" t="str">
        <f>IFERROR(__xludf.DUMMYFUNCTION("""COMPUTED_VALUE"""),"NORMAL")</f>
        <v>NORMAL</v>
      </c>
      <c r="D554" s="5" t="str">
        <f>IFERROR(__xludf.DUMMYFUNCTION("""COMPUTED_VALUE"""),"SALEH HARDANI")</f>
        <v>SALEH HARDANI</v>
      </c>
      <c r="E554" s="5">
        <f>IFERROR(__xludf.DUMMYFUNCTION("""COMPUTED_VALUE"""),0.0)</f>
        <v>0</v>
      </c>
    </row>
    <row r="555">
      <c r="A555" s="5" t="str">
        <f>IFERROR(__xludf.DUMMYFUNCTION("""COMPUTED_VALUE"""),"IRN11")</f>
        <v>IRN11</v>
      </c>
      <c r="B555" s="5" t="str">
        <f>IFERROR(__xludf.DUMMYFUNCTION("""COMPUTED_VALUE"""),"IRAN")</f>
        <v>IRAN</v>
      </c>
      <c r="C555" s="5" t="str">
        <f>IFERROR(__xludf.DUMMYFUNCTION("""COMPUTED_VALUE"""),"NORMAL")</f>
        <v>NORMAL</v>
      </c>
      <c r="D555" s="5" t="str">
        <f>IFERROR(__xludf.DUMMYFUNCTION("""COMPUTED_VALUE"""),"SAEED EZTOLAHI")</f>
        <v>SAEED EZTOLAHI</v>
      </c>
      <c r="E555" s="5">
        <f>IFERROR(__xludf.DUMMYFUNCTION("""COMPUTED_VALUE"""),0.0)</f>
        <v>0</v>
      </c>
    </row>
    <row r="556">
      <c r="A556" s="5" t="str">
        <f>IFERROR(__xludf.DUMMYFUNCTION("""COMPUTED_VALUE"""),"IRN12")</f>
        <v>IRN12</v>
      </c>
      <c r="B556" s="5" t="str">
        <f>IFERROR(__xludf.DUMMYFUNCTION("""COMPUTED_VALUE"""),"IRAN")</f>
        <v>IRAN</v>
      </c>
      <c r="C556" s="5" t="str">
        <f>IFERROR(__xludf.DUMMYFUNCTION("""COMPUTED_VALUE"""),"NORMAL")</f>
        <v>NORMAL</v>
      </c>
      <c r="D556" s="5" t="str">
        <f>IFERROR(__xludf.DUMMYFUNCTION("""COMPUTED_VALUE"""),"SAMAN GHODDOS")</f>
        <v>SAMAN GHODDOS</v>
      </c>
      <c r="E556" s="5">
        <f>IFERROR(__xludf.DUMMYFUNCTION("""COMPUTED_VALUE"""),0.0)</f>
        <v>0</v>
      </c>
    </row>
    <row r="557">
      <c r="A557" s="5" t="str">
        <f>IFERROR(__xludf.DUMMYFUNCTION("""COMPUTED_VALUE"""),"IRN13")</f>
        <v>IRN13</v>
      </c>
      <c r="B557" s="5" t="str">
        <f>IFERROR(__xludf.DUMMYFUNCTION("""COMPUTED_VALUE"""),"IRAN")</f>
        <v>IRAN</v>
      </c>
      <c r="C557" s="5" t="str">
        <f>IFERROR(__xludf.DUMMYFUNCTION("""COMPUTED_VALUE"""),"TEAM")</f>
        <v>TEAM</v>
      </c>
      <c r="D557" s="5" t="str">
        <f>IFERROR(__xludf.DUMMYFUNCTION("""COMPUTED_VALUE"""),"IRAN NATIONAL TEAM")</f>
        <v>IRAN NATIONAL TEAM</v>
      </c>
      <c r="E557" s="5">
        <f>IFERROR(__xludf.DUMMYFUNCTION("""COMPUTED_VALUE"""),0.0)</f>
        <v>0</v>
      </c>
    </row>
    <row r="558">
      <c r="A558" s="5" t="str">
        <f>IFERROR(__xludf.DUMMYFUNCTION("""COMPUTED_VALUE"""),"IRN14")</f>
        <v>IRN14</v>
      </c>
      <c r="B558" s="5" t="str">
        <f>IFERROR(__xludf.DUMMYFUNCTION("""COMPUTED_VALUE"""),"IRAN")</f>
        <v>IRAN</v>
      </c>
      <c r="C558" s="5" t="str">
        <f>IFERROR(__xludf.DUMMYFUNCTION("""COMPUTED_VALUE"""),"NORMAL")</f>
        <v>NORMAL</v>
      </c>
      <c r="D558" s="5" t="str">
        <f>IFERROR(__xludf.DUMMYFUNCTION("""COMPUTED_VALUE"""),"OMID NOORAFKAN")</f>
        <v>OMID NOORAFKAN</v>
      </c>
      <c r="E558" s="5">
        <f>IFERROR(__xludf.DUMMYFUNCTION("""COMPUTED_VALUE"""),0.0)</f>
        <v>0</v>
      </c>
    </row>
    <row r="559">
      <c r="A559" s="5" t="str">
        <f>IFERROR(__xludf.DUMMYFUNCTION("""COMPUTED_VALUE"""),"IRN15")</f>
        <v>IRN15</v>
      </c>
      <c r="B559" s="5" t="str">
        <f>IFERROR(__xludf.DUMMYFUNCTION("""COMPUTED_VALUE"""),"IRAN")</f>
        <v>IRAN</v>
      </c>
      <c r="C559" s="5" t="str">
        <f>IFERROR(__xludf.DUMMYFUNCTION("""COMPUTED_VALUE"""),"NORMAL")</f>
        <v>NORMAL</v>
      </c>
      <c r="D559" s="5" t="str">
        <f>IFERROR(__xludf.DUMMYFUNCTION("""COMPUTED_VALUE"""),"ROOZBEH CHESHMI")</f>
        <v>ROOZBEH CHESHMI</v>
      </c>
      <c r="E559" s="5">
        <f>IFERROR(__xludf.DUMMYFUNCTION("""COMPUTED_VALUE"""),0.0)</f>
        <v>0</v>
      </c>
    </row>
    <row r="560">
      <c r="A560" s="5" t="str">
        <f>IFERROR(__xludf.DUMMYFUNCTION("""COMPUTED_VALUE"""),"IRN16")</f>
        <v>IRN16</v>
      </c>
      <c r="B560" s="5" t="str">
        <f>IFERROR(__xludf.DUMMYFUNCTION("""COMPUTED_VALUE"""),"IRAN")</f>
        <v>IRAN</v>
      </c>
      <c r="C560" s="5" t="str">
        <f>IFERROR(__xludf.DUMMYFUNCTION("""COMPUTED_VALUE"""),"NORMAL")</f>
        <v>NORMAL</v>
      </c>
      <c r="D560" s="5" t="str">
        <f>IFERROR(__xludf.DUMMYFUNCTION("""COMPUTED_VALUE"""),"MOHAMMAD MOHEBI")</f>
        <v>MOHAMMAD MOHEBI</v>
      </c>
      <c r="E560" s="5">
        <f>IFERROR(__xludf.DUMMYFUNCTION("""COMPUTED_VALUE"""),0.0)</f>
        <v>0</v>
      </c>
    </row>
    <row r="561">
      <c r="A561" s="5" t="str">
        <f>IFERROR(__xludf.DUMMYFUNCTION("""COMPUTED_VALUE"""),"IRN17")</f>
        <v>IRN17</v>
      </c>
      <c r="B561" s="5" t="str">
        <f>IFERROR(__xludf.DUMMYFUNCTION("""COMPUTED_VALUE"""),"IRAN")</f>
        <v>IRAN</v>
      </c>
      <c r="C561" s="5" t="str">
        <f>IFERROR(__xludf.DUMMYFUNCTION("""COMPUTED_VALUE"""),"NORMAL")</f>
        <v>NORMAL</v>
      </c>
      <c r="D561" s="5" t="str">
        <f>IFERROR(__xludf.DUMMYFUNCTION("""COMPUTED_VALUE"""),"SARDAR AZMOUN")</f>
        <v>SARDAR AZMOUN</v>
      </c>
      <c r="E561" s="5">
        <f>IFERROR(__xludf.DUMMYFUNCTION("""COMPUTED_VALUE"""),0.0)</f>
        <v>0</v>
      </c>
    </row>
    <row r="562">
      <c r="A562" s="5" t="str">
        <f>IFERROR(__xludf.DUMMYFUNCTION("""COMPUTED_VALUE"""),"IRN18")</f>
        <v>IRN18</v>
      </c>
      <c r="B562" s="5" t="str">
        <f>IFERROR(__xludf.DUMMYFUNCTION("""COMPUTED_VALUE"""),"IRAN")</f>
        <v>IRAN</v>
      </c>
      <c r="C562" s="5" t="str">
        <f>IFERROR(__xludf.DUMMYFUNCTION("""COMPUTED_VALUE"""),"NORMAL")</f>
        <v>NORMAL</v>
      </c>
      <c r="D562" s="5" t="str">
        <f>IFERROR(__xludf.DUMMYFUNCTION("""COMPUTED_VALUE"""),"MEHDI TAREMI")</f>
        <v>MEHDI TAREMI</v>
      </c>
      <c r="E562" s="5">
        <f>IFERROR(__xludf.DUMMYFUNCTION("""COMPUTED_VALUE"""),0.0)</f>
        <v>0</v>
      </c>
    </row>
    <row r="563">
      <c r="A563" s="5" t="str">
        <f>IFERROR(__xludf.DUMMYFUNCTION("""COMPUTED_VALUE"""),"IRN19")</f>
        <v>IRN19</v>
      </c>
      <c r="B563" s="5" t="str">
        <f>IFERROR(__xludf.DUMMYFUNCTION("""COMPUTED_VALUE"""),"IRAN")</f>
        <v>IRAN</v>
      </c>
      <c r="C563" s="5" t="str">
        <f>IFERROR(__xludf.DUMMYFUNCTION("""COMPUTED_VALUE"""),"NORMAL")</f>
        <v>NORMAL</v>
      </c>
      <c r="D563" s="5" t="str">
        <f>IFERROR(__xludf.DUMMYFUNCTION("""COMPUTED_VALUE"""),"ALIREZA JAHANBAKHSH")</f>
        <v>ALIREZA JAHANBAKHSH</v>
      </c>
      <c r="E563" s="5">
        <f>IFERROR(__xludf.DUMMYFUNCTION("""COMPUTED_VALUE"""),0.0)</f>
        <v>0</v>
      </c>
    </row>
    <row r="564">
      <c r="A564" s="5" t="str">
        <f>IFERROR(__xludf.DUMMYFUNCTION("""COMPUTED_VALUE"""),"IRN20")</f>
        <v>IRN20</v>
      </c>
      <c r="B564" s="5" t="str">
        <f>IFERROR(__xludf.DUMMYFUNCTION("""COMPUTED_VALUE"""),"IRAN")</f>
        <v>IRAN</v>
      </c>
      <c r="C564" s="5" t="str">
        <f>IFERROR(__xludf.DUMMYFUNCTION("""COMPUTED_VALUE"""),"NORMAL")</f>
        <v>NORMAL</v>
      </c>
      <c r="D564" s="5" t="str">
        <f>IFERROR(__xludf.DUMMYFUNCTION("""COMPUTED_VALUE"""),"ALI GHOLIZADEH")</f>
        <v>ALI GHOLIZADEH</v>
      </c>
      <c r="E564" s="5">
        <f>IFERROR(__xludf.DUMMYFUNCTION("""COMPUTED_VALUE"""),0.0)</f>
        <v>0</v>
      </c>
    </row>
    <row r="565">
      <c r="A565" s="5" t="str">
        <f>IFERROR(__xludf.DUMMYFUNCTION("""COMPUTED_VALUE"""),"NZL01")</f>
        <v>NZL01</v>
      </c>
      <c r="B565" s="5" t="str">
        <f>IFERROR(__xludf.DUMMYFUNCTION("""COMPUTED_VALUE"""),"NEW ZEALAND")</f>
        <v>NEW ZEALAND</v>
      </c>
      <c r="C565" s="5" t="str">
        <f>IFERROR(__xludf.DUMMYFUNCTION("""COMPUTED_VALUE"""),"BADGE")</f>
        <v>BADGE</v>
      </c>
      <c r="D565" s="5" t="str">
        <f>IFERROR(__xludf.DUMMYFUNCTION("""COMPUTED_VALUE"""),"NEW ZEALAND NATIONAL TEAM")</f>
        <v>NEW ZEALAND NATIONAL TEAM</v>
      </c>
      <c r="E565" s="5">
        <f>IFERROR(__xludf.DUMMYFUNCTION("""COMPUTED_VALUE"""),0.0)</f>
        <v>0</v>
      </c>
    </row>
    <row r="566">
      <c r="A566" s="5" t="str">
        <f>IFERROR(__xludf.DUMMYFUNCTION("""COMPUTED_VALUE"""),"NZL02")</f>
        <v>NZL02</v>
      </c>
      <c r="B566" s="5" t="str">
        <f>IFERROR(__xludf.DUMMYFUNCTION("""COMPUTED_VALUE"""),"NEW ZEALAND")</f>
        <v>NEW ZEALAND</v>
      </c>
      <c r="C566" s="5" t="str">
        <f>IFERROR(__xludf.DUMMYFUNCTION("""COMPUTED_VALUE"""),"NORMAL")</f>
        <v>NORMAL</v>
      </c>
      <c r="D566" s="5" t="str">
        <f>IFERROR(__xludf.DUMMYFUNCTION("""COMPUTED_VALUE"""),"MAX CROCOMBE")</f>
        <v>MAX CROCOMBE</v>
      </c>
      <c r="E566" s="5">
        <f>IFERROR(__xludf.DUMMYFUNCTION("""COMPUTED_VALUE"""),0.0)</f>
        <v>0</v>
      </c>
    </row>
    <row r="567">
      <c r="A567" s="5" t="str">
        <f>IFERROR(__xludf.DUMMYFUNCTION("""COMPUTED_VALUE"""),"NZL03")</f>
        <v>NZL03</v>
      </c>
      <c r="B567" s="5" t="str">
        <f>IFERROR(__xludf.DUMMYFUNCTION("""COMPUTED_VALUE"""),"NEW ZEALAND")</f>
        <v>NEW ZEALAND</v>
      </c>
      <c r="C567" s="5" t="str">
        <f>IFERROR(__xludf.DUMMYFUNCTION("""COMPUTED_VALUE"""),"NORMAL")</f>
        <v>NORMAL</v>
      </c>
      <c r="D567" s="5" t="str">
        <f>IFERROR(__xludf.DUMMYFUNCTION("""COMPUTED_VALUE"""),"ALEX PAULSEN")</f>
        <v>ALEX PAULSEN</v>
      </c>
      <c r="E567" s="5">
        <f>IFERROR(__xludf.DUMMYFUNCTION("""COMPUTED_VALUE"""),0.0)</f>
        <v>0</v>
      </c>
    </row>
    <row r="568">
      <c r="A568" s="5" t="str">
        <f>IFERROR(__xludf.DUMMYFUNCTION("""COMPUTED_VALUE"""),"NZL04")</f>
        <v>NZL04</v>
      </c>
      <c r="B568" s="5" t="str">
        <f>IFERROR(__xludf.DUMMYFUNCTION("""COMPUTED_VALUE"""),"NEW ZEALAND")</f>
        <v>NEW ZEALAND</v>
      </c>
      <c r="C568" s="5" t="str">
        <f>IFERROR(__xludf.DUMMYFUNCTION("""COMPUTED_VALUE"""),"NORMAL")</f>
        <v>NORMAL</v>
      </c>
      <c r="D568" s="5" t="str">
        <f>IFERROR(__xludf.DUMMYFUNCTION("""COMPUTED_VALUE"""),"MICHAEL BOXALL")</f>
        <v>MICHAEL BOXALL</v>
      </c>
      <c r="E568" s="5">
        <f>IFERROR(__xludf.DUMMYFUNCTION("""COMPUTED_VALUE"""),0.0)</f>
        <v>0</v>
      </c>
    </row>
    <row r="569">
      <c r="A569" s="5" t="str">
        <f>IFERROR(__xludf.DUMMYFUNCTION("""COMPUTED_VALUE"""),"NZL05")</f>
        <v>NZL05</v>
      </c>
      <c r="B569" s="5" t="str">
        <f>IFERROR(__xludf.DUMMYFUNCTION("""COMPUTED_VALUE"""),"NEW ZEALAND")</f>
        <v>NEW ZEALAND</v>
      </c>
      <c r="C569" s="5" t="str">
        <f>IFERROR(__xludf.DUMMYFUNCTION("""COMPUTED_VALUE"""),"NORMAL")</f>
        <v>NORMAL</v>
      </c>
      <c r="D569" s="5" t="str">
        <f>IFERROR(__xludf.DUMMYFUNCTION("""COMPUTED_VALUE"""),"LIBERATO CACACE")</f>
        <v>LIBERATO CACACE</v>
      </c>
      <c r="E569" s="5">
        <f>IFERROR(__xludf.DUMMYFUNCTION("""COMPUTED_VALUE"""),0.0)</f>
        <v>0</v>
      </c>
    </row>
    <row r="570">
      <c r="A570" s="5" t="str">
        <f>IFERROR(__xludf.DUMMYFUNCTION("""COMPUTED_VALUE"""),"NZL06")</f>
        <v>NZL06</v>
      </c>
      <c r="B570" s="5" t="str">
        <f>IFERROR(__xludf.DUMMYFUNCTION("""COMPUTED_VALUE"""),"NEW ZEALAND")</f>
        <v>NEW ZEALAND</v>
      </c>
      <c r="C570" s="5" t="str">
        <f>IFERROR(__xludf.DUMMYFUNCTION("""COMPUTED_VALUE"""),"NORMAL")</f>
        <v>NORMAL</v>
      </c>
      <c r="D570" s="5" t="str">
        <f>IFERROR(__xludf.DUMMYFUNCTION("""COMPUTED_VALUE"""),"TIM PAYNE")</f>
        <v>TIM PAYNE</v>
      </c>
      <c r="E570" s="5">
        <f>IFERROR(__xludf.DUMMYFUNCTION("""COMPUTED_VALUE"""),0.0)</f>
        <v>0</v>
      </c>
    </row>
    <row r="571">
      <c r="A571" s="5" t="str">
        <f>IFERROR(__xludf.DUMMYFUNCTION("""COMPUTED_VALUE"""),"NZL07")</f>
        <v>NZL07</v>
      </c>
      <c r="B571" s="5" t="str">
        <f>IFERROR(__xludf.DUMMYFUNCTION("""COMPUTED_VALUE"""),"NEW ZEALAND")</f>
        <v>NEW ZEALAND</v>
      </c>
      <c r="C571" s="5" t="str">
        <f>IFERROR(__xludf.DUMMYFUNCTION("""COMPUTED_VALUE"""),"NORMAL")</f>
        <v>NORMAL</v>
      </c>
      <c r="D571" s="5" t="str">
        <f>IFERROR(__xludf.DUMMYFUNCTION("""COMPUTED_VALUE"""),"TYLER BINDON")</f>
        <v>TYLER BINDON</v>
      </c>
      <c r="E571" s="5">
        <f>IFERROR(__xludf.DUMMYFUNCTION("""COMPUTED_VALUE"""),0.0)</f>
        <v>0</v>
      </c>
    </row>
    <row r="572">
      <c r="A572" s="5" t="str">
        <f>IFERROR(__xludf.DUMMYFUNCTION("""COMPUTED_VALUE"""),"NZL08")</f>
        <v>NZL08</v>
      </c>
      <c r="B572" s="5" t="str">
        <f>IFERROR(__xludf.DUMMYFUNCTION("""COMPUTED_VALUE"""),"NEW ZEALAND")</f>
        <v>NEW ZEALAND</v>
      </c>
      <c r="C572" s="5" t="str">
        <f>IFERROR(__xludf.DUMMYFUNCTION("""COMPUTED_VALUE"""),"NORMAL")</f>
        <v>NORMAL</v>
      </c>
      <c r="D572" s="5" t="str">
        <f>IFERROR(__xludf.DUMMYFUNCTION("""COMPUTED_VALUE"""),"FRANCIS DE VRIES")</f>
        <v>FRANCIS DE VRIES</v>
      </c>
      <c r="E572" s="5">
        <f>IFERROR(__xludf.DUMMYFUNCTION("""COMPUTED_VALUE"""),0.0)</f>
        <v>0</v>
      </c>
    </row>
    <row r="573">
      <c r="A573" s="5" t="str">
        <f>IFERROR(__xludf.DUMMYFUNCTION("""COMPUTED_VALUE"""),"NZL09")</f>
        <v>NZL09</v>
      </c>
      <c r="B573" s="5" t="str">
        <f>IFERROR(__xludf.DUMMYFUNCTION("""COMPUTED_VALUE"""),"NEW ZEALAND")</f>
        <v>NEW ZEALAND</v>
      </c>
      <c r="C573" s="5" t="str">
        <f>IFERROR(__xludf.DUMMYFUNCTION("""COMPUTED_VALUE"""),"NORMAL")</f>
        <v>NORMAL</v>
      </c>
      <c r="D573" s="5" t="str">
        <f>IFERROR(__xludf.DUMMYFUNCTION("""COMPUTED_VALUE"""),"FINN SURMAN")</f>
        <v>FINN SURMAN</v>
      </c>
      <c r="E573" s="5">
        <f>IFERROR(__xludf.DUMMYFUNCTION("""COMPUTED_VALUE"""),0.0)</f>
        <v>0</v>
      </c>
    </row>
    <row r="574">
      <c r="A574" s="5" t="str">
        <f>IFERROR(__xludf.DUMMYFUNCTION("""COMPUTED_VALUE"""),"NZL10")</f>
        <v>NZL10</v>
      </c>
      <c r="B574" s="5" t="str">
        <f>IFERROR(__xludf.DUMMYFUNCTION("""COMPUTED_VALUE"""),"NEW ZEALAND")</f>
        <v>NEW ZEALAND</v>
      </c>
      <c r="C574" s="5" t="str">
        <f>IFERROR(__xludf.DUMMYFUNCTION("""COMPUTED_VALUE"""),"NORMAL")</f>
        <v>NORMAL</v>
      </c>
      <c r="D574" s="5" t="str">
        <f>IFERROR(__xludf.DUMMYFUNCTION("""COMPUTED_VALUE"""),"JOE BELL")</f>
        <v>JOE BELL</v>
      </c>
      <c r="E574" s="5">
        <f>IFERROR(__xludf.DUMMYFUNCTION("""COMPUTED_VALUE"""),0.0)</f>
        <v>0</v>
      </c>
    </row>
    <row r="575">
      <c r="A575" s="5" t="str">
        <f>IFERROR(__xludf.DUMMYFUNCTION("""COMPUTED_VALUE"""),"NZL11")</f>
        <v>NZL11</v>
      </c>
      <c r="B575" s="5" t="str">
        <f>IFERROR(__xludf.DUMMYFUNCTION("""COMPUTED_VALUE"""),"NEW ZEALAND")</f>
        <v>NEW ZEALAND</v>
      </c>
      <c r="C575" s="5" t="str">
        <f>IFERROR(__xludf.DUMMYFUNCTION("""COMPUTED_VALUE"""),"NORMAL")</f>
        <v>NORMAL</v>
      </c>
      <c r="D575" s="5" t="str">
        <f>IFERROR(__xludf.DUMMYFUNCTION("""COMPUTED_VALUE"""),"SARPREET SINGH")</f>
        <v>SARPREET SINGH</v>
      </c>
      <c r="E575" s="5">
        <f>IFERROR(__xludf.DUMMYFUNCTION("""COMPUTED_VALUE"""),0.0)</f>
        <v>0</v>
      </c>
    </row>
    <row r="576">
      <c r="A576" s="5" t="str">
        <f>IFERROR(__xludf.DUMMYFUNCTION("""COMPUTED_VALUE"""),"NZL12")</f>
        <v>NZL12</v>
      </c>
      <c r="B576" s="5" t="str">
        <f>IFERROR(__xludf.DUMMYFUNCTION("""COMPUTED_VALUE"""),"NEW ZEALAND")</f>
        <v>NEW ZEALAND</v>
      </c>
      <c r="C576" s="5" t="str">
        <f>IFERROR(__xludf.DUMMYFUNCTION("""COMPUTED_VALUE"""),"NORMAL")</f>
        <v>NORMAL</v>
      </c>
      <c r="D576" s="5" t="str">
        <f>IFERROR(__xludf.DUMMYFUNCTION("""COMPUTED_VALUE"""),"RYAN THOMAS")</f>
        <v>RYAN THOMAS</v>
      </c>
      <c r="E576" s="5">
        <f>IFERROR(__xludf.DUMMYFUNCTION("""COMPUTED_VALUE"""),0.0)</f>
        <v>0</v>
      </c>
    </row>
    <row r="577">
      <c r="A577" s="5" t="str">
        <f>IFERROR(__xludf.DUMMYFUNCTION("""COMPUTED_VALUE"""),"NZL13")</f>
        <v>NZL13</v>
      </c>
      <c r="B577" s="5" t="str">
        <f>IFERROR(__xludf.DUMMYFUNCTION("""COMPUTED_VALUE"""),"NEW ZEALAND")</f>
        <v>NEW ZEALAND</v>
      </c>
      <c r="C577" s="5" t="str">
        <f>IFERROR(__xludf.DUMMYFUNCTION("""COMPUTED_VALUE"""),"TEAM")</f>
        <v>TEAM</v>
      </c>
      <c r="D577" s="5" t="str">
        <f>IFERROR(__xludf.DUMMYFUNCTION("""COMPUTED_VALUE"""),"NEW ZEALAND NATIONAL TEAM")</f>
        <v>NEW ZEALAND NATIONAL TEAM</v>
      </c>
      <c r="E577" s="5">
        <f>IFERROR(__xludf.DUMMYFUNCTION("""COMPUTED_VALUE"""),0.0)</f>
        <v>0</v>
      </c>
    </row>
    <row r="578">
      <c r="A578" s="5" t="str">
        <f>IFERROR(__xludf.DUMMYFUNCTION("""COMPUTED_VALUE"""),"NZL14")</f>
        <v>NZL14</v>
      </c>
      <c r="B578" s="5" t="str">
        <f>IFERROR(__xludf.DUMMYFUNCTION("""COMPUTED_VALUE"""),"NEW ZEALAND")</f>
        <v>NEW ZEALAND</v>
      </c>
      <c r="C578" s="5" t="str">
        <f>IFERROR(__xludf.DUMMYFUNCTION("""COMPUTED_VALUE"""),"NORMAL")</f>
        <v>NORMAL</v>
      </c>
      <c r="D578" s="5" t="str">
        <f>IFERROR(__xludf.DUMMYFUNCTION("""COMPUTED_VALUE"""),"MATTHEW GARBETT")</f>
        <v>MATTHEW GARBETT</v>
      </c>
      <c r="E578" s="5">
        <f>IFERROR(__xludf.DUMMYFUNCTION("""COMPUTED_VALUE"""),0.0)</f>
        <v>0</v>
      </c>
    </row>
    <row r="579">
      <c r="A579" s="5" t="str">
        <f>IFERROR(__xludf.DUMMYFUNCTION("""COMPUTED_VALUE"""),"NZL15")</f>
        <v>NZL15</v>
      </c>
      <c r="B579" s="5" t="str">
        <f>IFERROR(__xludf.DUMMYFUNCTION("""COMPUTED_VALUE"""),"NEW ZEALAND")</f>
        <v>NEW ZEALAND</v>
      </c>
      <c r="C579" s="5" t="str">
        <f>IFERROR(__xludf.DUMMYFUNCTION("""COMPUTED_VALUE"""),"NORMAL")</f>
        <v>NORMAL</v>
      </c>
      <c r="D579" s="5" t="str">
        <f>IFERROR(__xludf.DUMMYFUNCTION("""COMPUTED_VALUE"""),"MARKO STAMENIC")</f>
        <v>MARKO STAMENIC</v>
      </c>
      <c r="E579" s="5">
        <f>IFERROR(__xludf.DUMMYFUNCTION("""COMPUTED_VALUE"""),0.0)</f>
        <v>0</v>
      </c>
    </row>
    <row r="580">
      <c r="A580" s="5" t="str">
        <f>IFERROR(__xludf.DUMMYFUNCTION("""COMPUTED_VALUE"""),"NZL16")</f>
        <v>NZL16</v>
      </c>
      <c r="B580" s="5" t="str">
        <f>IFERROR(__xludf.DUMMYFUNCTION("""COMPUTED_VALUE"""),"NEW ZEALAND")</f>
        <v>NEW ZEALAND</v>
      </c>
      <c r="C580" s="5" t="str">
        <f>IFERROR(__xludf.DUMMYFUNCTION("""COMPUTED_VALUE"""),"NORMAL")</f>
        <v>NORMAL</v>
      </c>
      <c r="D580" s="5" t="str">
        <f>IFERROR(__xludf.DUMMYFUNCTION("""COMPUTED_VALUE"""),"BEN OLD")</f>
        <v>BEN OLD</v>
      </c>
      <c r="E580" s="5">
        <f>IFERROR(__xludf.DUMMYFUNCTION("""COMPUTED_VALUE"""),0.0)</f>
        <v>0</v>
      </c>
    </row>
    <row r="581">
      <c r="A581" s="5" t="str">
        <f>IFERROR(__xludf.DUMMYFUNCTION("""COMPUTED_VALUE"""),"NZL17")</f>
        <v>NZL17</v>
      </c>
      <c r="B581" s="5" t="str">
        <f>IFERROR(__xludf.DUMMYFUNCTION("""COMPUTED_VALUE"""),"NEW ZEALAND")</f>
        <v>NEW ZEALAND</v>
      </c>
      <c r="C581" s="5" t="str">
        <f>IFERROR(__xludf.DUMMYFUNCTION("""COMPUTED_VALUE"""),"NORMAL")</f>
        <v>NORMAL</v>
      </c>
      <c r="D581" s="5" t="str">
        <f>IFERROR(__xludf.DUMMYFUNCTION("""COMPUTED_VALUE"""),"CHRIS WOOD")</f>
        <v>CHRIS WOOD</v>
      </c>
      <c r="E581" s="5">
        <f>IFERROR(__xludf.DUMMYFUNCTION("""COMPUTED_VALUE"""),0.0)</f>
        <v>0</v>
      </c>
    </row>
    <row r="582">
      <c r="A582" s="5" t="str">
        <f>IFERROR(__xludf.DUMMYFUNCTION("""COMPUTED_VALUE"""),"NZL18")</f>
        <v>NZL18</v>
      </c>
      <c r="B582" s="5" t="str">
        <f>IFERROR(__xludf.DUMMYFUNCTION("""COMPUTED_VALUE"""),"NEW ZEALAND")</f>
        <v>NEW ZEALAND</v>
      </c>
      <c r="C582" s="5" t="str">
        <f>IFERROR(__xludf.DUMMYFUNCTION("""COMPUTED_VALUE"""),"NORMAL")</f>
        <v>NORMAL</v>
      </c>
      <c r="D582" s="5" t="str">
        <f>IFERROR(__xludf.DUMMYFUNCTION("""COMPUTED_VALUE"""),"ELIJAH JUST")</f>
        <v>ELIJAH JUST</v>
      </c>
      <c r="E582" s="5">
        <f>IFERROR(__xludf.DUMMYFUNCTION("""COMPUTED_VALUE"""),0.0)</f>
        <v>0</v>
      </c>
    </row>
    <row r="583">
      <c r="A583" s="5" t="str">
        <f>IFERROR(__xludf.DUMMYFUNCTION("""COMPUTED_VALUE"""),"NZL19")</f>
        <v>NZL19</v>
      </c>
      <c r="B583" s="5" t="str">
        <f>IFERROR(__xludf.DUMMYFUNCTION("""COMPUTED_VALUE"""),"NEW ZEALAND")</f>
        <v>NEW ZEALAND</v>
      </c>
      <c r="C583" s="5" t="str">
        <f>IFERROR(__xludf.DUMMYFUNCTION("""COMPUTED_VALUE"""),"NORMAL")</f>
        <v>NORMAL</v>
      </c>
      <c r="D583" s="5" t="str">
        <f>IFERROR(__xludf.DUMMYFUNCTION("""COMPUTED_VALUE"""),"CALLUM MCCOWATT")</f>
        <v>CALLUM MCCOWATT</v>
      </c>
      <c r="E583" s="5">
        <f>IFERROR(__xludf.DUMMYFUNCTION("""COMPUTED_VALUE"""),0.0)</f>
        <v>0</v>
      </c>
    </row>
    <row r="584">
      <c r="A584" s="5" t="str">
        <f>IFERROR(__xludf.DUMMYFUNCTION("""COMPUTED_VALUE"""),"NZL20")</f>
        <v>NZL20</v>
      </c>
      <c r="B584" s="5" t="str">
        <f>IFERROR(__xludf.DUMMYFUNCTION("""COMPUTED_VALUE"""),"NEW ZEALAND")</f>
        <v>NEW ZEALAND</v>
      </c>
      <c r="C584" s="5" t="str">
        <f>IFERROR(__xludf.DUMMYFUNCTION("""COMPUTED_VALUE"""),"NORMAL")</f>
        <v>NORMAL</v>
      </c>
      <c r="D584" s="5" t="str">
        <f>IFERROR(__xludf.DUMMYFUNCTION("""COMPUTED_VALUE"""),"KOSTA BARBAROUSES")</f>
        <v>KOSTA BARBAROUSES</v>
      </c>
      <c r="E584" s="5">
        <f>IFERROR(__xludf.DUMMYFUNCTION("""COMPUTED_VALUE"""),0.0)</f>
        <v>0</v>
      </c>
    </row>
    <row r="585">
      <c r="A585" s="5" t="str">
        <f>IFERROR(__xludf.DUMMYFUNCTION("""COMPUTED_VALUE"""),"ESP01")</f>
        <v>ESP01</v>
      </c>
      <c r="B585" s="5" t="str">
        <f>IFERROR(__xludf.DUMMYFUNCTION("""COMPUTED_VALUE"""),"SPAIN")</f>
        <v>SPAIN</v>
      </c>
      <c r="C585" s="5" t="str">
        <f>IFERROR(__xludf.DUMMYFUNCTION("""COMPUTED_VALUE"""),"BADGE")</f>
        <v>BADGE</v>
      </c>
      <c r="D585" s="5" t="str">
        <f>IFERROR(__xludf.DUMMYFUNCTION("""COMPUTED_VALUE"""),"SPAIN NATIONAL TEAM")</f>
        <v>SPAIN NATIONAL TEAM</v>
      </c>
      <c r="E585" s="5">
        <f>IFERROR(__xludf.DUMMYFUNCTION("""COMPUTED_VALUE"""),0.0)</f>
        <v>0</v>
      </c>
    </row>
    <row r="586">
      <c r="A586" s="5" t="str">
        <f>IFERROR(__xludf.DUMMYFUNCTION("""COMPUTED_VALUE"""),"ESP02")</f>
        <v>ESP02</v>
      </c>
      <c r="B586" s="5" t="str">
        <f>IFERROR(__xludf.DUMMYFUNCTION("""COMPUTED_VALUE"""),"SPAIN")</f>
        <v>SPAIN</v>
      </c>
      <c r="C586" s="5" t="str">
        <f>IFERROR(__xludf.DUMMYFUNCTION("""COMPUTED_VALUE"""),"NORMAL")</f>
        <v>NORMAL</v>
      </c>
      <c r="D586" s="5" t="str">
        <f>IFERROR(__xludf.DUMMYFUNCTION("""COMPUTED_VALUE"""),"UNAI SIMON")</f>
        <v>UNAI SIMON</v>
      </c>
      <c r="E586" s="5">
        <f>IFERROR(__xludf.DUMMYFUNCTION("""COMPUTED_VALUE"""),0.0)</f>
        <v>0</v>
      </c>
    </row>
    <row r="587">
      <c r="A587" s="5" t="str">
        <f>IFERROR(__xludf.DUMMYFUNCTION("""COMPUTED_VALUE"""),"ESP03")</f>
        <v>ESP03</v>
      </c>
      <c r="B587" s="5" t="str">
        <f>IFERROR(__xludf.DUMMYFUNCTION("""COMPUTED_VALUE"""),"SPAIN")</f>
        <v>SPAIN</v>
      </c>
      <c r="C587" s="5" t="str">
        <f>IFERROR(__xludf.DUMMYFUNCTION("""COMPUTED_VALUE"""),"NORMAL")</f>
        <v>NORMAL</v>
      </c>
      <c r="D587" s="5" t="str">
        <f>IFERROR(__xludf.DUMMYFUNCTION("""COMPUTED_VALUE"""),"ROBIN LE NORMAND")</f>
        <v>ROBIN LE NORMAND</v>
      </c>
      <c r="E587" s="5">
        <f>IFERROR(__xludf.DUMMYFUNCTION("""COMPUTED_VALUE"""),0.0)</f>
        <v>0</v>
      </c>
    </row>
    <row r="588">
      <c r="A588" s="5" t="str">
        <f>IFERROR(__xludf.DUMMYFUNCTION("""COMPUTED_VALUE"""),"ESP04")</f>
        <v>ESP04</v>
      </c>
      <c r="B588" s="5" t="str">
        <f>IFERROR(__xludf.DUMMYFUNCTION("""COMPUTED_VALUE"""),"SPAIN")</f>
        <v>SPAIN</v>
      </c>
      <c r="C588" s="5" t="str">
        <f>IFERROR(__xludf.DUMMYFUNCTION("""COMPUTED_VALUE"""),"NORMAL")</f>
        <v>NORMAL</v>
      </c>
      <c r="D588" s="5" t="str">
        <f>IFERROR(__xludf.DUMMYFUNCTION("""COMPUTED_VALUE"""),"AYMERIC LAPORTE")</f>
        <v>AYMERIC LAPORTE</v>
      </c>
      <c r="E588" s="5">
        <f>IFERROR(__xludf.DUMMYFUNCTION("""COMPUTED_VALUE"""),0.0)</f>
        <v>0</v>
      </c>
    </row>
    <row r="589">
      <c r="A589" s="5" t="str">
        <f>IFERROR(__xludf.DUMMYFUNCTION("""COMPUTED_VALUE"""),"ESP05")</f>
        <v>ESP05</v>
      </c>
      <c r="B589" s="5" t="str">
        <f>IFERROR(__xludf.DUMMYFUNCTION("""COMPUTED_VALUE"""),"SPAIN")</f>
        <v>SPAIN</v>
      </c>
      <c r="C589" s="5" t="str">
        <f>IFERROR(__xludf.DUMMYFUNCTION("""COMPUTED_VALUE"""),"NORMAL")</f>
        <v>NORMAL</v>
      </c>
      <c r="D589" s="5" t="str">
        <f>IFERROR(__xludf.DUMMYFUNCTION("""COMPUTED_VALUE"""),"DEAN HUIJSEN")</f>
        <v>DEAN HUIJSEN</v>
      </c>
      <c r="E589" s="5">
        <f>IFERROR(__xludf.DUMMYFUNCTION("""COMPUTED_VALUE"""),0.0)</f>
        <v>0</v>
      </c>
    </row>
    <row r="590">
      <c r="A590" s="5" t="str">
        <f>IFERROR(__xludf.DUMMYFUNCTION("""COMPUTED_VALUE"""),"ESP06")</f>
        <v>ESP06</v>
      </c>
      <c r="B590" s="5" t="str">
        <f>IFERROR(__xludf.DUMMYFUNCTION("""COMPUTED_VALUE"""),"SPAIN")</f>
        <v>SPAIN</v>
      </c>
      <c r="C590" s="5" t="str">
        <f>IFERROR(__xludf.DUMMYFUNCTION("""COMPUTED_VALUE"""),"NORMAL")</f>
        <v>NORMAL</v>
      </c>
      <c r="D590" s="5" t="str">
        <f>IFERROR(__xludf.DUMMYFUNCTION("""COMPUTED_VALUE"""),"PEDRO PORRO")</f>
        <v>PEDRO PORRO</v>
      </c>
      <c r="E590" s="5">
        <f>IFERROR(__xludf.DUMMYFUNCTION("""COMPUTED_VALUE"""),0.0)</f>
        <v>0</v>
      </c>
    </row>
    <row r="591">
      <c r="A591" s="5" t="str">
        <f>IFERROR(__xludf.DUMMYFUNCTION("""COMPUTED_VALUE"""),"ESP07")</f>
        <v>ESP07</v>
      </c>
      <c r="B591" s="5" t="str">
        <f>IFERROR(__xludf.DUMMYFUNCTION("""COMPUTED_VALUE"""),"SPAIN")</f>
        <v>SPAIN</v>
      </c>
      <c r="C591" s="5" t="str">
        <f>IFERROR(__xludf.DUMMYFUNCTION("""COMPUTED_VALUE"""),"NORMAL")</f>
        <v>NORMAL</v>
      </c>
      <c r="D591" s="5" t="str">
        <f>IFERROR(__xludf.DUMMYFUNCTION("""COMPUTED_VALUE"""),"DANI CARVAJAL")</f>
        <v>DANI CARVAJAL</v>
      </c>
      <c r="E591" s="5">
        <f>IFERROR(__xludf.DUMMYFUNCTION("""COMPUTED_VALUE"""),0.0)</f>
        <v>0</v>
      </c>
    </row>
    <row r="592">
      <c r="A592" s="5" t="str">
        <f>IFERROR(__xludf.DUMMYFUNCTION("""COMPUTED_VALUE"""),"ESP08")</f>
        <v>ESP08</v>
      </c>
      <c r="B592" s="5" t="str">
        <f>IFERROR(__xludf.DUMMYFUNCTION("""COMPUTED_VALUE"""),"SPAIN")</f>
        <v>SPAIN</v>
      </c>
      <c r="C592" s="5" t="str">
        <f>IFERROR(__xludf.DUMMYFUNCTION("""COMPUTED_VALUE"""),"NORMAL")</f>
        <v>NORMAL</v>
      </c>
      <c r="D592" s="5" t="str">
        <f>IFERROR(__xludf.DUMMYFUNCTION("""COMPUTED_VALUE"""),"MARC CUCURELLA")</f>
        <v>MARC CUCURELLA</v>
      </c>
      <c r="E592" s="5">
        <f>IFERROR(__xludf.DUMMYFUNCTION("""COMPUTED_VALUE"""),0.0)</f>
        <v>0</v>
      </c>
    </row>
    <row r="593">
      <c r="A593" s="5" t="str">
        <f>IFERROR(__xludf.DUMMYFUNCTION("""COMPUTED_VALUE"""),"ESP09")</f>
        <v>ESP09</v>
      </c>
      <c r="B593" s="5" t="str">
        <f>IFERROR(__xludf.DUMMYFUNCTION("""COMPUTED_VALUE"""),"SPAIN")</f>
        <v>SPAIN</v>
      </c>
      <c r="C593" s="5" t="str">
        <f>IFERROR(__xludf.DUMMYFUNCTION("""COMPUTED_VALUE"""),"NORMAL")</f>
        <v>NORMAL</v>
      </c>
      <c r="D593" s="5" t="str">
        <f>IFERROR(__xludf.DUMMYFUNCTION("""COMPUTED_VALUE"""),"MARTIN ZUBIMENDI")</f>
        <v>MARTIN ZUBIMENDI</v>
      </c>
      <c r="E593" s="5">
        <f>IFERROR(__xludf.DUMMYFUNCTION("""COMPUTED_VALUE"""),0.0)</f>
        <v>0</v>
      </c>
    </row>
    <row r="594">
      <c r="A594" s="5" t="str">
        <f>IFERROR(__xludf.DUMMYFUNCTION("""COMPUTED_VALUE"""),"ESP10")</f>
        <v>ESP10</v>
      </c>
      <c r="B594" s="5" t="str">
        <f>IFERROR(__xludf.DUMMYFUNCTION("""COMPUTED_VALUE"""),"SPAIN")</f>
        <v>SPAIN</v>
      </c>
      <c r="C594" s="5" t="str">
        <f>IFERROR(__xludf.DUMMYFUNCTION("""COMPUTED_VALUE"""),"NORMAL")</f>
        <v>NORMAL</v>
      </c>
      <c r="D594" s="5" t="str">
        <f>IFERROR(__xludf.DUMMYFUNCTION("""COMPUTED_VALUE"""),"RODRI")</f>
        <v>RODRI</v>
      </c>
      <c r="E594" s="5">
        <f>IFERROR(__xludf.DUMMYFUNCTION("""COMPUTED_VALUE"""),0.0)</f>
        <v>0</v>
      </c>
    </row>
    <row r="595">
      <c r="A595" s="5" t="str">
        <f>IFERROR(__xludf.DUMMYFUNCTION("""COMPUTED_VALUE"""),"ESP11")</f>
        <v>ESP11</v>
      </c>
      <c r="B595" s="5" t="str">
        <f>IFERROR(__xludf.DUMMYFUNCTION("""COMPUTED_VALUE"""),"SPAIN")</f>
        <v>SPAIN</v>
      </c>
      <c r="C595" s="5" t="str">
        <f>IFERROR(__xludf.DUMMYFUNCTION("""COMPUTED_VALUE"""),"NORMAL")</f>
        <v>NORMAL</v>
      </c>
      <c r="D595" s="5" t="str">
        <f>IFERROR(__xludf.DUMMYFUNCTION("""COMPUTED_VALUE"""),"PEDRI")</f>
        <v>PEDRI</v>
      </c>
      <c r="E595" s="5">
        <f>IFERROR(__xludf.DUMMYFUNCTION("""COMPUTED_VALUE"""),0.0)</f>
        <v>0</v>
      </c>
    </row>
    <row r="596">
      <c r="A596" s="5" t="str">
        <f>IFERROR(__xludf.DUMMYFUNCTION("""COMPUTED_VALUE"""),"ESP12")</f>
        <v>ESP12</v>
      </c>
      <c r="B596" s="5" t="str">
        <f>IFERROR(__xludf.DUMMYFUNCTION("""COMPUTED_VALUE"""),"SPAIN")</f>
        <v>SPAIN</v>
      </c>
      <c r="C596" s="5" t="str">
        <f>IFERROR(__xludf.DUMMYFUNCTION("""COMPUTED_VALUE"""),"NORMAL")</f>
        <v>NORMAL</v>
      </c>
      <c r="D596" s="5" t="str">
        <f>IFERROR(__xludf.DUMMYFUNCTION("""COMPUTED_VALUE"""),"FABIAN RUIZ")</f>
        <v>FABIAN RUIZ</v>
      </c>
      <c r="E596" s="5">
        <f>IFERROR(__xludf.DUMMYFUNCTION("""COMPUTED_VALUE"""),0.0)</f>
        <v>0</v>
      </c>
    </row>
    <row r="597">
      <c r="A597" s="5" t="str">
        <f>IFERROR(__xludf.DUMMYFUNCTION("""COMPUTED_VALUE"""),"ESP13")</f>
        <v>ESP13</v>
      </c>
      <c r="B597" s="5" t="str">
        <f>IFERROR(__xludf.DUMMYFUNCTION("""COMPUTED_VALUE"""),"SPAIN")</f>
        <v>SPAIN</v>
      </c>
      <c r="C597" s="5" t="str">
        <f>IFERROR(__xludf.DUMMYFUNCTION("""COMPUTED_VALUE"""),"TEAM")</f>
        <v>TEAM</v>
      </c>
      <c r="D597" s="5" t="str">
        <f>IFERROR(__xludf.DUMMYFUNCTION("""COMPUTED_VALUE"""),"SPAIN NATIONAL TEAM")</f>
        <v>SPAIN NATIONAL TEAM</v>
      </c>
      <c r="E597" s="5">
        <f>IFERROR(__xludf.DUMMYFUNCTION("""COMPUTED_VALUE"""),0.0)</f>
        <v>0</v>
      </c>
    </row>
    <row r="598">
      <c r="A598" s="5" t="str">
        <f>IFERROR(__xludf.DUMMYFUNCTION("""COMPUTED_VALUE"""),"ESP14")</f>
        <v>ESP14</v>
      </c>
      <c r="B598" s="5" t="str">
        <f>IFERROR(__xludf.DUMMYFUNCTION("""COMPUTED_VALUE"""),"SPAIN")</f>
        <v>SPAIN</v>
      </c>
      <c r="C598" s="5" t="str">
        <f>IFERROR(__xludf.DUMMYFUNCTION("""COMPUTED_VALUE"""),"NORMAL")</f>
        <v>NORMAL</v>
      </c>
      <c r="D598" s="5" t="str">
        <f>IFERROR(__xludf.DUMMYFUNCTION("""COMPUTED_VALUE"""),"MIKEL MERINO")</f>
        <v>MIKEL MERINO</v>
      </c>
      <c r="E598" s="5">
        <f>IFERROR(__xludf.DUMMYFUNCTION("""COMPUTED_VALUE"""),0.0)</f>
        <v>0</v>
      </c>
    </row>
    <row r="599">
      <c r="A599" s="5" t="str">
        <f>IFERROR(__xludf.DUMMYFUNCTION("""COMPUTED_VALUE"""),"ESP15")</f>
        <v>ESP15</v>
      </c>
      <c r="B599" s="5" t="str">
        <f>IFERROR(__xludf.DUMMYFUNCTION("""COMPUTED_VALUE"""),"SPAIN")</f>
        <v>SPAIN</v>
      </c>
      <c r="C599" s="5" t="str">
        <f>IFERROR(__xludf.DUMMYFUNCTION("""COMPUTED_VALUE"""),"NORMAL")</f>
        <v>NORMAL</v>
      </c>
      <c r="D599" s="5" t="str">
        <f>IFERROR(__xludf.DUMMYFUNCTION("""COMPUTED_VALUE"""),"LAMINE YAMAL")</f>
        <v>LAMINE YAMAL</v>
      </c>
      <c r="E599" s="5">
        <f>IFERROR(__xludf.DUMMYFUNCTION("""COMPUTED_VALUE"""),0.0)</f>
        <v>0</v>
      </c>
    </row>
    <row r="600">
      <c r="A600" s="5" t="str">
        <f>IFERROR(__xludf.DUMMYFUNCTION("""COMPUTED_VALUE"""),"ESP16")</f>
        <v>ESP16</v>
      </c>
      <c r="B600" s="5" t="str">
        <f>IFERROR(__xludf.DUMMYFUNCTION("""COMPUTED_VALUE"""),"SPAIN")</f>
        <v>SPAIN</v>
      </c>
      <c r="C600" s="5" t="str">
        <f>IFERROR(__xludf.DUMMYFUNCTION("""COMPUTED_VALUE"""),"NORMAL")</f>
        <v>NORMAL</v>
      </c>
      <c r="D600" s="5" t="str">
        <f>IFERROR(__xludf.DUMMYFUNCTION("""COMPUTED_VALUE"""),"DANI OLMO")</f>
        <v>DANI OLMO</v>
      </c>
      <c r="E600" s="5">
        <f>IFERROR(__xludf.DUMMYFUNCTION("""COMPUTED_VALUE"""),0.0)</f>
        <v>0</v>
      </c>
    </row>
    <row r="601">
      <c r="A601" s="5" t="str">
        <f>IFERROR(__xludf.DUMMYFUNCTION("""COMPUTED_VALUE"""),"ESP17")</f>
        <v>ESP17</v>
      </c>
      <c r="B601" s="5" t="str">
        <f>IFERROR(__xludf.DUMMYFUNCTION("""COMPUTED_VALUE"""),"SPAIN")</f>
        <v>SPAIN</v>
      </c>
      <c r="C601" s="5" t="str">
        <f>IFERROR(__xludf.DUMMYFUNCTION("""COMPUTED_VALUE"""),"NORMAL")</f>
        <v>NORMAL</v>
      </c>
      <c r="D601" s="5" t="str">
        <f>IFERROR(__xludf.DUMMYFUNCTION("""COMPUTED_VALUE"""),"NICO WILLIAMS")</f>
        <v>NICO WILLIAMS</v>
      </c>
      <c r="E601" s="5">
        <f>IFERROR(__xludf.DUMMYFUNCTION("""COMPUTED_VALUE"""),0.0)</f>
        <v>0</v>
      </c>
    </row>
    <row r="602">
      <c r="A602" s="5" t="str">
        <f>IFERROR(__xludf.DUMMYFUNCTION("""COMPUTED_VALUE"""),"ESP18")</f>
        <v>ESP18</v>
      </c>
      <c r="B602" s="5" t="str">
        <f>IFERROR(__xludf.DUMMYFUNCTION("""COMPUTED_VALUE"""),"SPAIN")</f>
        <v>SPAIN</v>
      </c>
      <c r="C602" s="5" t="str">
        <f>IFERROR(__xludf.DUMMYFUNCTION("""COMPUTED_VALUE"""),"NORMAL")</f>
        <v>NORMAL</v>
      </c>
      <c r="D602" s="5" t="str">
        <f>IFERROR(__xludf.DUMMYFUNCTION("""COMPUTED_VALUE"""),"FERRAN TORRES")</f>
        <v>FERRAN TORRES</v>
      </c>
      <c r="E602" s="5">
        <f>IFERROR(__xludf.DUMMYFUNCTION("""COMPUTED_VALUE"""),0.0)</f>
        <v>0</v>
      </c>
    </row>
    <row r="603">
      <c r="A603" s="5" t="str">
        <f>IFERROR(__xludf.DUMMYFUNCTION("""COMPUTED_VALUE"""),"ESP19")</f>
        <v>ESP19</v>
      </c>
      <c r="B603" s="5" t="str">
        <f>IFERROR(__xludf.DUMMYFUNCTION("""COMPUTED_VALUE"""),"SPAIN")</f>
        <v>SPAIN</v>
      </c>
      <c r="C603" s="5" t="str">
        <f>IFERROR(__xludf.DUMMYFUNCTION("""COMPUTED_VALUE"""),"NORMAL")</f>
        <v>NORMAL</v>
      </c>
      <c r="D603" s="5" t="str">
        <f>IFERROR(__xludf.DUMMYFUNCTION("""COMPUTED_VALUE"""),"ALVARO MORATA")</f>
        <v>ALVARO MORATA</v>
      </c>
      <c r="E603" s="5">
        <f>IFERROR(__xludf.DUMMYFUNCTION("""COMPUTED_VALUE"""),0.0)</f>
        <v>0</v>
      </c>
    </row>
    <row r="604">
      <c r="A604" s="5" t="str">
        <f>IFERROR(__xludf.DUMMYFUNCTION("""COMPUTED_VALUE"""),"ESP20")</f>
        <v>ESP20</v>
      </c>
      <c r="B604" s="5" t="str">
        <f>IFERROR(__xludf.DUMMYFUNCTION("""COMPUTED_VALUE"""),"SPAIN")</f>
        <v>SPAIN</v>
      </c>
      <c r="C604" s="5" t="str">
        <f>IFERROR(__xludf.DUMMYFUNCTION("""COMPUTED_VALUE"""),"NORMAL")</f>
        <v>NORMAL</v>
      </c>
      <c r="D604" s="5" t="str">
        <f>IFERROR(__xludf.DUMMYFUNCTION("""COMPUTED_VALUE"""),"MIKEL OYARZABAL")</f>
        <v>MIKEL OYARZABAL</v>
      </c>
      <c r="E604" s="5">
        <f>IFERROR(__xludf.DUMMYFUNCTION("""COMPUTED_VALUE"""),0.0)</f>
        <v>0</v>
      </c>
    </row>
    <row r="605">
      <c r="A605" s="7" t="str">
        <f>IFERROR(__xludf.DUMMYFUNCTION("""COMPUTED_VALUE"""),"CPV01")</f>
        <v>CPV01</v>
      </c>
      <c r="B605" s="5" t="str">
        <f>IFERROR(__xludf.DUMMYFUNCTION("""COMPUTED_VALUE"""),"CAPE GREEN")</f>
        <v>CAPE GREEN</v>
      </c>
      <c r="C605" s="5" t="str">
        <f>IFERROR(__xludf.DUMMYFUNCTION("""COMPUTED_VALUE"""),"BADGE")</f>
        <v>BADGE</v>
      </c>
      <c r="D605" s="5" t="str">
        <f>IFERROR(__xludf.DUMMYFUNCTION("""COMPUTED_VALUE"""),"CAPE GREEN NATIONAL TEAM")</f>
        <v>CAPE GREEN NATIONAL TEAM</v>
      </c>
      <c r="E605" s="5">
        <f>IFERROR(__xludf.DUMMYFUNCTION("""COMPUTED_VALUE"""),0.0)</f>
        <v>0</v>
      </c>
    </row>
    <row r="606">
      <c r="A606" s="7" t="str">
        <f>IFERROR(__xludf.DUMMYFUNCTION("""COMPUTED_VALUE"""),"CPV02")</f>
        <v>CPV02</v>
      </c>
      <c r="B606" s="5" t="str">
        <f>IFERROR(__xludf.DUMMYFUNCTION("""COMPUTED_VALUE"""),"CAPE GREEN")</f>
        <v>CAPE GREEN</v>
      </c>
      <c r="C606" s="5" t="str">
        <f>IFERROR(__xludf.DUMMYFUNCTION("""COMPUTED_VALUE"""),"NORMAL")</f>
        <v>NORMAL</v>
      </c>
      <c r="D606" s="5" t="str">
        <f>IFERROR(__xludf.DUMMYFUNCTION("""COMPUTED_VALUE"""),"VOZINHA")</f>
        <v>VOZINHA</v>
      </c>
      <c r="E606" s="5">
        <f>IFERROR(__xludf.DUMMYFUNCTION("""COMPUTED_VALUE"""),0.0)</f>
        <v>0</v>
      </c>
    </row>
    <row r="607">
      <c r="A607" s="7" t="str">
        <f>IFERROR(__xludf.DUMMYFUNCTION("""COMPUTED_VALUE"""),"CPV03")</f>
        <v>CPV03</v>
      </c>
      <c r="B607" s="5" t="str">
        <f>IFERROR(__xludf.DUMMYFUNCTION("""COMPUTED_VALUE"""),"CAPE GREEN")</f>
        <v>CAPE GREEN</v>
      </c>
      <c r="C607" s="5" t="str">
        <f>IFERROR(__xludf.DUMMYFUNCTION("""COMPUTED_VALUE"""),"NORMAL")</f>
        <v>NORMAL</v>
      </c>
      <c r="D607" s="5" t="str">
        <f>IFERROR(__xludf.DUMMYFUNCTION("""COMPUTED_VALUE"""),"LOGAN COSTA")</f>
        <v>LOGAN COSTA</v>
      </c>
      <c r="E607" s="5">
        <f>IFERROR(__xludf.DUMMYFUNCTION("""COMPUTED_VALUE"""),0.0)</f>
        <v>0</v>
      </c>
    </row>
    <row r="608">
      <c r="A608" s="7" t="str">
        <f>IFERROR(__xludf.DUMMYFUNCTION("""COMPUTED_VALUE"""),"CPV04")</f>
        <v>CPV04</v>
      </c>
      <c r="B608" s="5" t="str">
        <f>IFERROR(__xludf.DUMMYFUNCTION("""COMPUTED_VALUE"""),"CAPE GREEN")</f>
        <v>CAPE GREEN</v>
      </c>
      <c r="C608" s="5" t="str">
        <f>IFERROR(__xludf.DUMMYFUNCTION("""COMPUTED_VALUE"""),"NORMAL")</f>
        <v>NORMAL</v>
      </c>
      <c r="D608" s="5" t="str">
        <f>IFERROR(__xludf.DUMMYFUNCTION("""COMPUTED_VALUE"""),"PICO")</f>
        <v>PICO</v>
      </c>
      <c r="E608" s="5">
        <f>IFERROR(__xludf.DUMMYFUNCTION("""COMPUTED_VALUE"""),0.0)</f>
        <v>0</v>
      </c>
    </row>
    <row r="609">
      <c r="A609" s="7" t="str">
        <f>IFERROR(__xludf.DUMMYFUNCTION("""COMPUTED_VALUE"""),"CPV05")</f>
        <v>CPV05</v>
      </c>
      <c r="B609" s="5" t="str">
        <f>IFERROR(__xludf.DUMMYFUNCTION("""COMPUTED_VALUE"""),"CAPE GREEN")</f>
        <v>CAPE GREEN</v>
      </c>
      <c r="C609" s="5" t="str">
        <f>IFERROR(__xludf.DUMMYFUNCTION("""COMPUTED_VALUE"""),"NORMAL")</f>
        <v>NORMAL</v>
      </c>
      <c r="D609" s="5" t="str">
        <f>IFERROR(__xludf.DUMMYFUNCTION("""COMPUTED_VALUE"""),"DINEY")</f>
        <v>DINEY</v>
      </c>
      <c r="E609" s="5">
        <f>IFERROR(__xludf.DUMMYFUNCTION("""COMPUTED_VALUE"""),0.0)</f>
        <v>0</v>
      </c>
    </row>
    <row r="610">
      <c r="A610" s="7" t="str">
        <f>IFERROR(__xludf.DUMMYFUNCTION("""COMPUTED_VALUE"""),"CPV06")</f>
        <v>CPV06</v>
      </c>
      <c r="B610" s="5" t="str">
        <f>IFERROR(__xludf.DUMMYFUNCTION("""COMPUTED_VALUE"""),"CAPE GREEN")</f>
        <v>CAPE GREEN</v>
      </c>
      <c r="C610" s="5" t="str">
        <f>IFERROR(__xludf.DUMMYFUNCTION("""COMPUTED_VALUE"""),"NORMAL")</f>
        <v>NORMAL</v>
      </c>
      <c r="D610" s="5" t="str">
        <f>IFERROR(__xludf.DUMMYFUNCTION("""COMPUTED_VALUE"""),"STEVEN MOREIRA")</f>
        <v>STEVEN MOREIRA</v>
      </c>
      <c r="E610" s="5">
        <f>IFERROR(__xludf.DUMMYFUNCTION("""COMPUTED_VALUE"""),0.0)</f>
        <v>0</v>
      </c>
    </row>
    <row r="611">
      <c r="A611" s="7" t="str">
        <f>IFERROR(__xludf.DUMMYFUNCTION("""COMPUTED_VALUE"""),"CPV07")</f>
        <v>CPV07</v>
      </c>
      <c r="B611" s="5" t="str">
        <f>IFERROR(__xludf.DUMMYFUNCTION("""COMPUTED_VALUE"""),"CAPE GREEN")</f>
        <v>CAPE GREEN</v>
      </c>
      <c r="C611" s="5" t="str">
        <f>IFERROR(__xludf.DUMMYFUNCTION("""COMPUTED_VALUE"""),"NORMAL")</f>
        <v>NORMAL</v>
      </c>
      <c r="D611" s="5" t="str">
        <f>IFERROR(__xludf.DUMMYFUNCTION("""COMPUTED_VALUE"""),"WAGNER PINA")</f>
        <v>WAGNER PINA</v>
      </c>
      <c r="E611" s="5">
        <f>IFERROR(__xludf.DUMMYFUNCTION("""COMPUTED_VALUE"""),0.0)</f>
        <v>0</v>
      </c>
    </row>
    <row r="612">
      <c r="A612" s="7" t="str">
        <f>IFERROR(__xludf.DUMMYFUNCTION("""COMPUTED_VALUE"""),"CPV08")</f>
        <v>CPV08</v>
      </c>
      <c r="B612" s="5" t="str">
        <f>IFERROR(__xludf.DUMMYFUNCTION("""COMPUTED_VALUE"""),"CAPE GREEN")</f>
        <v>CAPE GREEN</v>
      </c>
      <c r="C612" s="5" t="str">
        <f>IFERROR(__xludf.DUMMYFUNCTION("""COMPUTED_VALUE"""),"NORMAL")</f>
        <v>NORMAL</v>
      </c>
      <c r="D612" s="5" t="str">
        <f>IFERROR(__xludf.DUMMYFUNCTION("""COMPUTED_VALUE"""),"JOAO PAULO")</f>
        <v>JOAO PAULO</v>
      </c>
      <c r="E612" s="5">
        <f>IFERROR(__xludf.DUMMYFUNCTION("""COMPUTED_VALUE"""),0.0)</f>
        <v>0</v>
      </c>
    </row>
    <row r="613">
      <c r="A613" s="7" t="str">
        <f>IFERROR(__xludf.DUMMYFUNCTION("""COMPUTED_VALUE"""),"CPV09")</f>
        <v>CPV09</v>
      </c>
      <c r="B613" s="5" t="str">
        <f>IFERROR(__xludf.DUMMYFUNCTION("""COMPUTED_VALUE"""),"CAPE GREEN")</f>
        <v>CAPE GREEN</v>
      </c>
      <c r="C613" s="5" t="str">
        <f>IFERROR(__xludf.DUMMYFUNCTION("""COMPUTED_VALUE"""),"NORMAL")</f>
        <v>NORMAL</v>
      </c>
      <c r="D613" s="5" t="str">
        <f>IFERROR(__xludf.DUMMYFUNCTION("""COMPUTED_VALUE"""),"YANNICK SEMEDO")</f>
        <v>YANNICK SEMEDO</v>
      </c>
      <c r="E613" s="5">
        <f>IFERROR(__xludf.DUMMYFUNCTION("""COMPUTED_VALUE"""),0.0)</f>
        <v>0</v>
      </c>
    </row>
    <row r="614">
      <c r="A614" s="7" t="str">
        <f>IFERROR(__xludf.DUMMYFUNCTION("""COMPUTED_VALUE"""),"CPV10")</f>
        <v>CPV10</v>
      </c>
      <c r="B614" s="5" t="str">
        <f>IFERROR(__xludf.DUMMYFUNCTION("""COMPUTED_VALUE"""),"CAPE GREEN")</f>
        <v>CAPE GREEN</v>
      </c>
      <c r="C614" s="5" t="str">
        <f>IFERROR(__xludf.DUMMYFUNCTION("""COMPUTED_VALUE"""),"NORMAL")</f>
        <v>NORMAL</v>
      </c>
      <c r="D614" s="5" t="str">
        <f>IFERROR(__xludf.DUMMYFUNCTION("""COMPUTED_VALUE"""),"KEVIN PINA")</f>
        <v>KEVIN PINA</v>
      </c>
      <c r="E614" s="5">
        <f>IFERROR(__xludf.DUMMYFUNCTION("""COMPUTED_VALUE"""),0.0)</f>
        <v>0</v>
      </c>
    </row>
    <row r="615">
      <c r="A615" s="7" t="str">
        <f>IFERROR(__xludf.DUMMYFUNCTION("""COMPUTED_VALUE"""),"CPV11")</f>
        <v>CPV11</v>
      </c>
      <c r="B615" s="5" t="str">
        <f>IFERROR(__xludf.DUMMYFUNCTION("""COMPUTED_VALUE"""),"CAPE GREEN")</f>
        <v>CAPE GREEN</v>
      </c>
      <c r="C615" s="5" t="str">
        <f>IFERROR(__xludf.DUMMYFUNCTION("""COMPUTED_VALUE"""),"NORMAL")</f>
        <v>NORMAL</v>
      </c>
      <c r="D615" s="5" t="str">
        <f>IFERROR(__xludf.DUMMYFUNCTION("""COMPUTED_VALUE"""),"PATRICK ANDRADE")</f>
        <v>PATRICK ANDRADE</v>
      </c>
      <c r="E615" s="5">
        <f>IFERROR(__xludf.DUMMYFUNCTION("""COMPUTED_VALUE"""),0.0)</f>
        <v>0</v>
      </c>
    </row>
    <row r="616">
      <c r="A616" s="7" t="str">
        <f>IFERROR(__xludf.DUMMYFUNCTION("""COMPUTED_VALUE"""),"CPV12")</f>
        <v>CPV12</v>
      </c>
      <c r="B616" s="5" t="str">
        <f>IFERROR(__xludf.DUMMYFUNCTION("""COMPUTED_VALUE"""),"CAPE GREEN")</f>
        <v>CAPE GREEN</v>
      </c>
      <c r="C616" s="5" t="str">
        <f>IFERROR(__xludf.DUMMYFUNCTION("""COMPUTED_VALUE"""),"NORMAL")</f>
        <v>NORMAL</v>
      </c>
      <c r="D616" s="5" t="str">
        <f>IFERROR(__xludf.DUMMYFUNCTION("""COMPUTED_VALUE"""),"JAMIRO MONTEIRO")</f>
        <v>JAMIRO MONTEIRO</v>
      </c>
      <c r="E616" s="5">
        <f>IFERROR(__xludf.DUMMYFUNCTION("""COMPUTED_VALUE"""),0.0)</f>
        <v>0</v>
      </c>
    </row>
    <row r="617">
      <c r="A617" s="7" t="str">
        <f>IFERROR(__xludf.DUMMYFUNCTION("""COMPUTED_VALUE"""),"CPV13")</f>
        <v>CPV13</v>
      </c>
      <c r="B617" s="5" t="str">
        <f>IFERROR(__xludf.DUMMYFUNCTION("""COMPUTED_VALUE"""),"CAPE GREEN")</f>
        <v>CAPE GREEN</v>
      </c>
      <c r="C617" s="5" t="str">
        <f>IFERROR(__xludf.DUMMYFUNCTION("""COMPUTED_VALUE"""),"TEAM")</f>
        <v>TEAM</v>
      </c>
      <c r="D617" s="5" t="str">
        <f>IFERROR(__xludf.DUMMYFUNCTION("""COMPUTED_VALUE"""),"CAPE GREEN NATIONAL TEAM")</f>
        <v>CAPE GREEN NATIONAL TEAM</v>
      </c>
      <c r="E617" s="5">
        <f>IFERROR(__xludf.DUMMYFUNCTION("""COMPUTED_VALUE"""),0.0)</f>
        <v>0</v>
      </c>
    </row>
    <row r="618">
      <c r="A618" s="7" t="str">
        <f>IFERROR(__xludf.DUMMYFUNCTION("""COMPUTED_VALUE"""),"CPV14")</f>
        <v>CPV14</v>
      </c>
      <c r="B618" s="5" t="str">
        <f>IFERROR(__xludf.DUMMYFUNCTION("""COMPUTED_VALUE"""),"CAPE GREEN")</f>
        <v>CAPE GREEN</v>
      </c>
      <c r="C618" s="5" t="str">
        <f>IFERROR(__xludf.DUMMYFUNCTION("""COMPUTED_VALUE"""),"NORMAL")</f>
        <v>NORMAL</v>
      </c>
      <c r="D618" s="5" t="str">
        <f>IFERROR(__xludf.DUMMYFUNCTION("""COMPUTED_VALUE"""),"DEROY DUARTE")</f>
        <v>DEROY DUARTE</v>
      </c>
      <c r="E618" s="5">
        <f>IFERROR(__xludf.DUMMYFUNCTION("""COMPUTED_VALUE"""),0.0)</f>
        <v>0</v>
      </c>
    </row>
    <row r="619">
      <c r="A619" s="7" t="str">
        <f>IFERROR(__xludf.DUMMYFUNCTION("""COMPUTED_VALUE"""),"CPV15")</f>
        <v>CPV15</v>
      </c>
      <c r="B619" s="5" t="str">
        <f>IFERROR(__xludf.DUMMYFUNCTION("""COMPUTED_VALUE"""),"CAPE GREEN")</f>
        <v>CAPE GREEN</v>
      </c>
      <c r="C619" s="5" t="str">
        <f>IFERROR(__xludf.DUMMYFUNCTION("""COMPUTED_VALUE"""),"NORMAL")</f>
        <v>NORMAL</v>
      </c>
      <c r="D619" s="5" t="str">
        <f>IFERROR(__xludf.DUMMYFUNCTION("""COMPUTED_VALUE"""),"GARRY RODRÍGUES")</f>
        <v>GARRY RODRÍGUES</v>
      </c>
      <c r="E619" s="5">
        <f>IFERROR(__xludf.DUMMYFUNCTION("""COMPUTED_VALUE"""),0.0)</f>
        <v>0</v>
      </c>
    </row>
    <row r="620">
      <c r="A620" s="7" t="str">
        <f>IFERROR(__xludf.DUMMYFUNCTION("""COMPUTED_VALUE"""),"CPV16")</f>
        <v>CPV16</v>
      </c>
      <c r="B620" s="5" t="str">
        <f>IFERROR(__xludf.DUMMYFUNCTION("""COMPUTED_VALUE"""),"CAPE GREEN")</f>
        <v>CAPE GREEN</v>
      </c>
      <c r="C620" s="5" t="str">
        <f>IFERROR(__xludf.DUMMYFUNCTION("""COMPUTED_VALUE"""),"NORMAL")</f>
        <v>NORMAL</v>
      </c>
      <c r="D620" s="5" t="str">
        <f>IFERROR(__xludf.DUMMYFUNCTION("""COMPUTED_VALUE"""),"JOVANE CABRAL")</f>
        <v>JOVANE CABRAL</v>
      </c>
      <c r="E620" s="5">
        <f>IFERROR(__xludf.DUMMYFUNCTION("""COMPUTED_VALUE"""),0.0)</f>
        <v>0</v>
      </c>
    </row>
    <row r="621">
      <c r="A621" s="7" t="str">
        <f>IFERROR(__xludf.DUMMYFUNCTION("""COMPUTED_VALUE"""),"CPV17")</f>
        <v>CPV17</v>
      </c>
      <c r="B621" s="5" t="str">
        <f>IFERROR(__xludf.DUMMYFUNCTION("""COMPUTED_VALUE"""),"CAPE GREEN")</f>
        <v>CAPE GREEN</v>
      </c>
      <c r="C621" s="5" t="str">
        <f>IFERROR(__xludf.DUMMYFUNCTION("""COMPUTED_VALUE"""),"NORMAL")</f>
        <v>NORMAL</v>
      </c>
      <c r="D621" s="5" t="str">
        <f>IFERROR(__xludf.DUMMYFUNCTION("""COMPUTED_VALUE"""),"RYAN MENDES")</f>
        <v>RYAN MENDES</v>
      </c>
      <c r="E621" s="5">
        <f>IFERROR(__xludf.DUMMYFUNCTION("""COMPUTED_VALUE"""),0.0)</f>
        <v>0</v>
      </c>
    </row>
    <row r="622">
      <c r="A622" s="7" t="str">
        <f>IFERROR(__xludf.DUMMYFUNCTION("""COMPUTED_VALUE"""),"CPV18")</f>
        <v>CPV18</v>
      </c>
      <c r="B622" s="5" t="str">
        <f>IFERROR(__xludf.DUMMYFUNCTION("""COMPUTED_VALUE"""),"CAPE GREEN")</f>
        <v>CAPE GREEN</v>
      </c>
      <c r="C622" s="5" t="str">
        <f>IFERROR(__xludf.DUMMYFUNCTION("""COMPUTED_VALUE"""),"NORMAL")</f>
        <v>NORMAL</v>
      </c>
      <c r="D622" s="5" t="str">
        <f>IFERROR(__xludf.DUMMYFUNCTION("""COMPUTED_VALUE"""),"DAILON LIVRAMENTO")</f>
        <v>DAILON LIVRAMENTO</v>
      </c>
      <c r="E622" s="5">
        <f>IFERROR(__xludf.DUMMYFUNCTION("""COMPUTED_VALUE"""),0.0)</f>
        <v>0</v>
      </c>
    </row>
    <row r="623">
      <c r="A623" s="7" t="str">
        <f>IFERROR(__xludf.DUMMYFUNCTION("""COMPUTED_VALUE"""),"CPV19")</f>
        <v>CPV19</v>
      </c>
      <c r="B623" s="5" t="str">
        <f>IFERROR(__xludf.DUMMYFUNCTION("""COMPUTED_VALUE"""),"CAPE GREEN")</f>
        <v>CAPE GREEN</v>
      </c>
      <c r="C623" s="5" t="str">
        <f>IFERROR(__xludf.DUMMYFUNCTION("""COMPUTED_VALUE"""),"NORMAL")</f>
        <v>NORMAL</v>
      </c>
      <c r="D623" s="5" t="str">
        <f>IFERROR(__xludf.DUMMYFUNCTION("""COMPUTED_VALUE"""),"WILLY SEMEDO")</f>
        <v>WILLY SEMEDO</v>
      </c>
      <c r="E623" s="5">
        <f>IFERROR(__xludf.DUMMYFUNCTION("""COMPUTED_VALUE"""),0.0)</f>
        <v>0</v>
      </c>
    </row>
    <row r="624">
      <c r="A624" s="7" t="str">
        <f>IFERROR(__xludf.DUMMYFUNCTION("""COMPUTED_VALUE"""),"CPV20")</f>
        <v>CPV20</v>
      </c>
      <c r="B624" s="5" t="str">
        <f>IFERROR(__xludf.DUMMYFUNCTION("""COMPUTED_VALUE"""),"CAPE GREEN")</f>
        <v>CAPE GREEN</v>
      </c>
      <c r="C624" s="5" t="str">
        <f>IFERROR(__xludf.DUMMYFUNCTION("""COMPUTED_VALUE"""),"NORMAL")</f>
        <v>NORMAL</v>
      </c>
      <c r="D624" s="5" t="str">
        <f>IFERROR(__xludf.DUMMYFUNCTION("""COMPUTED_VALUE"""),"BEBE")</f>
        <v>BEBE</v>
      </c>
      <c r="E624" s="5">
        <f>IFERROR(__xludf.DUMMYFUNCTION("""COMPUTED_VALUE"""),0.0)</f>
        <v>0</v>
      </c>
    </row>
    <row r="625">
      <c r="A625" s="5" t="str">
        <f>IFERROR(__xludf.DUMMYFUNCTION("""COMPUTED_VALUE"""),"KSA01")</f>
        <v>KSA01</v>
      </c>
      <c r="B625" s="5" t="str">
        <f>IFERROR(__xludf.DUMMYFUNCTION("""COMPUTED_VALUE"""),"KINGDOM OF SAUDI ARABIA")</f>
        <v>KINGDOM OF SAUDI ARABIA</v>
      </c>
      <c r="C625" s="5" t="str">
        <f>IFERROR(__xludf.DUMMYFUNCTION("""COMPUTED_VALUE"""),"BADGE")</f>
        <v>BADGE</v>
      </c>
      <c r="D625" s="5" t="str">
        <f>IFERROR(__xludf.DUMMYFUNCTION("""COMPUTED_VALUE"""),"KINGDOM OF SAUDI ARABIA NATIONAL TEAM")</f>
        <v>KINGDOM OF SAUDI ARABIA NATIONAL TEAM</v>
      </c>
      <c r="E625" s="5">
        <f>IFERROR(__xludf.DUMMYFUNCTION("""COMPUTED_VALUE"""),0.0)</f>
        <v>0</v>
      </c>
    </row>
    <row r="626">
      <c r="A626" s="5" t="str">
        <f>IFERROR(__xludf.DUMMYFUNCTION("""COMPUTED_VALUE"""),"KSA02")</f>
        <v>KSA02</v>
      </c>
      <c r="B626" s="5" t="str">
        <f>IFERROR(__xludf.DUMMYFUNCTION("""COMPUTED_VALUE"""),"KINGDOM OF SAUDI ARABIA")</f>
        <v>KINGDOM OF SAUDI ARABIA</v>
      </c>
      <c r="C626" s="5" t="str">
        <f>IFERROR(__xludf.DUMMYFUNCTION("""COMPUTED_VALUE"""),"NORMAL")</f>
        <v>NORMAL</v>
      </c>
      <c r="D626" s="5" t="str">
        <f>IFERROR(__xludf.DUMMYFUNCTION("""COMPUTED_VALUE"""),"NAWAF ALAQIDI")</f>
        <v>NAWAF ALAQIDI</v>
      </c>
      <c r="E626" s="5">
        <f>IFERROR(__xludf.DUMMYFUNCTION("""COMPUTED_VALUE"""),0.0)</f>
        <v>0</v>
      </c>
    </row>
    <row r="627">
      <c r="A627" s="5" t="str">
        <f>IFERROR(__xludf.DUMMYFUNCTION("""COMPUTED_VALUE"""),"KSA03")</f>
        <v>KSA03</v>
      </c>
      <c r="B627" s="5" t="str">
        <f>IFERROR(__xludf.DUMMYFUNCTION("""COMPUTED_VALUE"""),"KINGDOM OF SAUDI ARABIA")</f>
        <v>KINGDOM OF SAUDI ARABIA</v>
      </c>
      <c r="C627" s="5" t="str">
        <f>IFERROR(__xludf.DUMMYFUNCTION("""COMPUTED_VALUE"""),"NORMAL")</f>
        <v>NORMAL</v>
      </c>
      <c r="D627" s="5" t="str">
        <f>IFERROR(__xludf.DUMMYFUNCTION("""COMPUTED_VALUE"""),"ABDULRAHMAN ALSANBI")</f>
        <v>ABDULRAHMAN ALSANBI</v>
      </c>
      <c r="E627" s="5">
        <f>IFERROR(__xludf.DUMMYFUNCTION("""COMPUTED_VALUE"""),0.0)</f>
        <v>0</v>
      </c>
    </row>
    <row r="628">
      <c r="A628" s="5" t="str">
        <f>IFERROR(__xludf.DUMMYFUNCTION("""COMPUTED_VALUE"""),"KSA04")</f>
        <v>KSA04</v>
      </c>
      <c r="B628" s="5" t="str">
        <f>IFERROR(__xludf.DUMMYFUNCTION("""COMPUTED_VALUE"""),"KINGDOM OF SAUDI ARABIA")</f>
        <v>KINGDOM OF SAUDI ARABIA</v>
      </c>
      <c r="C628" s="5" t="str">
        <f>IFERROR(__xludf.DUMMYFUNCTION("""COMPUTED_VALUE"""),"NORMAL")</f>
        <v>NORMAL</v>
      </c>
      <c r="D628" s="5" t="str">
        <f>IFERROR(__xludf.DUMMYFUNCTION("""COMPUTED_VALUE"""),"SAUD ABDULHAMID")</f>
        <v>SAUD ABDULHAMID</v>
      </c>
      <c r="E628" s="5">
        <f>IFERROR(__xludf.DUMMYFUNCTION("""COMPUTED_VALUE"""),0.0)</f>
        <v>0</v>
      </c>
    </row>
    <row r="629">
      <c r="A629" s="5" t="str">
        <f>IFERROR(__xludf.DUMMYFUNCTION("""COMPUTED_VALUE"""),"KSA05")</f>
        <v>KSA05</v>
      </c>
      <c r="B629" s="5" t="str">
        <f>IFERROR(__xludf.DUMMYFUNCTION("""COMPUTED_VALUE"""),"KINGDOM OF SAUDI ARABIA")</f>
        <v>KINGDOM OF SAUDI ARABIA</v>
      </c>
      <c r="C629" s="5" t="str">
        <f>IFERROR(__xludf.DUMMYFUNCTION("""COMPUTED_VALUE"""),"NORMAL")</f>
        <v>NORMAL</v>
      </c>
      <c r="D629" s="5" t="str">
        <f>IFERROR(__xludf.DUMMYFUNCTION("""COMPUTED_VALUE"""),"NAWAF BUWASHL")</f>
        <v>NAWAF BUWASHL</v>
      </c>
      <c r="E629" s="5">
        <f>IFERROR(__xludf.DUMMYFUNCTION("""COMPUTED_VALUE"""),0.0)</f>
        <v>0</v>
      </c>
    </row>
    <row r="630">
      <c r="A630" s="5" t="str">
        <f>IFERROR(__xludf.DUMMYFUNCTION("""COMPUTED_VALUE"""),"KSA06")</f>
        <v>KSA06</v>
      </c>
      <c r="B630" s="5" t="str">
        <f>IFERROR(__xludf.DUMMYFUNCTION("""COMPUTED_VALUE"""),"KINGDOM OF SAUDI ARABIA")</f>
        <v>KINGDOM OF SAUDI ARABIA</v>
      </c>
      <c r="C630" s="5" t="str">
        <f>IFERROR(__xludf.DUMMYFUNCTION("""COMPUTED_VALUE"""),"NORMAL")</f>
        <v>NORMAL</v>
      </c>
      <c r="D630" s="5" t="str">
        <f>IFERROR(__xludf.DUMMYFUNCTION("""COMPUTED_VALUE"""),"JEHAD THIKRI")</f>
        <v>JEHAD THIKRI</v>
      </c>
      <c r="E630" s="5">
        <f>IFERROR(__xludf.DUMMYFUNCTION("""COMPUTED_VALUE"""),0.0)</f>
        <v>0</v>
      </c>
    </row>
    <row r="631">
      <c r="A631" s="5" t="str">
        <f>IFERROR(__xludf.DUMMYFUNCTION("""COMPUTED_VALUE"""),"KSA07")</f>
        <v>KSA07</v>
      </c>
      <c r="B631" s="5" t="str">
        <f>IFERROR(__xludf.DUMMYFUNCTION("""COMPUTED_VALUE"""),"KINGDOM OF SAUDI ARABIA")</f>
        <v>KINGDOM OF SAUDI ARABIA</v>
      </c>
      <c r="C631" s="5" t="str">
        <f>IFERROR(__xludf.DUMMYFUNCTION("""COMPUTED_VALUE"""),"NORMAL")</f>
        <v>NORMAL</v>
      </c>
      <c r="D631" s="5" t="str">
        <f>IFERROR(__xludf.DUMMYFUNCTION("""COMPUTED_VALUE"""),"MOTEB ALHARBI")</f>
        <v>MOTEB ALHARBI</v>
      </c>
      <c r="E631" s="5">
        <f>IFERROR(__xludf.DUMMYFUNCTION("""COMPUTED_VALUE"""),0.0)</f>
        <v>0</v>
      </c>
    </row>
    <row r="632">
      <c r="A632" s="5" t="str">
        <f>IFERROR(__xludf.DUMMYFUNCTION("""COMPUTED_VALUE"""),"KSA08")</f>
        <v>KSA08</v>
      </c>
      <c r="B632" s="5" t="str">
        <f>IFERROR(__xludf.DUMMYFUNCTION("""COMPUTED_VALUE"""),"KINGDOM OF SAUDI ARABIA")</f>
        <v>KINGDOM OF SAUDI ARABIA</v>
      </c>
      <c r="C632" s="5" t="str">
        <f>IFERROR(__xludf.DUMMYFUNCTION("""COMPUTED_VALUE"""),"NORMAL")</f>
        <v>NORMAL</v>
      </c>
      <c r="D632" s="5" t="str">
        <f>IFERROR(__xludf.DUMMYFUNCTION("""COMPUTED_VALUE"""),"HASSAN ALTAMBAKTI")</f>
        <v>HASSAN ALTAMBAKTI</v>
      </c>
      <c r="E632" s="5">
        <f>IFERROR(__xludf.DUMMYFUNCTION("""COMPUTED_VALUE"""),0.0)</f>
        <v>0</v>
      </c>
    </row>
    <row r="633">
      <c r="A633" s="5" t="str">
        <f>IFERROR(__xludf.DUMMYFUNCTION("""COMPUTED_VALUE"""),"KSA09")</f>
        <v>KSA09</v>
      </c>
      <c r="B633" s="5" t="str">
        <f>IFERROR(__xludf.DUMMYFUNCTION("""COMPUTED_VALUE"""),"KINGDOM OF SAUDI ARABIA")</f>
        <v>KINGDOM OF SAUDI ARABIA</v>
      </c>
      <c r="C633" s="5" t="str">
        <f>IFERROR(__xludf.DUMMYFUNCTION("""COMPUTED_VALUE"""),"NORMAL")</f>
        <v>NORMAL</v>
      </c>
      <c r="D633" s="5" t="str">
        <f>IFERROR(__xludf.DUMMYFUNCTION("""COMPUTED_VALUE"""),"MUSAB ALJUWAYR")</f>
        <v>MUSAB ALJUWAYR</v>
      </c>
      <c r="E633" s="5">
        <f>IFERROR(__xludf.DUMMYFUNCTION("""COMPUTED_VALUE"""),0.0)</f>
        <v>0</v>
      </c>
    </row>
    <row r="634">
      <c r="A634" s="5" t="str">
        <f>IFERROR(__xludf.DUMMYFUNCTION("""COMPUTED_VALUE"""),"KSA10")</f>
        <v>KSA10</v>
      </c>
      <c r="B634" s="5" t="str">
        <f>IFERROR(__xludf.DUMMYFUNCTION("""COMPUTED_VALUE"""),"KINGDOM OF SAUDI ARABIA")</f>
        <v>KINGDOM OF SAUDI ARABIA</v>
      </c>
      <c r="C634" s="5" t="str">
        <f>IFERROR(__xludf.DUMMYFUNCTION("""COMPUTED_VALUE"""),"NORMAL")</f>
        <v>NORMAL</v>
      </c>
      <c r="D634" s="5" t="str">
        <f>IFERROR(__xludf.DUMMYFUNCTION("""COMPUTED_VALUE"""),"ZIYAD ALJOHANI")</f>
        <v>ZIYAD ALJOHANI</v>
      </c>
      <c r="E634" s="5">
        <f>IFERROR(__xludf.DUMMYFUNCTION("""COMPUTED_VALUE"""),0.0)</f>
        <v>0</v>
      </c>
    </row>
    <row r="635">
      <c r="A635" s="5" t="str">
        <f>IFERROR(__xludf.DUMMYFUNCTION("""COMPUTED_VALUE"""),"KSA11")</f>
        <v>KSA11</v>
      </c>
      <c r="B635" s="5" t="str">
        <f>IFERROR(__xludf.DUMMYFUNCTION("""COMPUTED_VALUE"""),"KINGDOM OF SAUDI ARABIA")</f>
        <v>KINGDOM OF SAUDI ARABIA</v>
      </c>
      <c r="C635" s="5" t="str">
        <f>IFERROR(__xludf.DUMMYFUNCTION("""COMPUTED_VALUE"""),"NORMAL")</f>
        <v>NORMAL</v>
      </c>
      <c r="D635" s="5" t="str">
        <f>IFERROR(__xludf.DUMMYFUNCTION("""COMPUTED_VALUE"""),"ABDULLAH ALKHAIBARI")</f>
        <v>ABDULLAH ALKHAIBARI</v>
      </c>
      <c r="E635" s="5">
        <f>IFERROR(__xludf.DUMMYFUNCTION("""COMPUTED_VALUE"""),0.0)</f>
        <v>0</v>
      </c>
    </row>
    <row r="636">
      <c r="A636" s="5" t="str">
        <f>IFERROR(__xludf.DUMMYFUNCTION("""COMPUTED_VALUE"""),"KSA12")</f>
        <v>KSA12</v>
      </c>
      <c r="B636" s="5" t="str">
        <f>IFERROR(__xludf.DUMMYFUNCTION("""COMPUTED_VALUE"""),"KINGDOM OF SAUDI ARABIA")</f>
        <v>KINGDOM OF SAUDI ARABIA</v>
      </c>
      <c r="C636" s="5" t="str">
        <f>IFERROR(__xludf.DUMMYFUNCTION("""COMPUTED_VALUE"""),"NORMAL")</f>
        <v>NORMAL</v>
      </c>
      <c r="D636" s="5" t="str">
        <f>IFERROR(__xludf.DUMMYFUNCTION("""COMPUTED_VALUE"""),"NASSER ALDAWSARI")</f>
        <v>NASSER ALDAWSARI</v>
      </c>
      <c r="E636" s="5">
        <f>IFERROR(__xludf.DUMMYFUNCTION("""COMPUTED_VALUE"""),0.0)</f>
        <v>0</v>
      </c>
    </row>
    <row r="637">
      <c r="A637" s="5" t="str">
        <f>IFERROR(__xludf.DUMMYFUNCTION("""COMPUTED_VALUE"""),"KSA13")</f>
        <v>KSA13</v>
      </c>
      <c r="B637" s="5" t="str">
        <f>IFERROR(__xludf.DUMMYFUNCTION("""COMPUTED_VALUE"""),"KINGDOM OF SAUDI ARABIA")</f>
        <v>KINGDOM OF SAUDI ARABIA</v>
      </c>
      <c r="C637" s="5" t="str">
        <f>IFERROR(__xludf.DUMMYFUNCTION("""COMPUTED_VALUE"""),"TEAM")</f>
        <v>TEAM</v>
      </c>
      <c r="D637" s="5" t="str">
        <f>IFERROR(__xludf.DUMMYFUNCTION("""COMPUTED_VALUE"""),"KINGDOM OF SAUDI ARABIA NATIONAL TEAM")</f>
        <v>KINGDOM OF SAUDI ARABIA NATIONAL TEAM</v>
      </c>
      <c r="E637" s="5">
        <f>IFERROR(__xludf.DUMMYFUNCTION("""COMPUTED_VALUE"""),0.0)</f>
        <v>0</v>
      </c>
    </row>
    <row r="638">
      <c r="A638" s="5" t="str">
        <f>IFERROR(__xludf.DUMMYFUNCTION("""COMPUTED_VALUE"""),"KSA14")</f>
        <v>KSA14</v>
      </c>
      <c r="B638" s="5" t="str">
        <f>IFERROR(__xludf.DUMMYFUNCTION("""COMPUTED_VALUE"""),"KINGDOM OF SAUDI ARABIA")</f>
        <v>KINGDOM OF SAUDI ARABIA</v>
      </c>
      <c r="C638" s="5" t="str">
        <f>IFERROR(__xludf.DUMMYFUNCTION("""COMPUTED_VALUE"""),"NORMAL")</f>
        <v>NORMAL</v>
      </c>
      <c r="D638" s="5" t="str">
        <f>IFERROR(__xludf.DUMMYFUNCTION("""COMPUTED_VALUE"""),"SALEH ABU ALSHAMAT")</f>
        <v>SALEH ABU ALSHAMAT</v>
      </c>
      <c r="E638" s="5">
        <f>IFERROR(__xludf.DUMMYFUNCTION("""COMPUTED_VALUE"""),0.0)</f>
        <v>0</v>
      </c>
    </row>
    <row r="639">
      <c r="A639" s="5" t="str">
        <f>IFERROR(__xludf.DUMMYFUNCTION("""COMPUTED_VALUE"""),"KSA15")</f>
        <v>KSA15</v>
      </c>
      <c r="B639" s="5" t="str">
        <f>IFERROR(__xludf.DUMMYFUNCTION("""COMPUTED_VALUE"""),"KINGDOM OF SAUDI ARABIA")</f>
        <v>KINGDOM OF SAUDI ARABIA</v>
      </c>
      <c r="C639" s="5" t="str">
        <f>IFERROR(__xludf.DUMMYFUNCTION("""COMPUTED_VALUE"""),"NORMAL")</f>
        <v>NORMAL</v>
      </c>
      <c r="D639" s="5" t="str">
        <f>IFERROR(__xludf.DUMMYFUNCTION("""COMPUTED_VALUE"""),"MARWAN ALSAHAFI")</f>
        <v>MARWAN ALSAHAFI</v>
      </c>
      <c r="E639" s="5">
        <f>IFERROR(__xludf.DUMMYFUNCTION("""COMPUTED_VALUE"""),0.0)</f>
        <v>0</v>
      </c>
    </row>
    <row r="640">
      <c r="A640" s="5" t="str">
        <f>IFERROR(__xludf.DUMMYFUNCTION("""COMPUTED_VALUE"""),"KSA16")</f>
        <v>KSA16</v>
      </c>
      <c r="B640" s="5" t="str">
        <f>IFERROR(__xludf.DUMMYFUNCTION("""COMPUTED_VALUE"""),"KINGDOM OF SAUDI ARABIA")</f>
        <v>KINGDOM OF SAUDI ARABIA</v>
      </c>
      <c r="C640" s="5" t="str">
        <f>IFERROR(__xludf.DUMMYFUNCTION("""COMPUTED_VALUE"""),"NORMAL")</f>
        <v>NORMAL</v>
      </c>
      <c r="D640" s="5" t="str">
        <f>IFERROR(__xludf.DUMMYFUNCTION("""COMPUTED_VALUE"""),"SALEM ALDAWSARI")</f>
        <v>SALEM ALDAWSARI</v>
      </c>
      <c r="E640" s="5">
        <f>IFERROR(__xludf.DUMMYFUNCTION("""COMPUTED_VALUE"""),0.0)</f>
        <v>0</v>
      </c>
    </row>
    <row r="641">
      <c r="A641" s="5" t="str">
        <f>IFERROR(__xludf.DUMMYFUNCTION("""COMPUTED_VALUE"""),"KSA17")</f>
        <v>KSA17</v>
      </c>
      <c r="B641" s="5" t="str">
        <f>IFERROR(__xludf.DUMMYFUNCTION("""COMPUTED_VALUE"""),"KINGDOM OF SAUDI ARABIA")</f>
        <v>KINGDOM OF SAUDI ARABIA</v>
      </c>
      <c r="C641" s="5" t="str">
        <f>IFERROR(__xludf.DUMMYFUNCTION("""COMPUTED_VALUE"""),"NORMAL")</f>
        <v>NORMAL</v>
      </c>
      <c r="D641" s="5" t="str">
        <f>IFERROR(__xludf.DUMMYFUNCTION("""COMPUTED_VALUE"""),"ABDULRAHMAN ALOBUD")</f>
        <v>ABDULRAHMAN ALOBUD</v>
      </c>
      <c r="E641" s="5">
        <f>IFERROR(__xludf.DUMMYFUNCTION("""COMPUTED_VALUE"""),0.0)</f>
        <v>0</v>
      </c>
    </row>
    <row r="642">
      <c r="A642" s="5" t="str">
        <f>IFERROR(__xludf.DUMMYFUNCTION("""COMPUTED_VALUE"""),"KSA18")</f>
        <v>KSA18</v>
      </c>
      <c r="B642" s="5" t="str">
        <f>IFERROR(__xludf.DUMMYFUNCTION("""COMPUTED_VALUE"""),"KINGDOM OF SAUDI ARABIA")</f>
        <v>KINGDOM OF SAUDI ARABIA</v>
      </c>
      <c r="C642" s="5" t="str">
        <f>IFERROR(__xludf.DUMMYFUNCTION("""COMPUTED_VALUE"""),"NORMAL")</f>
        <v>NORMAL</v>
      </c>
      <c r="D642" s="5" t="str">
        <f>IFERROR(__xludf.DUMMYFUNCTION("""COMPUTED_VALUE"""),"FERAS ALBRIKAN")</f>
        <v>FERAS ALBRIKAN</v>
      </c>
      <c r="E642" s="5">
        <f>IFERROR(__xludf.DUMMYFUNCTION("""COMPUTED_VALUE"""),0.0)</f>
        <v>0</v>
      </c>
    </row>
    <row r="643">
      <c r="A643" s="5" t="str">
        <f>IFERROR(__xludf.DUMMYFUNCTION("""COMPUTED_VALUE"""),"KSA19")</f>
        <v>KSA19</v>
      </c>
      <c r="B643" s="5" t="str">
        <f>IFERROR(__xludf.DUMMYFUNCTION("""COMPUTED_VALUE"""),"KINGDOM OF SAUDI ARABIA")</f>
        <v>KINGDOM OF SAUDI ARABIA</v>
      </c>
      <c r="C643" s="5" t="str">
        <f>IFERROR(__xludf.DUMMYFUNCTION("""COMPUTED_VALUE"""),"NORMAL")</f>
        <v>NORMAL</v>
      </c>
      <c r="D643" s="5" t="str">
        <f>IFERROR(__xludf.DUMMYFUNCTION("""COMPUTED_VALUE"""),"SALEH ALSHEHRI")</f>
        <v>SALEH ALSHEHRI</v>
      </c>
      <c r="E643" s="5">
        <f>IFERROR(__xludf.DUMMYFUNCTION("""COMPUTED_VALUE"""),0.0)</f>
        <v>0</v>
      </c>
    </row>
    <row r="644">
      <c r="A644" s="5" t="str">
        <f>IFERROR(__xludf.DUMMYFUNCTION("""COMPUTED_VALUE"""),"KSA20")</f>
        <v>KSA20</v>
      </c>
      <c r="B644" s="5" t="str">
        <f>IFERROR(__xludf.DUMMYFUNCTION("""COMPUTED_VALUE"""),"KINGDOM OF SAUDI ARABIA")</f>
        <v>KINGDOM OF SAUDI ARABIA</v>
      </c>
      <c r="C644" s="5" t="str">
        <f>IFERROR(__xludf.DUMMYFUNCTION("""COMPUTED_VALUE"""),"NORMAL")</f>
        <v>NORMAL</v>
      </c>
      <c r="D644" s="5" t="str">
        <f>IFERROR(__xludf.DUMMYFUNCTION("""COMPUTED_VALUE"""),"ABDULLAH ALHAMDAN")</f>
        <v>ABDULLAH ALHAMDAN</v>
      </c>
      <c r="E644" s="5">
        <f>IFERROR(__xludf.DUMMYFUNCTION("""COMPUTED_VALUE"""),0.0)</f>
        <v>0</v>
      </c>
    </row>
    <row r="645">
      <c r="A645" s="5" t="str">
        <f>IFERROR(__xludf.DUMMYFUNCTION("""COMPUTED_VALUE"""),"URU01")</f>
        <v>URU01</v>
      </c>
      <c r="B645" s="5" t="str">
        <f>IFERROR(__xludf.DUMMYFUNCTION("""COMPUTED_VALUE"""),"URUGUAY")</f>
        <v>URUGUAY</v>
      </c>
      <c r="C645" s="5" t="str">
        <f>IFERROR(__xludf.DUMMYFUNCTION("""COMPUTED_VALUE"""),"BADGE")</f>
        <v>BADGE</v>
      </c>
      <c r="D645" s="5" t="str">
        <f>IFERROR(__xludf.DUMMYFUNCTION("""COMPUTED_VALUE"""),"URUGUAY NATIONAL TEAM")</f>
        <v>URUGUAY NATIONAL TEAM</v>
      </c>
      <c r="E645" s="5">
        <f>IFERROR(__xludf.DUMMYFUNCTION("""COMPUTED_VALUE"""),0.0)</f>
        <v>0</v>
      </c>
    </row>
    <row r="646">
      <c r="A646" s="5" t="str">
        <f>IFERROR(__xludf.DUMMYFUNCTION("""COMPUTED_VALUE"""),"URU02")</f>
        <v>URU02</v>
      </c>
      <c r="B646" s="5" t="str">
        <f>IFERROR(__xludf.DUMMYFUNCTION("""COMPUTED_VALUE"""),"URUGUAY")</f>
        <v>URUGUAY</v>
      </c>
      <c r="C646" s="5" t="str">
        <f>IFERROR(__xludf.DUMMYFUNCTION("""COMPUTED_VALUE"""),"NORMAL")</f>
        <v>NORMAL</v>
      </c>
      <c r="D646" s="5" t="str">
        <f>IFERROR(__xludf.DUMMYFUNCTION("""COMPUTED_VALUE"""),"SERGIO ROCHET")</f>
        <v>SERGIO ROCHET</v>
      </c>
      <c r="E646" s="5">
        <f>IFERROR(__xludf.DUMMYFUNCTION("""COMPUTED_VALUE"""),0.0)</f>
        <v>0</v>
      </c>
    </row>
    <row r="647">
      <c r="A647" s="5" t="str">
        <f>IFERROR(__xludf.DUMMYFUNCTION("""COMPUTED_VALUE"""),"URU03")</f>
        <v>URU03</v>
      </c>
      <c r="B647" s="5" t="str">
        <f>IFERROR(__xludf.DUMMYFUNCTION("""COMPUTED_VALUE"""),"URUGUAY")</f>
        <v>URUGUAY</v>
      </c>
      <c r="C647" s="5" t="str">
        <f>IFERROR(__xludf.DUMMYFUNCTION("""COMPUTED_VALUE"""),"NORMAL")</f>
        <v>NORMAL</v>
      </c>
      <c r="D647" s="5" t="str">
        <f>IFERROR(__xludf.DUMMYFUNCTION("""COMPUTED_VALUE"""),"SANTIAGO MELE")</f>
        <v>SANTIAGO MELE</v>
      </c>
      <c r="E647" s="5">
        <f>IFERROR(__xludf.DUMMYFUNCTION("""COMPUTED_VALUE"""),0.0)</f>
        <v>0</v>
      </c>
    </row>
    <row r="648">
      <c r="A648" s="5" t="str">
        <f>IFERROR(__xludf.DUMMYFUNCTION("""COMPUTED_VALUE"""),"URU04")</f>
        <v>URU04</v>
      </c>
      <c r="B648" s="5" t="str">
        <f>IFERROR(__xludf.DUMMYFUNCTION("""COMPUTED_VALUE"""),"URUGUAY")</f>
        <v>URUGUAY</v>
      </c>
      <c r="C648" s="5" t="str">
        <f>IFERROR(__xludf.DUMMYFUNCTION("""COMPUTED_VALUE"""),"NORMAL")</f>
        <v>NORMAL</v>
      </c>
      <c r="D648" s="5" t="str">
        <f>IFERROR(__xludf.DUMMYFUNCTION("""COMPUTED_VALUE"""),"RONALD ARAUJO")</f>
        <v>RONALD ARAUJO</v>
      </c>
      <c r="E648" s="5">
        <f>IFERROR(__xludf.DUMMYFUNCTION("""COMPUTED_VALUE"""),0.0)</f>
        <v>0</v>
      </c>
    </row>
    <row r="649">
      <c r="A649" s="5" t="str">
        <f>IFERROR(__xludf.DUMMYFUNCTION("""COMPUTED_VALUE"""),"URU05")</f>
        <v>URU05</v>
      </c>
      <c r="B649" s="5" t="str">
        <f>IFERROR(__xludf.DUMMYFUNCTION("""COMPUTED_VALUE"""),"URUGUAY")</f>
        <v>URUGUAY</v>
      </c>
      <c r="C649" s="5" t="str">
        <f>IFERROR(__xludf.DUMMYFUNCTION("""COMPUTED_VALUE"""),"NORMAL")</f>
        <v>NORMAL</v>
      </c>
      <c r="D649" s="5" t="str">
        <f>IFERROR(__xludf.DUMMYFUNCTION("""COMPUTED_VALUE"""),"JOSE MARIA GIMENEZ")</f>
        <v>JOSE MARIA GIMENEZ</v>
      </c>
      <c r="E649" s="5">
        <f>IFERROR(__xludf.DUMMYFUNCTION("""COMPUTED_VALUE"""),0.0)</f>
        <v>0</v>
      </c>
    </row>
    <row r="650">
      <c r="A650" s="5" t="str">
        <f>IFERROR(__xludf.DUMMYFUNCTION("""COMPUTED_VALUE"""),"URU06")</f>
        <v>URU06</v>
      </c>
      <c r="B650" s="5" t="str">
        <f>IFERROR(__xludf.DUMMYFUNCTION("""COMPUTED_VALUE"""),"URUGUAY")</f>
        <v>URUGUAY</v>
      </c>
      <c r="C650" s="5" t="str">
        <f>IFERROR(__xludf.DUMMYFUNCTION("""COMPUTED_VALUE"""),"NORMAL")</f>
        <v>NORMAL</v>
      </c>
      <c r="D650" s="5" t="str">
        <f>IFERROR(__xludf.DUMMYFUNCTION("""COMPUTED_VALUE"""),"SEBASTIAN CACERES")</f>
        <v>SEBASTIAN CACERES</v>
      </c>
      <c r="E650" s="5">
        <f>IFERROR(__xludf.DUMMYFUNCTION("""COMPUTED_VALUE"""),0.0)</f>
        <v>0</v>
      </c>
    </row>
    <row r="651">
      <c r="A651" s="5" t="str">
        <f>IFERROR(__xludf.DUMMYFUNCTION("""COMPUTED_VALUE"""),"URU07")</f>
        <v>URU07</v>
      </c>
      <c r="B651" s="5" t="str">
        <f>IFERROR(__xludf.DUMMYFUNCTION("""COMPUTED_VALUE"""),"URUGUAY")</f>
        <v>URUGUAY</v>
      </c>
      <c r="C651" s="5" t="str">
        <f>IFERROR(__xludf.DUMMYFUNCTION("""COMPUTED_VALUE"""),"NORMAL")</f>
        <v>NORMAL</v>
      </c>
      <c r="D651" s="5" t="str">
        <f>IFERROR(__xludf.DUMMYFUNCTION("""COMPUTED_VALUE"""),"MATHIAS OLIVERA")</f>
        <v>MATHIAS OLIVERA</v>
      </c>
      <c r="E651" s="5">
        <f>IFERROR(__xludf.DUMMYFUNCTION("""COMPUTED_VALUE"""),0.0)</f>
        <v>0</v>
      </c>
    </row>
    <row r="652">
      <c r="A652" s="5" t="str">
        <f>IFERROR(__xludf.DUMMYFUNCTION("""COMPUTED_VALUE"""),"URU08")</f>
        <v>URU08</v>
      </c>
      <c r="B652" s="5" t="str">
        <f>IFERROR(__xludf.DUMMYFUNCTION("""COMPUTED_VALUE"""),"URUGUAY")</f>
        <v>URUGUAY</v>
      </c>
      <c r="C652" s="5" t="str">
        <f>IFERROR(__xludf.DUMMYFUNCTION("""COMPUTED_VALUE"""),"NORMAL")</f>
        <v>NORMAL</v>
      </c>
      <c r="D652" s="5" t="str">
        <f>IFERROR(__xludf.DUMMYFUNCTION("""COMPUTED_VALUE"""),"GUILLERMO VARELA")</f>
        <v>GUILLERMO VARELA</v>
      </c>
      <c r="E652" s="5">
        <f>IFERROR(__xludf.DUMMYFUNCTION("""COMPUTED_VALUE"""),0.0)</f>
        <v>0</v>
      </c>
    </row>
    <row r="653">
      <c r="A653" s="5" t="str">
        <f>IFERROR(__xludf.DUMMYFUNCTION("""COMPUTED_VALUE"""),"URU09")</f>
        <v>URU09</v>
      </c>
      <c r="B653" s="5" t="str">
        <f>IFERROR(__xludf.DUMMYFUNCTION("""COMPUTED_VALUE"""),"URUGUAY")</f>
        <v>URUGUAY</v>
      </c>
      <c r="C653" s="5" t="str">
        <f>IFERROR(__xludf.DUMMYFUNCTION("""COMPUTED_VALUE"""),"NORMAL")</f>
        <v>NORMAL</v>
      </c>
      <c r="D653" s="5" t="str">
        <f>IFERROR(__xludf.DUMMYFUNCTION("""COMPUTED_VALUE"""),"NAHITAN NANDEZ")</f>
        <v>NAHITAN NANDEZ</v>
      </c>
      <c r="E653" s="5">
        <f>IFERROR(__xludf.DUMMYFUNCTION("""COMPUTED_VALUE"""),0.0)</f>
        <v>0</v>
      </c>
    </row>
    <row r="654">
      <c r="A654" s="5" t="str">
        <f>IFERROR(__xludf.DUMMYFUNCTION("""COMPUTED_VALUE"""),"URU10")</f>
        <v>URU10</v>
      </c>
      <c r="B654" s="5" t="str">
        <f>IFERROR(__xludf.DUMMYFUNCTION("""COMPUTED_VALUE"""),"URUGUAY")</f>
        <v>URUGUAY</v>
      </c>
      <c r="C654" s="5" t="str">
        <f>IFERROR(__xludf.DUMMYFUNCTION("""COMPUTED_VALUE"""),"NORMAL")</f>
        <v>NORMAL</v>
      </c>
      <c r="D654" s="5" t="str">
        <f>IFERROR(__xludf.DUMMYFUNCTION("""COMPUTED_VALUE"""),"FEDERICO VALVERDE")</f>
        <v>FEDERICO VALVERDE</v>
      </c>
      <c r="E654" s="5">
        <f>IFERROR(__xludf.DUMMYFUNCTION("""COMPUTED_VALUE"""),0.0)</f>
        <v>0</v>
      </c>
    </row>
    <row r="655">
      <c r="A655" s="5" t="str">
        <f>IFERROR(__xludf.DUMMYFUNCTION("""COMPUTED_VALUE"""),"URU11")</f>
        <v>URU11</v>
      </c>
      <c r="B655" s="5" t="str">
        <f>IFERROR(__xludf.DUMMYFUNCTION("""COMPUTED_VALUE"""),"URUGUAY")</f>
        <v>URUGUAY</v>
      </c>
      <c r="C655" s="5" t="str">
        <f>IFERROR(__xludf.DUMMYFUNCTION("""COMPUTED_VALUE"""),"NORMAL")</f>
        <v>NORMAL</v>
      </c>
      <c r="D655" s="5" t="str">
        <f>IFERROR(__xludf.DUMMYFUNCTION("""COMPUTED_VALUE"""),"GIORGIAN DE ARRASCAETA")</f>
        <v>GIORGIAN DE ARRASCAETA</v>
      </c>
      <c r="E655" s="5">
        <f>IFERROR(__xludf.DUMMYFUNCTION("""COMPUTED_VALUE"""),0.0)</f>
        <v>0</v>
      </c>
    </row>
    <row r="656">
      <c r="A656" s="5" t="str">
        <f>IFERROR(__xludf.DUMMYFUNCTION("""COMPUTED_VALUE"""),"URU12")</f>
        <v>URU12</v>
      </c>
      <c r="B656" s="5" t="str">
        <f>IFERROR(__xludf.DUMMYFUNCTION("""COMPUTED_VALUE"""),"URUGUAY")</f>
        <v>URUGUAY</v>
      </c>
      <c r="C656" s="5" t="str">
        <f>IFERROR(__xludf.DUMMYFUNCTION("""COMPUTED_VALUE"""),"NORMAL")</f>
        <v>NORMAL</v>
      </c>
      <c r="D656" s="5" t="str">
        <f>IFERROR(__xludf.DUMMYFUNCTION("""COMPUTED_VALUE"""),"RODRIGO BETANCOUR")</f>
        <v>RODRIGO BETANCOUR</v>
      </c>
      <c r="E656" s="5">
        <f>IFERROR(__xludf.DUMMYFUNCTION("""COMPUTED_VALUE"""),0.0)</f>
        <v>0</v>
      </c>
    </row>
    <row r="657">
      <c r="A657" s="5" t="str">
        <f>IFERROR(__xludf.DUMMYFUNCTION("""COMPUTED_VALUE"""),"URU13")</f>
        <v>URU13</v>
      </c>
      <c r="B657" s="5" t="str">
        <f>IFERROR(__xludf.DUMMYFUNCTION("""COMPUTED_VALUE"""),"URUGUAY")</f>
        <v>URUGUAY</v>
      </c>
      <c r="C657" s="5" t="str">
        <f>IFERROR(__xludf.DUMMYFUNCTION("""COMPUTED_VALUE"""),"TEAM")</f>
        <v>TEAM</v>
      </c>
      <c r="D657" s="5" t="str">
        <f>IFERROR(__xludf.DUMMYFUNCTION("""COMPUTED_VALUE"""),"URUGUAY NATIONAL TEAM")</f>
        <v>URUGUAY NATIONAL TEAM</v>
      </c>
      <c r="E657" s="5">
        <f>IFERROR(__xludf.DUMMYFUNCTION("""COMPUTED_VALUE"""),0.0)</f>
        <v>0</v>
      </c>
    </row>
    <row r="658">
      <c r="A658" s="5" t="str">
        <f>IFERROR(__xludf.DUMMYFUNCTION("""COMPUTED_VALUE"""),"URU14")</f>
        <v>URU14</v>
      </c>
      <c r="B658" s="5" t="str">
        <f>IFERROR(__xludf.DUMMYFUNCTION("""COMPUTED_VALUE"""),"URUGUAY")</f>
        <v>URUGUAY</v>
      </c>
      <c r="C658" s="5" t="str">
        <f>IFERROR(__xludf.DUMMYFUNCTION("""COMPUTED_VALUE"""),"NORMAL")</f>
        <v>NORMAL</v>
      </c>
      <c r="D658" s="5" t="str">
        <f>IFERROR(__xludf.DUMMYFUNCTION("""COMPUTED_VALUE"""),"MANUEL UGARTE")</f>
        <v>MANUEL UGARTE</v>
      </c>
      <c r="E658" s="5">
        <f>IFERROR(__xludf.DUMMYFUNCTION("""COMPUTED_VALUE"""),0.0)</f>
        <v>0</v>
      </c>
    </row>
    <row r="659">
      <c r="A659" s="5" t="str">
        <f>IFERROR(__xludf.DUMMYFUNCTION("""COMPUTED_VALUE"""),"URU15")</f>
        <v>URU15</v>
      </c>
      <c r="B659" s="5" t="str">
        <f>IFERROR(__xludf.DUMMYFUNCTION("""COMPUTED_VALUE"""),"URUGUAY")</f>
        <v>URUGUAY</v>
      </c>
      <c r="C659" s="5" t="str">
        <f>IFERROR(__xludf.DUMMYFUNCTION("""COMPUTED_VALUE"""),"NORMAL")</f>
        <v>NORMAL</v>
      </c>
      <c r="D659" s="5" t="str">
        <f>IFERROR(__xludf.DUMMYFUNCTION("""COMPUTED_VALUE"""),"NICOLAS DE LA CRUZ")</f>
        <v>NICOLAS DE LA CRUZ</v>
      </c>
      <c r="E659" s="5">
        <f>IFERROR(__xludf.DUMMYFUNCTION("""COMPUTED_VALUE"""),0.0)</f>
        <v>0</v>
      </c>
    </row>
    <row r="660">
      <c r="A660" s="5" t="str">
        <f>IFERROR(__xludf.DUMMYFUNCTION("""COMPUTED_VALUE"""),"URU16")</f>
        <v>URU16</v>
      </c>
      <c r="B660" s="5" t="str">
        <f>IFERROR(__xludf.DUMMYFUNCTION("""COMPUTED_VALUE"""),"URUGUAY")</f>
        <v>URUGUAY</v>
      </c>
      <c r="C660" s="5" t="str">
        <f>IFERROR(__xludf.DUMMYFUNCTION("""COMPUTED_VALUE"""),"NORMAL")</f>
        <v>NORMAL</v>
      </c>
      <c r="D660" s="5" t="str">
        <f>IFERROR(__xludf.DUMMYFUNCTION("""COMPUTED_VALUE"""),"MAXI ARAUJO")</f>
        <v>MAXI ARAUJO</v>
      </c>
      <c r="E660" s="5">
        <f>IFERROR(__xludf.DUMMYFUNCTION("""COMPUTED_VALUE"""),0.0)</f>
        <v>0</v>
      </c>
    </row>
    <row r="661">
      <c r="A661" s="5" t="str">
        <f>IFERROR(__xludf.DUMMYFUNCTION("""COMPUTED_VALUE"""),"URU17")</f>
        <v>URU17</v>
      </c>
      <c r="B661" s="5" t="str">
        <f>IFERROR(__xludf.DUMMYFUNCTION("""COMPUTED_VALUE"""),"URUGUAY")</f>
        <v>URUGUAY</v>
      </c>
      <c r="C661" s="5" t="str">
        <f>IFERROR(__xludf.DUMMYFUNCTION("""COMPUTED_VALUE"""),"NORMAL")</f>
        <v>NORMAL</v>
      </c>
      <c r="D661" s="5" t="str">
        <f>IFERROR(__xludf.DUMMYFUNCTION("""COMPUTED_VALUE"""),"DARWIN NUÑEZ")</f>
        <v>DARWIN NUÑEZ</v>
      </c>
      <c r="E661" s="5">
        <f>IFERROR(__xludf.DUMMYFUNCTION("""COMPUTED_VALUE"""),0.0)</f>
        <v>0</v>
      </c>
    </row>
    <row r="662">
      <c r="A662" s="5" t="str">
        <f>IFERROR(__xludf.DUMMYFUNCTION("""COMPUTED_VALUE"""),"URU18")</f>
        <v>URU18</v>
      </c>
      <c r="B662" s="5" t="str">
        <f>IFERROR(__xludf.DUMMYFUNCTION("""COMPUTED_VALUE"""),"URUGUAY")</f>
        <v>URUGUAY</v>
      </c>
      <c r="C662" s="5" t="str">
        <f>IFERROR(__xludf.DUMMYFUNCTION("""COMPUTED_VALUE"""),"NORMAL")</f>
        <v>NORMAL</v>
      </c>
      <c r="D662" s="5" t="str">
        <f>IFERROR(__xludf.DUMMYFUNCTION("""COMPUTED_VALUE"""),"FEDERICO VIÑAS")</f>
        <v>FEDERICO VIÑAS</v>
      </c>
      <c r="E662" s="5">
        <f>IFERROR(__xludf.DUMMYFUNCTION("""COMPUTED_VALUE"""),0.0)</f>
        <v>0</v>
      </c>
    </row>
    <row r="663">
      <c r="A663" s="5" t="str">
        <f>IFERROR(__xludf.DUMMYFUNCTION("""COMPUTED_VALUE"""),"URU19")</f>
        <v>URU19</v>
      </c>
      <c r="B663" s="5" t="str">
        <f>IFERROR(__xludf.DUMMYFUNCTION("""COMPUTED_VALUE"""),"URUGUAY")</f>
        <v>URUGUAY</v>
      </c>
      <c r="C663" s="5" t="str">
        <f>IFERROR(__xludf.DUMMYFUNCTION("""COMPUTED_VALUE"""),"NORMAL")</f>
        <v>NORMAL</v>
      </c>
      <c r="D663" s="5" t="str">
        <f>IFERROR(__xludf.DUMMYFUNCTION("""COMPUTED_VALUE"""),"RODRIGO AGUIRRE")</f>
        <v>RODRIGO AGUIRRE</v>
      </c>
      <c r="E663" s="5">
        <f>IFERROR(__xludf.DUMMYFUNCTION("""COMPUTED_VALUE"""),0.0)</f>
        <v>0</v>
      </c>
    </row>
    <row r="664">
      <c r="A664" s="5" t="str">
        <f>IFERROR(__xludf.DUMMYFUNCTION("""COMPUTED_VALUE"""),"URU20")</f>
        <v>URU20</v>
      </c>
      <c r="B664" s="5" t="str">
        <f>IFERROR(__xludf.DUMMYFUNCTION("""COMPUTED_VALUE"""),"URUGUAY")</f>
        <v>URUGUAY</v>
      </c>
      <c r="C664" s="5" t="str">
        <f>IFERROR(__xludf.DUMMYFUNCTION("""COMPUTED_VALUE"""),"NORMAL")</f>
        <v>NORMAL</v>
      </c>
      <c r="D664" s="5" t="str">
        <f>IFERROR(__xludf.DUMMYFUNCTION("""COMPUTED_VALUE"""),"FACUNDO PELLISTRI")</f>
        <v>FACUNDO PELLISTRI</v>
      </c>
      <c r="E664" s="5">
        <f>IFERROR(__xludf.DUMMYFUNCTION("""COMPUTED_VALUE"""),0.0)</f>
        <v>0</v>
      </c>
    </row>
    <row r="665">
      <c r="A665" s="5" t="str">
        <f>IFERROR(__xludf.DUMMYFUNCTION("""COMPUTED_VALUE"""),"FRA01")</f>
        <v>FRA01</v>
      </c>
      <c r="B665" s="5" t="str">
        <f>IFERROR(__xludf.DUMMYFUNCTION("""COMPUTED_VALUE"""),"FRANCE")</f>
        <v>FRANCE</v>
      </c>
      <c r="C665" s="5" t="str">
        <f>IFERROR(__xludf.DUMMYFUNCTION("""COMPUTED_VALUE"""),"BADGE")</f>
        <v>BADGE</v>
      </c>
      <c r="D665" s="5" t="str">
        <f>IFERROR(__xludf.DUMMYFUNCTION("""COMPUTED_VALUE"""),"FRANCE NATIONAL TEAM")</f>
        <v>FRANCE NATIONAL TEAM</v>
      </c>
      <c r="E665" s="5">
        <f>IFERROR(__xludf.DUMMYFUNCTION("""COMPUTED_VALUE"""),0.0)</f>
        <v>0</v>
      </c>
    </row>
    <row r="666">
      <c r="A666" s="5" t="str">
        <f>IFERROR(__xludf.DUMMYFUNCTION("""COMPUTED_VALUE"""),"FRA02")</f>
        <v>FRA02</v>
      </c>
      <c r="B666" s="5" t="str">
        <f>IFERROR(__xludf.DUMMYFUNCTION("""COMPUTED_VALUE"""),"FRANCE")</f>
        <v>FRANCE</v>
      </c>
      <c r="C666" s="5" t="str">
        <f>IFERROR(__xludf.DUMMYFUNCTION("""COMPUTED_VALUE"""),"NORMAL")</f>
        <v>NORMAL</v>
      </c>
      <c r="D666" s="5" t="str">
        <f>IFERROR(__xludf.DUMMYFUNCTION("""COMPUTED_VALUE"""),"MIKE MAIGNAN")</f>
        <v>MIKE MAIGNAN</v>
      </c>
      <c r="E666" s="5">
        <f>IFERROR(__xludf.DUMMYFUNCTION("""COMPUTED_VALUE"""),0.0)</f>
        <v>0</v>
      </c>
    </row>
    <row r="667">
      <c r="A667" s="5" t="str">
        <f>IFERROR(__xludf.DUMMYFUNCTION("""COMPUTED_VALUE"""),"FRA03")</f>
        <v>FRA03</v>
      </c>
      <c r="B667" s="5" t="str">
        <f>IFERROR(__xludf.DUMMYFUNCTION("""COMPUTED_VALUE"""),"FRANCE")</f>
        <v>FRANCE</v>
      </c>
      <c r="C667" s="5" t="str">
        <f>IFERROR(__xludf.DUMMYFUNCTION("""COMPUTED_VALUE"""),"NORMAL")</f>
        <v>NORMAL</v>
      </c>
      <c r="D667" s="5" t="str">
        <f>IFERROR(__xludf.DUMMYFUNCTION("""COMPUTED_VALUE"""),"THEO HERNANDEZ")</f>
        <v>THEO HERNANDEZ</v>
      </c>
      <c r="E667" s="5">
        <f>IFERROR(__xludf.DUMMYFUNCTION("""COMPUTED_VALUE"""),0.0)</f>
        <v>0</v>
      </c>
    </row>
    <row r="668">
      <c r="A668" s="5" t="str">
        <f>IFERROR(__xludf.DUMMYFUNCTION("""COMPUTED_VALUE"""),"FRA04")</f>
        <v>FRA04</v>
      </c>
      <c r="B668" s="5" t="str">
        <f>IFERROR(__xludf.DUMMYFUNCTION("""COMPUTED_VALUE"""),"FRANCE")</f>
        <v>FRANCE</v>
      </c>
      <c r="C668" s="5" t="str">
        <f>IFERROR(__xludf.DUMMYFUNCTION("""COMPUTED_VALUE"""),"NORMAL")</f>
        <v>NORMAL</v>
      </c>
      <c r="D668" s="5" t="str">
        <f>IFERROR(__xludf.DUMMYFUNCTION("""COMPUTED_VALUE"""),"WILLIAM SALIBA")</f>
        <v>WILLIAM SALIBA</v>
      </c>
      <c r="E668" s="5">
        <f>IFERROR(__xludf.DUMMYFUNCTION("""COMPUTED_VALUE"""),0.0)</f>
        <v>0</v>
      </c>
    </row>
    <row r="669">
      <c r="A669" s="5" t="str">
        <f>IFERROR(__xludf.DUMMYFUNCTION("""COMPUTED_VALUE"""),"FRA05")</f>
        <v>FRA05</v>
      </c>
      <c r="B669" s="5" t="str">
        <f>IFERROR(__xludf.DUMMYFUNCTION("""COMPUTED_VALUE"""),"FRANCE")</f>
        <v>FRANCE</v>
      </c>
      <c r="C669" s="5" t="str">
        <f>IFERROR(__xludf.DUMMYFUNCTION("""COMPUTED_VALUE"""),"NORMAL")</f>
        <v>NORMAL</v>
      </c>
      <c r="D669" s="5" t="str">
        <f>IFERROR(__xludf.DUMMYFUNCTION("""COMPUTED_VALUE"""),"JULES KOUNDE")</f>
        <v>JULES KOUNDE</v>
      </c>
      <c r="E669" s="5">
        <f>IFERROR(__xludf.DUMMYFUNCTION("""COMPUTED_VALUE"""),0.0)</f>
        <v>0</v>
      </c>
    </row>
    <row r="670">
      <c r="A670" s="5" t="str">
        <f>IFERROR(__xludf.DUMMYFUNCTION("""COMPUTED_VALUE"""),"FRA06")</f>
        <v>FRA06</v>
      </c>
      <c r="B670" s="5" t="str">
        <f>IFERROR(__xludf.DUMMYFUNCTION("""COMPUTED_VALUE"""),"FRANCE")</f>
        <v>FRANCE</v>
      </c>
      <c r="C670" s="5" t="str">
        <f>IFERROR(__xludf.DUMMYFUNCTION("""COMPUTED_VALUE"""),"NORMAL")</f>
        <v>NORMAL</v>
      </c>
      <c r="D670" s="5" t="str">
        <f>IFERROR(__xludf.DUMMYFUNCTION("""COMPUTED_VALUE"""),"IBRAHIMA KONATE")</f>
        <v>IBRAHIMA KONATE</v>
      </c>
      <c r="E670" s="5">
        <f>IFERROR(__xludf.DUMMYFUNCTION("""COMPUTED_VALUE"""),0.0)</f>
        <v>0</v>
      </c>
    </row>
    <row r="671">
      <c r="A671" s="5" t="str">
        <f>IFERROR(__xludf.DUMMYFUNCTION("""COMPUTED_VALUE"""),"FRA07")</f>
        <v>FRA07</v>
      </c>
      <c r="B671" s="5" t="str">
        <f>IFERROR(__xludf.DUMMYFUNCTION("""COMPUTED_VALUE"""),"FRANCE")</f>
        <v>FRANCE</v>
      </c>
      <c r="C671" s="5" t="str">
        <f>IFERROR(__xludf.DUMMYFUNCTION("""COMPUTED_VALUE"""),"NORMAL")</f>
        <v>NORMAL</v>
      </c>
      <c r="D671" s="5" t="str">
        <f>IFERROR(__xludf.DUMMYFUNCTION("""COMPUTED_VALUE"""),"DAYOT UPAMECANO")</f>
        <v>DAYOT UPAMECANO</v>
      </c>
      <c r="E671" s="5">
        <f>IFERROR(__xludf.DUMMYFUNCTION("""COMPUTED_VALUE"""),0.0)</f>
        <v>0</v>
      </c>
    </row>
    <row r="672">
      <c r="A672" s="5" t="str">
        <f>IFERROR(__xludf.DUMMYFUNCTION("""COMPUTED_VALUE"""),"FRA08")</f>
        <v>FRA08</v>
      </c>
      <c r="B672" s="5" t="str">
        <f>IFERROR(__xludf.DUMMYFUNCTION("""COMPUTED_VALUE"""),"FRANCE")</f>
        <v>FRANCE</v>
      </c>
      <c r="C672" s="5" t="str">
        <f>IFERROR(__xludf.DUMMYFUNCTION("""COMPUTED_VALUE"""),"NORMAL")</f>
        <v>NORMAL</v>
      </c>
      <c r="D672" s="5" t="str">
        <f>IFERROR(__xludf.DUMMYFUNCTION("""COMPUTED_VALUE"""),"LUCAS DIGNE")</f>
        <v>LUCAS DIGNE</v>
      </c>
      <c r="E672" s="5">
        <f>IFERROR(__xludf.DUMMYFUNCTION("""COMPUTED_VALUE"""),0.0)</f>
        <v>0</v>
      </c>
    </row>
    <row r="673">
      <c r="A673" s="5" t="str">
        <f>IFERROR(__xludf.DUMMYFUNCTION("""COMPUTED_VALUE"""),"FRA09")</f>
        <v>FRA09</v>
      </c>
      <c r="B673" s="5" t="str">
        <f>IFERROR(__xludf.DUMMYFUNCTION("""COMPUTED_VALUE"""),"FRANCE")</f>
        <v>FRANCE</v>
      </c>
      <c r="C673" s="5" t="str">
        <f>IFERROR(__xludf.DUMMYFUNCTION("""COMPUTED_VALUE"""),"NORMAL")</f>
        <v>NORMAL</v>
      </c>
      <c r="D673" s="5" t="str">
        <f>IFERROR(__xludf.DUMMYFUNCTION("""COMPUTED_VALUE"""),"AURELIEN TCHOUAMENI")</f>
        <v>AURELIEN TCHOUAMENI</v>
      </c>
      <c r="E673" s="5">
        <f>IFERROR(__xludf.DUMMYFUNCTION("""COMPUTED_VALUE"""),0.0)</f>
        <v>0</v>
      </c>
    </row>
    <row r="674">
      <c r="A674" s="5" t="str">
        <f>IFERROR(__xludf.DUMMYFUNCTION("""COMPUTED_VALUE"""),"FRA10")</f>
        <v>FRA10</v>
      </c>
      <c r="B674" s="5" t="str">
        <f>IFERROR(__xludf.DUMMYFUNCTION("""COMPUTED_VALUE"""),"FRANCE")</f>
        <v>FRANCE</v>
      </c>
      <c r="C674" s="5" t="str">
        <f>IFERROR(__xludf.DUMMYFUNCTION("""COMPUTED_VALUE"""),"NORMAL")</f>
        <v>NORMAL</v>
      </c>
      <c r="D674" s="5" t="str">
        <f>IFERROR(__xludf.DUMMYFUNCTION("""COMPUTED_VALUE"""),"EDUARDO CAMAVINGA")</f>
        <v>EDUARDO CAMAVINGA</v>
      </c>
      <c r="E674" s="5">
        <f>IFERROR(__xludf.DUMMYFUNCTION("""COMPUTED_VALUE"""),0.0)</f>
        <v>0</v>
      </c>
    </row>
    <row r="675">
      <c r="A675" s="5" t="str">
        <f>IFERROR(__xludf.DUMMYFUNCTION("""COMPUTED_VALUE"""),"FRA11")</f>
        <v>FRA11</v>
      </c>
      <c r="B675" s="5" t="str">
        <f>IFERROR(__xludf.DUMMYFUNCTION("""COMPUTED_VALUE"""),"FRANCE")</f>
        <v>FRANCE</v>
      </c>
      <c r="C675" s="5" t="str">
        <f>IFERROR(__xludf.DUMMYFUNCTION("""COMPUTED_VALUE"""),"NORMAL")</f>
        <v>NORMAL</v>
      </c>
      <c r="D675" s="5" t="str">
        <f>IFERROR(__xludf.DUMMYFUNCTION("""COMPUTED_VALUE"""),"MANU KONE")</f>
        <v>MANU KONE</v>
      </c>
      <c r="E675" s="5">
        <f>IFERROR(__xludf.DUMMYFUNCTION("""COMPUTED_VALUE"""),0.0)</f>
        <v>0</v>
      </c>
    </row>
    <row r="676">
      <c r="A676" s="5" t="str">
        <f>IFERROR(__xludf.DUMMYFUNCTION("""COMPUTED_VALUE"""),"FRA12")</f>
        <v>FRA12</v>
      </c>
      <c r="B676" s="5" t="str">
        <f>IFERROR(__xludf.DUMMYFUNCTION("""COMPUTED_VALUE"""),"FRANCE")</f>
        <v>FRANCE</v>
      </c>
      <c r="C676" s="5" t="str">
        <f>IFERROR(__xludf.DUMMYFUNCTION("""COMPUTED_VALUE"""),"NORMAL")</f>
        <v>NORMAL</v>
      </c>
      <c r="D676" s="5" t="str">
        <f>IFERROR(__xludf.DUMMYFUNCTION("""COMPUTED_VALUE"""),"ADRIEN RABIOT")</f>
        <v>ADRIEN RABIOT</v>
      </c>
      <c r="E676" s="5">
        <f>IFERROR(__xludf.DUMMYFUNCTION("""COMPUTED_VALUE"""),0.0)</f>
        <v>0</v>
      </c>
    </row>
    <row r="677">
      <c r="A677" s="5" t="str">
        <f>IFERROR(__xludf.DUMMYFUNCTION("""COMPUTED_VALUE"""),"FRA13")</f>
        <v>FRA13</v>
      </c>
      <c r="B677" s="5" t="str">
        <f>IFERROR(__xludf.DUMMYFUNCTION("""COMPUTED_VALUE"""),"FRANCE")</f>
        <v>FRANCE</v>
      </c>
      <c r="C677" s="5" t="str">
        <f>IFERROR(__xludf.DUMMYFUNCTION("""COMPUTED_VALUE"""),"TEAM")</f>
        <v>TEAM</v>
      </c>
      <c r="D677" s="5" t="str">
        <f>IFERROR(__xludf.DUMMYFUNCTION("""COMPUTED_VALUE"""),"FRANCE NATIONAL TEAM")</f>
        <v>FRANCE NATIONAL TEAM</v>
      </c>
      <c r="E677" s="5">
        <f>IFERROR(__xludf.DUMMYFUNCTION("""COMPUTED_VALUE"""),0.0)</f>
        <v>0</v>
      </c>
    </row>
    <row r="678">
      <c r="A678" s="5" t="str">
        <f>IFERROR(__xludf.DUMMYFUNCTION("""COMPUTED_VALUE"""),"FRA14")</f>
        <v>FRA14</v>
      </c>
      <c r="B678" s="5" t="str">
        <f>IFERROR(__xludf.DUMMYFUNCTION("""COMPUTED_VALUE"""),"FRANCE")</f>
        <v>FRANCE</v>
      </c>
      <c r="C678" s="5" t="str">
        <f>IFERROR(__xludf.DUMMYFUNCTION("""COMPUTED_VALUE"""),"NORMAL")</f>
        <v>NORMAL</v>
      </c>
      <c r="D678" s="5" t="str">
        <f>IFERROR(__xludf.DUMMYFUNCTION("""COMPUTED_VALUE"""),"MICHAEL OLISE")</f>
        <v>MICHAEL OLISE</v>
      </c>
      <c r="E678" s="5">
        <f>IFERROR(__xludf.DUMMYFUNCTION("""COMPUTED_VALUE"""),0.0)</f>
        <v>0</v>
      </c>
    </row>
    <row r="679">
      <c r="A679" s="5" t="str">
        <f>IFERROR(__xludf.DUMMYFUNCTION("""COMPUTED_VALUE"""),"FRA15")</f>
        <v>FRA15</v>
      </c>
      <c r="B679" s="5" t="str">
        <f>IFERROR(__xludf.DUMMYFUNCTION("""COMPUTED_VALUE"""),"FRANCE")</f>
        <v>FRANCE</v>
      </c>
      <c r="C679" s="5" t="str">
        <f>IFERROR(__xludf.DUMMYFUNCTION("""COMPUTED_VALUE"""),"NORMAL")</f>
        <v>NORMAL</v>
      </c>
      <c r="D679" s="5" t="str">
        <f>IFERROR(__xludf.DUMMYFUNCTION("""COMPUTED_VALUE"""),"OUSMANE DEMBELE")</f>
        <v>OUSMANE DEMBELE</v>
      </c>
      <c r="E679" s="5">
        <f>IFERROR(__xludf.DUMMYFUNCTION("""COMPUTED_VALUE"""),0.0)</f>
        <v>0</v>
      </c>
    </row>
    <row r="680">
      <c r="A680" s="5" t="str">
        <f>IFERROR(__xludf.DUMMYFUNCTION("""COMPUTED_VALUE"""),"FRA16")</f>
        <v>FRA16</v>
      </c>
      <c r="B680" s="5" t="str">
        <f>IFERROR(__xludf.DUMMYFUNCTION("""COMPUTED_VALUE"""),"FRANCE")</f>
        <v>FRANCE</v>
      </c>
      <c r="C680" s="5" t="str">
        <f>IFERROR(__xludf.DUMMYFUNCTION("""COMPUTED_VALUE"""),"NORMAL")</f>
        <v>NORMAL</v>
      </c>
      <c r="D680" s="5" t="str">
        <f>IFERROR(__xludf.DUMMYFUNCTION("""COMPUTED_VALUE"""),"BRADLEY BARCOLA")</f>
        <v>BRADLEY BARCOLA</v>
      </c>
      <c r="E680" s="5">
        <f>IFERROR(__xludf.DUMMYFUNCTION("""COMPUTED_VALUE"""),0.0)</f>
        <v>0</v>
      </c>
    </row>
    <row r="681">
      <c r="A681" s="5" t="str">
        <f>IFERROR(__xludf.DUMMYFUNCTION("""COMPUTED_VALUE"""),"FRA17")</f>
        <v>FRA17</v>
      </c>
      <c r="B681" s="5" t="str">
        <f>IFERROR(__xludf.DUMMYFUNCTION("""COMPUTED_VALUE"""),"FRANCE")</f>
        <v>FRANCE</v>
      </c>
      <c r="C681" s="5" t="str">
        <f>IFERROR(__xludf.DUMMYFUNCTION("""COMPUTED_VALUE"""),"NORMAL")</f>
        <v>NORMAL</v>
      </c>
      <c r="D681" s="5" t="str">
        <f>IFERROR(__xludf.DUMMYFUNCTION("""COMPUTED_VALUE"""),"DESIRE DOUE")</f>
        <v>DESIRE DOUE</v>
      </c>
      <c r="E681" s="5">
        <f>IFERROR(__xludf.DUMMYFUNCTION("""COMPUTED_VALUE"""),0.0)</f>
        <v>0</v>
      </c>
    </row>
    <row r="682">
      <c r="A682" s="5" t="str">
        <f>IFERROR(__xludf.DUMMYFUNCTION("""COMPUTED_VALUE"""),"FRA18")</f>
        <v>FRA18</v>
      </c>
      <c r="B682" s="5" t="str">
        <f>IFERROR(__xludf.DUMMYFUNCTION("""COMPUTED_VALUE"""),"FRANCE")</f>
        <v>FRANCE</v>
      </c>
      <c r="C682" s="5" t="str">
        <f>IFERROR(__xludf.DUMMYFUNCTION("""COMPUTED_VALUE"""),"NORMAL")</f>
        <v>NORMAL</v>
      </c>
      <c r="D682" s="5" t="str">
        <f>IFERROR(__xludf.DUMMYFUNCTION("""COMPUTED_VALUE"""),"KINGSLEY COMAN")</f>
        <v>KINGSLEY COMAN</v>
      </c>
      <c r="E682" s="5">
        <f>IFERROR(__xludf.DUMMYFUNCTION("""COMPUTED_VALUE"""),0.0)</f>
        <v>0</v>
      </c>
    </row>
    <row r="683">
      <c r="A683" s="5" t="str">
        <f>IFERROR(__xludf.DUMMYFUNCTION("""COMPUTED_VALUE"""),"FRA19")</f>
        <v>FRA19</v>
      </c>
      <c r="B683" s="5" t="str">
        <f>IFERROR(__xludf.DUMMYFUNCTION("""COMPUTED_VALUE"""),"FRANCE")</f>
        <v>FRANCE</v>
      </c>
      <c r="C683" s="5" t="str">
        <f>IFERROR(__xludf.DUMMYFUNCTION("""COMPUTED_VALUE"""),"NORMAL")</f>
        <v>NORMAL</v>
      </c>
      <c r="D683" s="5" t="str">
        <f>IFERROR(__xludf.DUMMYFUNCTION("""COMPUTED_VALUE"""),"HUGO EKITIKE")</f>
        <v>HUGO EKITIKE</v>
      </c>
      <c r="E683" s="5">
        <f>IFERROR(__xludf.DUMMYFUNCTION("""COMPUTED_VALUE"""),0.0)</f>
        <v>0</v>
      </c>
    </row>
    <row r="684">
      <c r="A684" s="5" t="str">
        <f>IFERROR(__xludf.DUMMYFUNCTION("""COMPUTED_VALUE"""),"FRA20")</f>
        <v>FRA20</v>
      </c>
      <c r="B684" s="5" t="str">
        <f>IFERROR(__xludf.DUMMYFUNCTION("""COMPUTED_VALUE"""),"FRANCE")</f>
        <v>FRANCE</v>
      </c>
      <c r="C684" s="5" t="str">
        <f>IFERROR(__xludf.DUMMYFUNCTION("""COMPUTED_VALUE"""),"NORMAL")</f>
        <v>NORMAL</v>
      </c>
      <c r="D684" s="5" t="str">
        <f>IFERROR(__xludf.DUMMYFUNCTION("""COMPUTED_VALUE"""),"KYLIAN MBAPPE")</f>
        <v>KYLIAN MBAPPE</v>
      </c>
      <c r="E684" s="5">
        <f>IFERROR(__xludf.DUMMYFUNCTION("""COMPUTED_VALUE"""),0.0)</f>
        <v>0</v>
      </c>
    </row>
    <row r="685">
      <c r="A685" s="7" t="str">
        <f>IFERROR(__xludf.DUMMYFUNCTION("""COMPUTED_VALUE"""),"SEN01")</f>
        <v>SEN01</v>
      </c>
      <c r="B685" s="5" t="str">
        <f>IFERROR(__xludf.DUMMYFUNCTION("""COMPUTED_VALUE"""),"SENEGAL")</f>
        <v>SENEGAL</v>
      </c>
      <c r="C685" s="5" t="str">
        <f>IFERROR(__xludf.DUMMYFUNCTION("""COMPUTED_VALUE"""),"BADGE")</f>
        <v>BADGE</v>
      </c>
      <c r="D685" s="5" t="str">
        <f>IFERROR(__xludf.DUMMYFUNCTION("""COMPUTED_VALUE"""),"SENEGAL NATIONAL TEAM")</f>
        <v>SENEGAL NATIONAL TEAM</v>
      </c>
      <c r="E685" s="5">
        <f>IFERROR(__xludf.DUMMYFUNCTION("""COMPUTED_VALUE"""),0.0)</f>
        <v>0</v>
      </c>
    </row>
    <row r="686">
      <c r="A686" s="7" t="str">
        <f>IFERROR(__xludf.DUMMYFUNCTION("""COMPUTED_VALUE"""),"SEN02")</f>
        <v>SEN02</v>
      </c>
      <c r="B686" s="5" t="str">
        <f>IFERROR(__xludf.DUMMYFUNCTION("""COMPUTED_VALUE"""),"SENEGAL")</f>
        <v>SENEGAL</v>
      </c>
      <c r="C686" s="5" t="str">
        <f>IFERROR(__xludf.DUMMYFUNCTION("""COMPUTED_VALUE"""),"NORMAL")</f>
        <v>NORMAL</v>
      </c>
      <c r="D686" s="5" t="str">
        <f>IFERROR(__xludf.DUMMYFUNCTION("""COMPUTED_VALUE"""),"EDOUARD MENDY")</f>
        <v>EDOUARD MENDY</v>
      </c>
      <c r="E686" s="5">
        <f>IFERROR(__xludf.DUMMYFUNCTION("""COMPUTED_VALUE"""),0.0)</f>
        <v>0</v>
      </c>
    </row>
    <row r="687">
      <c r="A687" s="7" t="str">
        <f>IFERROR(__xludf.DUMMYFUNCTION("""COMPUTED_VALUE"""),"SEN03")</f>
        <v>SEN03</v>
      </c>
      <c r="B687" s="5" t="str">
        <f>IFERROR(__xludf.DUMMYFUNCTION("""COMPUTED_VALUE"""),"SENEGAL")</f>
        <v>SENEGAL</v>
      </c>
      <c r="C687" s="5" t="str">
        <f>IFERROR(__xludf.DUMMYFUNCTION("""COMPUTED_VALUE"""),"NORMAL")</f>
        <v>NORMAL</v>
      </c>
      <c r="D687" s="5" t="str">
        <f>IFERROR(__xludf.DUMMYFUNCTION("""COMPUTED_VALUE"""),"YEHVANN DIOUF")</f>
        <v>YEHVANN DIOUF</v>
      </c>
      <c r="E687" s="5">
        <f>IFERROR(__xludf.DUMMYFUNCTION("""COMPUTED_VALUE"""),0.0)</f>
        <v>0</v>
      </c>
    </row>
    <row r="688">
      <c r="A688" s="7" t="str">
        <f>IFERROR(__xludf.DUMMYFUNCTION("""COMPUTED_VALUE"""),"SEN04")</f>
        <v>SEN04</v>
      </c>
      <c r="B688" s="5" t="str">
        <f>IFERROR(__xludf.DUMMYFUNCTION("""COMPUTED_VALUE"""),"SENEGAL")</f>
        <v>SENEGAL</v>
      </c>
      <c r="C688" s="5" t="str">
        <f>IFERROR(__xludf.DUMMYFUNCTION("""COMPUTED_VALUE"""),"NORMAL")</f>
        <v>NORMAL</v>
      </c>
      <c r="D688" s="5" t="str">
        <f>IFERROR(__xludf.DUMMYFUNCTION("""COMPUTED_VALUE"""),"MOUSSA NIAKHATE")</f>
        <v>MOUSSA NIAKHATE</v>
      </c>
      <c r="E688" s="5">
        <f>IFERROR(__xludf.DUMMYFUNCTION("""COMPUTED_VALUE"""),0.0)</f>
        <v>0</v>
      </c>
    </row>
    <row r="689">
      <c r="A689" s="7" t="str">
        <f>IFERROR(__xludf.DUMMYFUNCTION("""COMPUTED_VALUE"""),"SEN05")</f>
        <v>SEN05</v>
      </c>
      <c r="B689" s="5" t="str">
        <f>IFERROR(__xludf.DUMMYFUNCTION("""COMPUTED_VALUE"""),"SENEGAL")</f>
        <v>SENEGAL</v>
      </c>
      <c r="C689" s="5" t="str">
        <f>IFERROR(__xludf.DUMMYFUNCTION("""COMPUTED_VALUE"""),"NORMAL")</f>
        <v>NORMAL</v>
      </c>
      <c r="D689" s="5" t="str">
        <f>IFERROR(__xludf.DUMMYFUNCTION("""COMPUTED_VALUE"""),"ABDOULAYE SECK")</f>
        <v>ABDOULAYE SECK</v>
      </c>
      <c r="E689" s="5">
        <f>IFERROR(__xludf.DUMMYFUNCTION("""COMPUTED_VALUE"""),0.0)</f>
        <v>0</v>
      </c>
    </row>
    <row r="690">
      <c r="A690" s="7" t="str">
        <f>IFERROR(__xludf.DUMMYFUNCTION("""COMPUTED_VALUE"""),"SEN06")</f>
        <v>SEN06</v>
      </c>
      <c r="B690" s="5" t="str">
        <f>IFERROR(__xludf.DUMMYFUNCTION("""COMPUTED_VALUE"""),"SENEGAL")</f>
        <v>SENEGAL</v>
      </c>
      <c r="C690" s="5" t="str">
        <f>IFERROR(__xludf.DUMMYFUNCTION("""COMPUTED_VALUE"""),"NORMAL")</f>
        <v>NORMAL</v>
      </c>
      <c r="D690" s="5" t="str">
        <f>IFERROR(__xludf.DUMMYFUNCTION("""COMPUTED_VALUE"""),"ISMAIL JAKOBS")</f>
        <v>ISMAIL JAKOBS</v>
      </c>
      <c r="E690" s="5">
        <f>IFERROR(__xludf.DUMMYFUNCTION("""COMPUTED_VALUE"""),0.0)</f>
        <v>0</v>
      </c>
    </row>
    <row r="691">
      <c r="A691" s="7" t="str">
        <f>IFERROR(__xludf.DUMMYFUNCTION("""COMPUTED_VALUE"""),"SEN07")</f>
        <v>SEN07</v>
      </c>
      <c r="B691" s="5" t="str">
        <f>IFERROR(__xludf.DUMMYFUNCTION("""COMPUTED_VALUE"""),"SENEGAL")</f>
        <v>SENEGAL</v>
      </c>
      <c r="C691" s="5" t="str">
        <f>IFERROR(__xludf.DUMMYFUNCTION("""COMPUTED_VALUE"""),"NORMAL")</f>
        <v>NORMAL</v>
      </c>
      <c r="D691" s="5" t="str">
        <f>IFERROR(__xludf.DUMMYFUNCTION("""COMPUTED_VALUE"""),"EL HADJI MALICK DIOUF")</f>
        <v>EL HADJI MALICK DIOUF</v>
      </c>
      <c r="E691" s="5">
        <f>IFERROR(__xludf.DUMMYFUNCTION("""COMPUTED_VALUE"""),0.0)</f>
        <v>0</v>
      </c>
    </row>
    <row r="692">
      <c r="A692" s="7" t="str">
        <f>IFERROR(__xludf.DUMMYFUNCTION("""COMPUTED_VALUE"""),"SEN08")</f>
        <v>SEN08</v>
      </c>
      <c r="B692" s="5" t="str">
        <f>IFERROR(__xludf.DUMMYFUNCTION("""COMPUTED_VALUE"""),"SENEGAL")</f>
        <v>SENEGAL</v>
      </c>
      <c r="C692" s="5" t="str">
        <f>IFERROR(__xludf.DUMMYFUNCTION("""COMPUTED_VALUE"""),"NORMAL")</f>
        <v>NORMAL</v>
      </c>
      <c r="D692" s="5" t="str">
        <f>IFERROR(__xludf.DUMMYFUNCTION("""COMPUTED_VALUE"""),"KALIDOU KOULIBALY")</f>
        <v>KALIDOU KOULIBALY</v>
      </c>
      <c r="E692" s="5">
        <f>IFERROR(__xludf.DUMMYFUNCTION("""COMPUTED_VALUE"""),0.0)</f>
        <v>0</v>
      </c>
    </row>
    <row r="693">
      <c r="A693" s="7" t="str">
        <f>IFERROR(__xludf.DUMMYFUNCTION("""COMPUTED_VALUE"""),"SEN09")</f>
        <v>SEN09</v>
      </c>
      <c r="B693" s="5" t="str">
        <f>IFERROR(__xludf.DUMMYFUNCTION("""COMPUTED_VALUE"""),"SENEGAL")</f>
        <v>SENEGAL</v>
      </c>
      <c r="C693" s="5" t="str">
        <f>IFERROR(__xludf.DUMMYFUNCTION("""COMPUTED_VALUE"""),"NORMAL")</f>
        <v>NORMAL</v>
      </c>
      <c r="D693" s="5" t="str">
        <f>IFERROR(__xludf.DUMMYFUNCTION("""COMPUTED_VALUE"""),"IDRISSA GANA GUEYE")</f>
        <v>IDRISSA GANA GUEYE</v>
      </c>
      <c r="E693" s="5">
        <f>IFERROR(__xludf.DUMMYFUNCTION("""COMPUTED_VALUE"""),0.0)</f>
        <v>0</v>
      </c>
    </row>
    <row r="694">
      <c r="A694" s="7" t="str">
        <f>IFERROR(__xludf.DUMMYFUNCTION("""COMPUTED_VALUE"""),"SEN10")</f>
        <v>SEN10</v>
      </c>
      <c r="B694" s="5" t="str">
        <f>IFERROR(__xludf.DUMMYFUNCTION("""COMPUTED_VALUE"""),"SENEGAL")</f>
        <v>SENEGAL</v>
      </c>
      <c r="C694" s="5" t="str">
        <f>IFERROR(__xludf.DUMMYFUNCTION("""COMPUTED_VALUE"""),"NORMAL")</f>
        <v>NORMAL</v>
      </c>
      <c r="D694" s="5" t="str">
        <f>IFERROR(__xludf.DUMMYFUNCTION("""COMPUTED_VALUE"""),"PAPE MATAR SARR")</f>
        <v>PAPE MATAR SARR</v>
      </c>
      <c r="E694" s="5">
        <f>IFERROR(__xludf.DUMMYFUNCTION("""COMPUTED_VALUE"""),0.0)</f>
        <v>0</v>
      </c>
    </row>
    <row r="695">
      <c r="A695" s="7" t="str">
        <f>IFERROR(__xludf.DUMMYFUNCTION("""COMPUTED_VALUE"""),"SEN11")</f>
        <v>SEN11</v>
      </c>
      <c r="B695" s="5" t="str">
        <f>IFERROR(__xludf.DUMMYFUNCTION("""COMPUTED_VALUE"""),"SENEGAL")</f>
        <v>SENEGAL</v>
      </c>
      <c r="C695" s="5" t="str">
        <f>IFERROR(__xludf.DUMMYFUNCTION("""COMPUTED_VALUE"""),"NORMAL")</f>
        <v>NORMAL</v>
      </c>
      <c r="D695" s="5" t="str">
        <f>IFERROR(__xludf.DUMMYFUNCTION("""COMPUTED_VALUE"""),"PAPE GUEYE")</f>
        <v>PAPE GUEYE</v>
      </c>
      <c r="E695" s="5">
        <f>IFERROR(__xludf.DUMMYFUNCTION("""COMPUTED_VALUE"""),0.0)</f>
        <v>0</v>
      </c>
    </row>
    <row r="696">
      <c r="A696" s="7" t="str">
        <f>IFERROR(__xludf.DUMMYFUNCTION("""COMPUTED_VALUE"""),"SEN12")</f>
        <v>SEN12</v>
      </c>
      <c r="B696" s="5" t="str">
        <f>IFERROR(__xludf.DUMMYFUNCTION("""COMPUTED_VALUE"""),"SENEGAL")</f>
        <v>SENEGAL</v>
      </c>
      <c r="C696" s="5" t="str">
        <f>IFERROR(__xludf.DUMMYFUNCTION("""COMPUTED_VALUE"""),"NORMAL")</f>
        <v>NORMAL</v>
      </c>
      <c r="D696" s="5" t="str">
        <f>IFERROR(__xludf.DUMMYFUNCTION("""COMPUTED_VALUE"""),"HABIB DIARRA")</f>
        <v>HABIB DIARRA</v>
      </c>
      <c r="E696" s="5">
        <f>IFERROR(__xludf.DUMMYFUNCTION("""COMPUTED_VALUE"""),0.0)</f>
        <v>0</v>
      </c>
    </row>
    <row r="697">
      <c r="A697" s="7" t="str">
        <f>IFERROR(__xludf.DUMMYFUNCTION("""COMPUTED_VALUE"""),"SEN13")</f>
        <v>SEN13</v>
      </c>
      <c r="B697" s="5" t="str">
        <f>IFERROR(__xludf.DUMMYFUNCTION("""COMPUTED_VALUE"""),"SENEGAL")</f>
        <v>SENEGAL</v>
      </c>
      <c r="C697" s="5" t="str">
        <f>IFERROR(__xludf.DUMMYFUNCTION("""COMPUTED_VALUE"""),"TEAM")</f>
        <v>TEAM</v>
      </c>
      <c r="D697" s="5" t="str">
        <f>IFERROR(__xludf.DUMMYFUNCTION("""COMPUTED_VALUE"""),"SENEGAL NATIONAL TEAM")</f>
        <v>SENEGAL NATIONAL TEAM</v>
      </c>
      <c r="E697" s="5">
        <f>IFERROR(__xludf.DUMMYFUNCTION("""COMPUTED_VALUE"""),0.0)</f>
        <v>0</v>
      </c>
    </row>
    <row r="698">
      <c r="A698" s="7" t="str">
        <f>IFERROR(__xludf.DUMMYFUNCTION("""COMPUTED_VALUE"""),"SEN14")</f>
        <v>SEN14</v>
      </c>
      <c r="B698" s="5" t="str">
        <f>IFERROR(__xludf.DUMMYFUNCTION("""COMPUTED_VALUE"""),"SENEGAL")</f>
        <v>SENEGAL</v>
      </c>
      <c r="C698" s="5" t="str">
        <f>IFERROR(__xludf.DUMMYFUNCTION("""COMPUTED_VALUE"""),"NORMAL")</f>
        <v>NORMAL</v>
      </c>
      <c r="D698" s="5" t="str">
        <f>IFERROR(__xludf.DUMMYFUNCTION("""COMPUTED_VALUE"""),"LAMINE CAMARA")</f>
        <v>LAMINE CAMARA</v>
      </c>
      <c r="E698" s="5">
        <f>IFERROR(__xludf.DUMMYFUNCTION("""COMPUTED_VALUE"""),0.0)</f>
        <v>0</v>
      </c>
    </row>
    <row r="699">
      <c r="A699" s="7" t="str">
        <f>IFERROR(__xludf.DUMMYFUNCTION("""COMPUTED_VALUE"""),"SEN15")</f>
        <v>SEN15</v>
      </c>
      <c r="B699" s="5" t="str">
        <f>IFERROR(__xludf.DUMMYFUNCTION("""COMPUTED_VALUE"""),"SENEGAL")</f>
        <v>SENEGAL</v>
      </c>
      <c r="C699" s="5" t="str">
        <f>IFERROR(__xludf.DUMMYFUNCTION("""COMPUTED_VALUE"""),"NORMAL")</f>
        <v>NORMAL</v>
      </c>
      <c r="D699" s="5" t="str">
        <f>IFERROR(__xludf.DUMMYFUNCTION("""COMPUTED_VALUE"""),"SADIO MANE")</f>
        <v>SADIO MANE</v>
      </c>
      <c r="E699" s="5">
        <f>IFERROR(__xludf.DUMMYFUNCTION("""COMPUTED_VALUE"""),0.0)</f>
        <v>0</v>
      </c>
    </row>
    <row r="700">
      <c r="A700" s="7" t="str">
        <f>IFERROR(__xludf.DUMMYFUNCTION("""COMPUTED_VALUE"""),"SEN16")</f>
        <v>SEN16</v>
      </c>
      <c r="B700" s="5" t="str">
        <f>IFERROR(__xludf.DUMMYFUNCTION("""COMPUTED_VALUE"""),"SENEGAL")</f>
        <v>SENEGAL</v>
      </c>
      <c r="C700" s="5" t="str">
        <f>IFERROR(__xludf.DUMMYFUNCTION("""COMPUTED_VALUE"""),"NORMAL")</f>
        <v>NORMAL</v>
      </c>
      <c r="D700" s="5" t="str">
        <f>IFERROR(__xludf.DUMMYFUNCTION("""COMPUTED_VALUE"""),"ISMAILA SARR")</f>
        <v>ISMAILA SARR</v>
      </c>
      <c r="E700" s="5">
        <f>IFERROR(__xludf.DUMMYFUNCTION("""COMPUTED_VALUE"""),0.0)</f>
        <v>0</v>
      </c>
    </row>
    <row r="701">
      <c r="A701" s="7" t="str">
        <f>IFERROR(__xludf.DUMMYFUNCTION("""COMPUTED_VALUE"""),"SEN17")</f>
        <v>SEN17</v>
      </c>
      <c r="B701" s="5" t="str">
        <f>IFERROR(__xludf.DUMMYFUNCTION("""COMPUTED_VALUE"""),"SENEGAL")</f>
        <v>SENEGAL</v>
      </c>
      <c r="C701" s="5" t="str">
        <f>IFERROR(__xludf.DUMMYFUNCTION("""COMPUTED_VALUE"""),"NORMAL")</f>
        <v>NORMAL</v>
      </c>
      <c r="D701" s="5" t="str">
        <f>IFERROR(__xludf.DUMMYFUNCTION("""COMPUTED_VALUE"""),"BOULAYE DIA")</f>
        <v>BOULAYE DIA</v>
      </c>
      <c r="E701" s="5">
        <f>IFERROR(__xludf.DUMMYFUNCTION("""COMPUTED_VALUE"""),0.0)</f>
        <v>0</v>
      </c>
    </row>
    <row r="702">
      <c r="A702" s="7" t="str">
        <f>IFERROR(__xludf.DUMMYFUNCTION("""COMPUTED_VALUE"""),"SEN18")</f>
        <v>SEN18</v>
      </c>
      <c r="B702" s="5" t="str">
        <f>IFERROR(__xludf.DUMMYFUNCTION("""COMPUTED_VALUE"""),"SENEGAL")</f>
        <v>SENEGAL</v>
      </c>
      <c r="C702" s="5" t="str">
        <f>IFERROR(__xludf.DUMMYFUNCTION("""COMPUTED_VALUE"""),"NORMAL")</f>
        <v>NORMAL</v>
      </c>
      <c r="D702" s="5" t="str">
        <f>IFERROR(__xludf.DUMMYFUNCTION("""COMPUTED_VALUE"""),"ILIMAN NDIAYE")</f>
        <v>ILIMAN NDIAYE</v>
      </c>
      <c r="E702" s="5">
        <f>IFERROR(__xludf.DUMMYFUNCTION("""COMPUTED_VALUE"""),0.0)</f>
        <v>0</v>
      </c>
    </row>
    <row r="703">
      <c r="A703" s="7" t="str">
        <f>IFERROR(__xludf.DUMMYFUNCTION("""COMPUTED_VALUE"""),"SEN19")</f>
        <v>SEN19</v>
      </c>
      <c r="B703" s="5" t="str">
        <f>IFERROR(__xludf.DUMMYFUNCTION("""COMPUTED_VALUE"""),"SENEGAL")</f>
        <v>SENEGAL</v>
      </c>
      <c r="C703" s="5" t="str">
        <f>IFERROR(__xludf.DUMMYFUNCTION("""COMPUTED_VALUE"""),"NORMAL")</f>
        <v>NORMAL</v>
      </c>
      <c r="D703" s="5" t="str">
        <f>IFERROR(__xludf.DUMMYFUNCTION("""COMPUTED_VALUE"""),"NICOLAS JACKSON")</f>
        <v>NICOLAS JACKSON</v>
      </c>
      <c r="E703" s="5">
        <f>IFERROR(__xludf.DUMMYFUNCTION("""COMPUTED_VALUE"""),0.0)</f>
        <v>0</v>
      </c>
    </row>
    <row r="704">
      <c r="A704" s="7" t="str">
        <f>IFERROR(__xludf.DUMMYFUNCTION("""COMPUTED_VALUE"""),"SEN20")</f>
        <v>SEN20</v>
      </c>
      <c r="B704" s="5" t="str">
        <f>IFERROR(__xludf.DUMMYFUNCTION("""COMPUTED_VALUE"""),"SENEGAL")</f>
        <v>SENEGAL</v>
      </c>
      <c r="C704" s="5" t="str">
        <f>IFERROR(__xludf.DUMMYFUNCTION("""COMPUTED_VALUE"""),"NORMAL")</f>
        <v>NORMAL</v>
      </c>
      <c r="D704" s="5" t="str">
        <f>IFERROR(__xludf.DUMMYFUNCTION("""COMPUTED_VALUE"""),"KREPIN DIATTA")</f>
        <v>KREPIN DIATTA</v>
      </c>
      <c r="E704" s="5">
        <f>IFERROR(__xludf.DUMMYFUNCTION("""COMPUTED_VALUE"""),0.0)</f>
        <v>0</v>
      </c>
    </row>
    <row r="705">
      <c r="A705" s="5" t="str">
        <f>IFERROR(__xludf.DUMMYFUNCTION("""COMPUTED_VALUE"""),"IRQ01")</f>
        <v>IRQ01</v>
      </c>
      <c r="B705" s="5" t="str">
        <f>IFERROR(__xludf.DUMMYFUNCTION("""COMPUTED_VALUE"""),"IRAQ")</f>
        <v>IRAQ</v>
      </c>
      <c r="C705" s="5" t="str">
        <f>IFERROR(__xludf.DUMMYFUNCTION("""COMPUTED_VALUE"""),"BADGE")</f>
        <v>BADGE</v>
      </c>
      <c r="D705" s="5" t="str">
        <f>IFERROR(__xludf.DUMMYFUNCTION("""COMPUTED_VALUE"""),"IRAQ NATIONAL TEAM")</f>
        <v>IRAQ NATIONAL TEAM</v>
      </c>
      <c r="E705" s="5">
        <f>IFERROR(__xludf.DUMMYFUNCTION("""COMPUTED_VALUE"""),0.0)</f>
        <v>0</v>
      </c>
    </row>
    <row r="706">
      <c r="A706" s="5" t="str">
        <f>IFERROR(__xludf.DUMMYFUNCTION("""COMPUTED_VALUE"""),"IRQ02")</f>
        <v>IRQ02</v>
      </c>
      <c r="B706" s="5" t="str">
        <f>IFERROR(__xludf.DUMMYFUNCTION("""COMPUTED_VALUE"""),"IRAQ")</f>
        <v>IRAQ</v>
      </c>
      <c r="C706" s="5" t="str">
        <f>IFERROR(__xludf.DUMMYFUNCTION("""COMPUTED_VALUE"""),"NORMAL")</f>
        <v>NORMAL</v>
      </c>
      <c r="D706" s="5" t="str">
        <f>IFERROR(__xludf.DUMMYFUNCTION("""COMPUTED_VALUE"""),"JALAL HASSAN")</f>
        <v>JALAL HASSAN</v>
      </c>
      <c r="E706" s="5">
        <f>IFERROR(__xludf.DUMMYFUNCTION("""COMPUTED_VALUE"""),0.0)</f>
        <v>0</v>
      </c>
    </row>
    <row r="707">
      <c r="A707" s="5" t="str">
        <f>IFERROR(__xludf.DUMMYFUNCTION("""COMPUTED_VALUE"""),"IRQ03")</f>
        <v>IRQ03</v>
      </c>
      <c r="B707" s="5" t="str">
        <f>IFERROR(__xludf.DUMMYFUNCTION("""COMPUTED_VALUE"""),"IRAQ")</f>
        <v>IRAQ</v>
      </c>
      <c r="C707" s="5" t="str">
        <f>IFERROR(__xludf.DUMMYFUNCTION("""COMPUTED_VALUE"""),"NORMAL")</f>
        <v>NORMAL</v>
      </c>
      <c r="D707" s="5" t="str">
        <f>IFERROR(__xludf.DUMMYFUNCTION("""COMPUTED_VALUE"""),"REBIN SULAKA")</f>
        <v>REBIN SULAKA</v>
      </c>
      <c r="E707" s="5">
        <f>IFERROR(__xludf.DUMMYFUNCTION("""COMPUTED_VALUE"""),0.0)</f>
        <v>0</v>
      </c>
    </row>
    <row r="708">
      <c r="A708" s="5" t="str">
        <f>IFERROR(__xludf.DUMMYFUNCTION("""COMPUTED_VALUE"""),"IRQ04")</f>
        <v>IRQ04</v>
      </c>
      <c r="B708" s="5" t="str">
        <f>IFERROR(__xludf.DUMMYFUNCTION("""COMPUTED_VALUE"""),"IRAQ")</f>
        <v>IRAQ</v>
      </c>
      <c r="C708" s="5" t="str">
        <f>IFERROR(__xludf.DUMMYFUNCTION("""COMPUTED_VALUE"""),"NORMAL")</f>
        <v>NORMAL</v>
      </c>
      <c r="D708" s="5" t="str">
        <f>IFERROR(__xludf.DUMMYFUNCTION("""COMPUTED_VALUE"""),"HUSSEIN ALI")</f>
        <v>HUSSEIN ALI</v>
      </c>
      <c r="E708" s="5">
        <f>IFERROR(__xludf.DUMMYFUNCTION("""COMPUTED_VALUE"""),0.0)</f>
        <v>0</v>
      </c>
    </row>
    <row r="709">
      <c r="A709" s="5" t="str">
        <f>IFERROR(__xludf.DUMMYFUNCTION("""COMPUTED_VALUE"""),"IRQ05")</f>
        <v>IRQ05</v>
      </c>
      <c r="B709" s="5" t="str">
        <f>IFERROR(__xludf.DUMMYFUNCTION("""COMPUTED_VALUE"""),"IRAQ")</f>
        <v>IRAQ</v>
      </c>
      <c r="C709" s="5" t="str">
        <f>IFERROR(__xludf.DUMMYFUNCTION("""COMPUTED_VALUE"""),"NORMAL")</f>
        <v>NORMAL</v>
      </c>
      <c r="D709" s="5" t="str">
        <f>IFERROR(__xludf.DUMMYFUNCTION("""COMPUTED_VALUE"""),"AKAM HASHEM")</f>
        <v>AKAM HASHEM</v>
      </c>
      <c r="E709" s="5">
        <f>IFERROR(__xludf.DUMMYFUNCTION("""COMPUTED_VALUE"""),0.0)</f>
        <v>0</v>
      </c>
    </row>
    <row r="710">
      <c r="A710" s="5" t="str">
        <f>IFERROR(__xludf.DUMMYFUNCTION("""COMPUTED_VALUE"""),"IRQ06")</f>
        <v>IRQ06</v>
      </c>
      <c r="B710" s="5" t="str">
        <f>IFERROR(__xludf.DUMMYFUNCTION("""COMPUTED_VALUE"""),"IRAQ")</f>
        <v>IRAQ</v>
      </c>
      <c r="C710" s="5" t="str">
        <f>IFERROR(__xludf.DUMMYFUNCTION("""COMPUTED_VALUE"""),"NORMAL")</f>
        <v>NORMAL</v>
      </c>
      <c r="D710" s="5" t="str">
        <f>IFERROR(__xludf.DUMMYFUNCTION("""COMPUTED_VALUE"""),"MERCHAS DOSKI")</f>
        <v>MERCHAS DOSKI</v>
      </c>
      <c r="E710" s="5">
        <f>IFERROR(__xludf.DUMMYFUNCTION("""COMPUTED_VALUE"""),0.0)</f>
        <v>0</v>
      </c>
    </row>
    <row r="711">
      <c r="A711" s="5" t="str">
        <f>IFERROR(__xludf.DUMMYFUNCTION("""COMPUTED_VALUE"""),"IRQ07")</f>
        <v>IRQ07</v>
      </c>
      <c r="B711" s="5" t="str">
        <f>IFERROR(__xludf.DUMMYFUNCTION("""COMPUTED_VALUE"""),"IRAQ")</f>
        <v>IRAQ</v>
      </c>
      <c r="C711" s="5" t="str">
        <f>IFERROR(__xludf.DUMMYFUNCTION("""COMPUTED_VALUE"""),"NORMAL")</f>
        <v>NORMAL</v>
      </c>
      <c r="D711" s="5" t="str">
        <f>IFERROR(__xludf.DUMMYFUNCTION("""COMPUTED_VALUE"""),"ZAID TAHSEEN")</f>
        <v>ZAID TAHSEEN</v>
      </c>
      <c r="E711" s="5">
        <f>IFERROR(__xludf.DUMMYFUNCTION("""COMPUTED_VALUE"""),0.0)</f>
        <v>0</v>
      </c>
    </row>
    <row r="712">
      <c r="A712" s="5" t="str">
        <f>IFERROR(__xludf.DUMMYFUNCTION("""COMPUTED_VALUE"""),"IRQ08")</f>
        <v>IRQ08</v>
      </c>
      <c r="B712" s="5" t="str">
        <f>IFERROR(__xludf.DUMMYFUNCTION("""COMPUTED_VALUE"""),"IRAQ")</f>
        <v>IRAQ</v>
      </c>
      <c r="C712" s="5" t="str">
        <f>IFERROR(__xludf.DUMMYFUNCTION("""COMPUTED_VALUE"""),"NORMAL")</f>
        <v>NORMAL</v>
      </c>
      <c r="D712" s="5" t="str">
        <f>IFERROR(__xludf.DUMMYFUNCTION("""COMPUTED_VALUE"""),"MANAF YOUNIS")</f>
        <v>MANAF YOUNIS</v>
      </c>
      <c r="E712" s="5">
        <f>IFERROR(__xludf.DUMMYFUNCTION("""COMPUTED_VALUE"""),0.0)</f>
        <v>0</v>
      </c>
    </row>
    <row r="713">
      <c r="A713" s="5" t="str">
        <f>IFERROR(__xludf.DUMMYFUNCTION("""COMPUTED_VALUE"""),"IRQ09")</f>
        <v>IRQ09</v>
      </c>
      <c r="B713" s="5" t="str">
        <f>IFERROR(__xludf.DUMMYFUNCTION("""COMPUTED_VALUE"""),"IRAQ")</f>
        <v>IRAQ</v>
      </c>
      <c r="C713" s="5" t="str">
        <f>IFERROR(__xludf.DUMMYFUNCTION("""COMPUTED_VALUE"""),"NORMAL")</f>
        <v>NORMAL</v>
      </c>
      <c r="D713" s="5" t="str">
        <f>IFERROR(__xludf.DUMMYFUNCTION("""COMPUTED_VALUE"""),"ZIDANE IQBAL")</f>
        <v>ZIDANE IQBAL</v>
      </c>
      <c r="E713" s="5">
        <f>IFERROR(__xludf.DUMMYFUNCTION("""COMPUTED_VALUE"""),0.0)</f>
        <v>0</v>
      </c>
    </row>
    <row r="714">
      <c r="A714" s="5" t="str">
        <f>IFERROR(__xludf.DUMMYFUNCTION("""COMPUTED_VALUE"""),"IRQ10")</f>
        <v>IRQ10</v>
      </c>
      <c r="B714" s="5" t="str">
        <f>IFERROR(__xludf.DUMMYFUNCTION("""COMPUTED_VALUE"""),"IRAQ")</f>
        <v>IRAQ</v>
      </c>
      <c r="C714" s="5" t="str">
        <f>IFERROR(__xludf.DUMMYFUNCTION("""COMPUTED_VALUE"""),"NORMAL")</f>
        <v>NORMAL</v>
      </c>
      <c r="D714" s="5" t="str">
        <f>IFERROR(__xludf.DUMMYFUNCTION("""COMPUTED_VALUE"""),"AMIR AL-AMMARI")</f>
        <v>AMIR AL-AMMARI</v>
      </c>
      <c r="E714" s="5">
        <f>IFERROR(__xludf.DUMMYFUNCTION("""COMPUTED_VALUE"""),0.0)</f>
        <v>0</v>
      </c>
    </row>
    <row r="715">
      <c r="A715" s="5" t="str">
        <f>IFERROR(__xludf.DUMMYFUNCTION("""COMPUTED_VALUE"""),"IRQ11")</f>
        <v>IRQ11</v>
      </c>
      <c r="B715" s="5" t="str">
        <f>IFERROR(__xludf.DUMMYFUNCTION("""COMPUTED_VALUE"""),"IRAQ")</f>
        <v>IRAQ</v>
      </c>
      <c r="C715" s="5" t="str">
        <f>IFERROR(__xludf.DUMMYFUNCTION("""COMPUTED_VALUE"""),"NORMAL")</f>
        <v>NORMAL</v>
      </c>
      <c r="D715" s="5" t="str">
        <f>IFERROR(__xludf.DUMMYFUNCTION("""COMPUTED_VALUE"""),"IBRAHIM BAYESH")</f>
        <v>IBRAHIM BAYESH</v>
      </c>
      <c r="E715" s="5">
        <f>IFERROR(__xludf.DUMMYFUNCTION("""COMPUTED_VALUE"""),0.0)</f>
        <v>0</v>
      </c>
    </row>
    <row r="716">
      <c r="A716" s="5" t="str">
        <f>IFERROR(__xludf.DUMMYFUNCTION("""COMPUTED_VALUE"""),"IRQ12")</f>
        <v>IRQ12</v>
      </c>
      <c r="B716" s="5" t="str">
        <f>IFERROR(__xludf.DUMMYFUNCTION("""COMPUTED_VALUE"""),"IRAQ")</f>
        <v>IRAQ</v>
      </c>
      <c r="C716" s="5" t="str">
        <f>IFERROR(__xludf.DUMMYFUNCTION("""COMPUTED_VALUE"""),"NORMAL")</f>
        <v>NORMAL</v>
      </c>
      <c r="D716" s="5" t="str">
        <f>IFERROR(__xludf.DUMMYFUNCTION("""COMPUTED_VALUE"""),"ALI JASIM")</f>
        <v>ALI JASIM</v>
      </c>
      <c r="E716" s="5">
        <f>IFERROR(__xludf.DUMMYFUNCTION("""COMPUTED_VALUE"""),0.0)</f>
        <v>0</v>
      </c>
    </row>
    <row r="717">
      <c r="A717" s="5" t="str">
        <f>IFERROR(__xludf.DUMMYFUNCTION("""COMPUTED_VALUE"""),"IRQ13")</f>
        <v>IRQ13</v>
      </c>
      <c r="B717" s="5" t="str">
        <f>IFERROR(__xludf.DUMMYFUNCTION("""COMPUTED_VALUE"""),"IRAQ")</f>
        <v>IRAQ</v>
      </c>
      <c r="C717" s="5" t="str">
        <f>IFERROR(__xludf.DUMMYFUNCTION("""COMPUTED_VALUE"""),"TEAM")</f>
        <v>TEAM</v>
      </c>
      <c r="D717" s="5" t="str">
        <f>IFERROR(__xludf.DUMMYFUNCTION("""COMPUTED_VALUE"""),"IRAQ NATIONAL TEAM")</f>
        <v>IRAQ NATIONAL TEAM</v>
      </c>
      <c r="E717" s="5">
        <f>IFERROR(__xludf.DUMMYFUNCTION("""COMPUTED_VALUE"""),0.0)</f>
        <v>0</v>
      </c>
    </row>
    <row r="718">
      <c r="A718" s="5" t="str">
        <f>IFERROR(__xludf.DUMMYFUNCTION("""COMPUTED_VALUE"""),"IRQ14")</f>
        <v>IRQ14</v>
      </c>
      <c r="B718" s="5" t="str">
        <f>IFERROR(__xludf.DUMMYFUNCTION("""COMPUTED_VALUE"""),"IRAQ")</f>
        <v>IRAQ</v>
      </c>
      <c r="C718" s="5" t="str">
        <f>IFERROR(__xludf.DUMMYFUNCTION("""COMPUTED_VALUE"""),"NORMAL")</f>
        <v>NORMAL</v>
      </c>
      <c r="D718" s="5" t="str">
        <f>IFERROR(__xludf.DUMMYFUNCTION("""COMPUTED_VALUE"""),"YOUSSEF AMYN")</f>
        <v>YOUSSEF AMYN</v>
      </c>
      <c r="E718" s="5">
        <f>IFERROR(__xludf.DUMMYFUNCTION("""COMPUTED_VALUE"""),0.0)</f>
        <v>0</v>
      </c>
    </row>
    <row r="719">
      <c r="A719" s="5" t="str">
        <f>IFERROR(__xludf.DUMMYFUNCTION("""COMPUTED_VALUE"""),"IRQ15")</f>
        <v>IRQ15</v>
      </c>
      <c r="B719" s="5" t="str">
        <f>IFERROR(__xludf.DUMMYFUNCTION("""COMPUTED_VALUE"""),"IRAQ")</f>
        <v>IRAQ</v>
      </c>
      <c r="C719" s="5" t="str">
        <f>IFERROR(__xludf.DUMMYFUNCTION("""COMPUTED_VALUE"""),"NORMAL")</f>
        <v>NORMAL</v>
      </c>
      <c r="D719" s="5" t="str">
        <f>IFERROR(__xludf.DUMMYFUNCTION("""COMPUTED_VALUE"""),"AIMAR SHER")</f>
        <v>AIMAR SHER</v>
      </c>
      <c r="E719" s="5">
        <f>IFERROR(__xludf.DUMMYFUNCTION("""COMPUTED_VALUE"""),0.0)</f>
        <v>0</v>
      </c>
    </row>
    <row r="720">
      <c r="A720" s="5" t="str">
        <f>IFERROR(__xludf.DUMMYFUNCTION("""COMPUTED_VALUE"""),"IRQ16")</f>
        <v>IRQ16</v>
      </c>
      <c r="B720" s="5" t="str">
        <f>IFERROR(__xludf.DUMMYFUNCTION("""COMPUTED_VALUE"""),"IRAQ")</f>
        <v>IRAQ</v>
      </c>
      <c r="C720" s="5" t="str">
        <f>IFERROR(__xludf.DUMMYFUNCTION("""COMPUTED_VALUE"""),"NORMAL")</f>
        <v>NORMAL</v>
      </c>
      <c r="D720" s="5" t="str">
        <f>IFERROR(__xludf.DUMMYFUNCTION("""COMPUTED_VALUE"""),"MARKO FARJI")</f>
        <v>MARKO FARJI</v>
      </c>
      <c r="E720" s="5">
        <f>IFERROR(__xludf.DUMMYFUNCTION("""COMPUTED_VALUE"""),0.0)</f>
        <v>0</v>
      </c>
    </row>
    <row r="721">
      <c r="A721" s="5" t="str">
        <f>IFERROR(__xludf.DUMMYFUNCTION("""COMPUTED_VALUE"""),"IRQ17")</f>
        <v>IRQ17</v>
      </c>
      <c r="B721" s="5" t="str">
        <f>IFERROR(__xludf.DUMMYFUNCTION("""COMPUTED_VALUE"""),"IRAQ")</f>
        <v>IRAQ</v>
      </c>
      <c r="C721" s="5" t="str">
        <f>IFERROR(__xludf.DUMMYFUNCTION("""COMPUTED_VALUE"""),"NORMAL")</f>
        <v>NORMAL</v>
      </c>
      <c r="D721" s="5" t="str">
        <f>IFERROR(__xludf.DUMMYFUNCTION("""COMPUTED_VALUE"""),"OSAMA RASHID")</f>
        <v>OSAMA RASHID</v>
      </c>
      <c r="E721" s="5">
        <f>IFERROR(__xludf.DUMMYFUNCTION("""COMPUTED_VALUE"""),0.0)</f>
        <v>0</v>
      </c>
    </row>
    <row r="722">
      <c r="A722" s="5" t="str">
        <f>IFERROR(__xludf.DUMMYFUNCTION("""COMPUTED_VALUE"""),"IRQ18")</f>
        <v>IRQ18</v>
      </c>
      <c r="B722" s="5" t="str">
        <f>IFERROR(__xludf.DUMMYFUNCTION("""COMPUTED_VALUE"""),"IRAQ")</f>
        <v>IRAQ</v>
      </c>
      <c r="C722" s="5" t="str">
        <f>IFERROR(__xludf.DUMMYFUNCTION("""COMPUTED_VALUE"""),"NORMAL")</f>
        <v>NORMAL</v>
      </c>
      <c r="D722" s="5" t="str">
        <f>IFERROR(__xludf.DUMMYFUNCTION("""COMPUTED_VALUE"""),"ALI AL-HAMADI")</f>
        <v>ALI AL-HAMADI</v>
      </c>
      <c r="E722" s="5">
        <f>IFERROR(__xludf.DUMMYFUNCTION("""COMPUTED_VALUE"""),0.0)</f>
        <v>0</v>
      </c>
    </row>
    <row r="723">
      <c r="A723" s="5" t="str">
        <f>IFERROR(__xludf.DUMMYFUNCTION("""COMPUTED_VALUE"""),"IRQ19")</f>
        <v>IRQ19</v>
      </c>
      <c r="B723" s="5" t="str">
        <f>IFERROR(__xludf.DUMMYFUNCTION("""COMPUTED_VALUE"""),"IRAQ")</f>
        <v>IRAQ</v>
      </c>
      <c r="C723" s="5" t="str">
        <f>IFERROR(__xludf.DUMMYFUNCTION("""COMPUTED_VALUE"""),"NORMAL")</f>
        <v>NORMAL</v>
      </c>
      <c r="D723" s="5" t="str">
        <f>IFERROR(__xludf.DUMMYFUNCTION("""COMPUTED_VALUE"""),"AYMEN HUSSEIN")</f>
        <v>AYMEN HUSSEIN</v>
      </c>
      <c r="E723" s="5">
        <f>IFERROR(__xludf.DUMMYFUNCTION("""COMPUTED_VALUE"""),0.0)</f>
        <v>0</v>
      </c>
    </row>
    <row r="724">
      <c r="A724" s="5" t="str">
        <f>IFERROR(__xludf.DUMMYFUNCTION("""COMPUTED_VALUE"""),"IRQ20")</f>
        <v>IRQ20</v>
      </c>
      <c r="B724" s="5" t="str">
        <f>IFERROR(__xludf.DUMMYFUNCTION("""COMPUTED_VALUE"""),"IRAQ")</f>
        <v>IRAQ</v>
      </c>
      <c r="C724" s="5" t="str">
        <f>IFERROR(__xludf.DUMMYFUNCTION("""COMPUTED_VALUE"""),"NORMAL")</f>
        <v>NORMAL</v>
      </c>
      <c r="D724" s="5" t="str">
        <f>IFERROR(__xludf.DUMMYFUNCTION("""COMPUTED_VALUE"""),"MOHANAD ALI")</f>
        <v>MOHANAD ALI</v>
      </c>
      <c r="E724" s="5">
        <f>IFERROR(__xludf.DUMMYFUNCTION("""COMPUTED_VALUE"""),0.0)</f>
        <v>0</v>
      </c>
    </row>
    <row r="725">
      <c r="A725" s="5" t="str">
        <f>IFERROR(__xludf.DUMMYFUNCTION("""COMPUTED_VALUE"""),"NOR01")</f>
        <v>NOR01</v>
      </c>
      <c r="B725" s="5" t="str">
        <f>IFERROR(__xludf.DUMMYFUNCTION("""COMPUTED_VALUE"""),"NORWAY")</f>
        <v>NORWAY</v>
      </c>
      <c r="C725" s="5" t="str">
        <f>IFERROR(__xludf.DUMMYFUNCTION("""COMPUTED_VALUE"""),"BADGE")</f>
        <v>BADGE</v>
      </c>
      <c r="D725" s="5" t="str">
        <f>IFERROR(__xludf.DUMMYFUNCTION("""COMPUTED_VALUE"""),"NORWAY NATIONAL TEAM")</f>
        <v>NORWAY NATIONAL TEAM</v>
      </c>
      <c r="E725" s="5">
        <f>IFERROR(__xludf.DUMMYFUNCTION("""COMPUTED_VALUE"""),0.0)</f>
        <v>0</v>
      </c>
    </row>
    <row r="726">
      <c r="A726" s="5" t="str">
        <f>IFERROR(__xludf.DUMMYFUNCTION("""COMPUTED_VALUE"""),"NOR02")</f>
        <v>NOR02</v>
      </c>
      <c r="B726" s="5" t="str">
        <f>IFERROR(__xludf.DUMMYFUNCTION("""COMPUTED_VALUE"""),"NORWAY")</f>
        <v>NORWAY</v>
      </c>
      <c r="C726" s="5" t="str">
        <f>IFERROR(__xludf.DUMMYFUNCTION("""COMPUTED_VALUE"""),"NORMAL")</f>
        <v>NORMAL</v>
      </c>
      <c r="D726" s="5" t="str">
        <f>IFERROR(__xludf.DUMMYFUNCTION("""COMPUTED_VALUE"""),"ORJAN NYLAND")</f>
        <v>ORJAN NYLAND</v>
      </c>
      <c r="E726" s="5">
        <f>IFERROR(__xludf.DUMMYFUNCTION("""COMPUTED_VALUE"""),0.0)</f>
        <v>0</v>
      </c>
    </row>
    <row r="727">
      <c r="A727" s="5" t="str">
        <f>IFERROR(__xludf.DUMMYFUNCTION("""COMPUTED_VALUE"""),"NOR03")</f>
        <v>NOR03</v>
      </c>
      <c r="B727" s="5" t="str">
        <f>IFERROR(__xludf.DUMMYFUNCTION("""COMPUTED_VALUE"""),"NORWAY")</f>
        <v>NORWAY</v>
      </c>
      <c r="C727" s="5" t="str">
        <f>IFERROR(__xludf.DUMMYFUNCTION("""COMPUTED_VALUE"""),"NORMAL")</f>
        <v>NORMAL</v>
      </c>
      <c r="D727" s="5" t="str">
        <f>IFERROR(__xludf.DUMMYFUNCTION("""COMPUTED_VALUE"""),"JULIAN RYERSON")</f>
        <v>JULIAN RYERSON</v>
      </c>
      <c r="E727" s="5">
        <f>IFERROR(__xludf.DUMMYFUNCTION("""COMPUTED_VALUE"""),0.0)</f>
        <v>0</v>
      </c>
    </row>
    <row r="728">
      <c r="A728" s="5" t="str">
        <f>IFERROR(__xludf.DUMMYFUNCTION("""COMPUTED_VALUE"""),"NOR04")</f>
        <v>NOR04</v>
      </c>
      <c r="B728" s="5" t="str">
        <f>IFERROR(__xludf.DUMMYFUNCTION("""COMPUTED_VALUE"""),"NORWAY")</f>
        <v>NORWAY</v>
      </c>
      <c r="C728" s="5" t="str">
        <f>IFERROR(__xludf.DUMMYFUNCTION("""COMPUTED_VALUE"""),"NORMAL")</f>
        <v>NORMAL</v>
      </c>
      <c r="D728" s="5" t="str">
        <f>IFERROR(__xludf.DUMMYFUNCTION("""COMPUTED_VALUE"""),"LEO OSTIGARD")</f>
        <v>LEO OSTIGARD</v>
      </c>
      <c r="E728" s="5">
        <f>IFERROR(__xludf.DUMMYFUNCTION("""COMPUTED_VALUE"""),0.0)</f>
        <v>0</v>
      </c>
    </row>
    <row r="729">
      <c r="A729" s="5" t="str">
        <f>IFERROR(__xludf.DUMMYFUNCTION("""COMPUTED_VALUE"""),"NOR05")</f>
        <v>NOR05</v>
      </c>
      <c r="B729" s="5" t="str">
        <f>IFERROR(__xludf.DUMMYFUNCTION("""COMPUTED_VALUE"""),"NORWAY")</f>
        <v>NORWAY</v>
      </c>
      <c r="C729" s="5" t="str">
        <f>IFERROR(__xludf.DUMMYFUNCTION("""COMPUTED_VALUE"""),"NORMAL")</f>
        <v>NORMAL</v>
      </c>
      <c r="D729" s="5" t="str">
        <f>IFERROR(__xludf.DUMMYFUNCTION("""COMPUTED_VALUE"""),"KRISTOFFER VASSBAKK AJER")</f>
        <v>KRISTOFFER VASSBAKK AJER</v>
      </c>
      <c r="E729" s="5">
        <f>IFERROR(__xludf.DUMMYFUNCTION("""COMPUTED_VALUE"""),0.0)</f>
        <v>0</v>
      </c>
    </row>
    <row r="730">
      <c r="A730" s="5" t="str">
        <f>IFERROR(__xludf.DUMMYFUNCTION("""COMPUTED_VALUE"""),"NOR06")</f>
        <v>NOR06</v>
      </c>
      <c r="B730" s="5" t="str">
        <f>IFERROR(__xludf.DUMMYFUNCTION("""COMPUTED_VALUE"""),"NORWAY")</f>
        <v>NORWAY</v>
      </c>
      <c r="C730" s="5" t="str">
        <f>IFERROR(__xludf.DUMMYFUNCTION("""COMPUTED_VALUE"""),"NORMAL")</f>
        <v>NORMAL</v>
      </c>
      <c r="D730" s="5" t="str">
        <f>IFERROR(__xludf.DUMMYFUNCTION("""COMPUTED_VALUE"""),"MARCUS HOLMGREN PEDERSEN")</f>
        <v>MARCUS HOLMGREN PEDERSEN</v>
      </c>
      <c r="E730" s="5">
        <f>IFERROR(__xludf.DUMMYFUNCTION("""COMPUTED_VALUE"""),0.0)</f>
        <v>0</v>
      </c>
    </row>
    <row r="731">
      <c r="A731" s="5" t="str">
        <f>IFERROR(__xludf.DUMMYFUNCTION("""COMPUTED_VALUE"""),"NOR07")</f>
        <v>NOR07</v>
      </c>
      <c r="B731" s="5" t="str">
        <f>IFERROR(__xludf.DUMMYFUNCTION("""COMPUTED_VALUE"""),"NORWAY")</f>
        <v>NORWAY</v>
      </c>
      <c r="C731" s="5" t="str">
        <f>IFERROR(__xludf.DUMMYFUNCTION("""COMPUTED_VALUE"""),"NORMAL")</f>
        <v>NORMAL</v>
      </c>
      <c r="D731" s="5" t="str">
        <f>IFERROR(__xludf.DUMMYFUNCTION("""COMPUTED_VALUE"""),"DAVID MOLLER WOLFE")</f>
        <v>DAVID MOLLER WOLFE</v>
      </c>
      <c r="E731" s="5">
        <f>IFERROR(__xludf.DUMMYFUNCTION("""COMPUTED_VALUE"""),0.0)</f>
        <v>0</v>
      </c>
    </row>
    <row r="732">
      <c r="A732" s="5" t="str">
        <f>IFERROR(__xludf.DUMMYFUNCTION("""COMPUTED_VALUE"""),"NOR08")</f>
        <v>NOR08</v>
      </c>
      <c r="B732" s="5" t="str">
        <f>IFERROR(__xludf.DUMMYFUNCTION("""COMPUTED_VALUE"""),"NORWAY")</f>
        <v>NORWAY</v>
      </c>
      <c r="C732" s="5" t="str">
        <f>IFERROR(__xludf.DUMMYFUNCTION("""COMPUTED_VALUE"""),"NORMAL")</f>
        <v>NORMAL</v>
      </c>
      <c r="D732" s="5" t="str">
        <f>IFERROR(__xludf.DUMMYFUNCTION("""COMPUTED_VALUE"""),"TORBJORN HEGGEM")</f>
        <v>TORBJORN HEGGEM</v>
      </c>
      <c r="E732" s="5">
        <f>IFERROR(__xludf.DUMMYFUNCTION("""COMPUTED_VALUE"""),0.0)</f>
        <v>0</v>
      </c>
    </row>
    <row r="733">
      <c r="A733" s="5" t="str">
        <f>IFERROR(__xludf.DUMMYFUNCTION("""COMPUTED_VALUE"""),"NOR09")</f>
        <v>NOR09</v>
      </c>
      <c r="B733" s="5" t="str">
        <f>IFERROR(__xludf.DUMMYFUNCTION("""COMPUTED_VALUE"""),"NORWAY")</f>
        <v>NORWAY</v>
      </c>
      <c r="C733" s="5" t="str">
        <f>IFERROR(__xludf.DUMMYFUNCTION("""COMPUTED_VALUE"""),"NORMAL")</f>
        <v>NORMAL</v>
      </c>
      <c r="D733" s="5" t="str">
        <f>IFERROR(__xludf.DUMMYFUNCTION("""COMPUTED_VALUE"""),"MORTEN THORSBY")</f>
        <v>MORTEN THORSBY</v>
      </c>
      <c r="E733" s="5">
        <f>IFERROR(__xludf.DUMMYFUNCTION("""COMPUTED_VALUE"""),0.0)</f>
        <v>0</v>
      </c>
    </row>
    <row r="734">
      <c r="A734" s="5" t="str">
        <f>IFERROR(__xludf.DUMMYFUNCTION("""COMPUTED_VALUE"""),"NOR10")</f>
        <v>NOR10</v>
      </c>
      <c r="B734" s="5" t="str">
        <f>IFERROR(__xludf.DUMMYFUNCTION("""COMPUTED_VALUE"""),"NORWAY")</f>
        <v>NORWAY</v>
      </c>
      <c r="C734" s="5" t="str">
        <f>IFERROR(__xludf.DUMMYFUNCTION("""COMPUTED_VALUE"""),"NORMAL")</f>
        <v>NORMAL</v>
      </c>
      <c r="D734" s="5" t="str">
        <f>IFERROR(__xludf.DUMMYFUNCTION("""COMPUTED_VALUE"""),"MARTIN ODEGAARD")</f>
        <v>MARTIN ODEGAARD</v>
      </c>
      <c r="E734" s="5">
        <f>IFERROR(__xludf.DUMMYFUNCTION("""COMPUTED_VALUE"""),0.0)</f>
        <v>0</v>
      </c>
    </row>
    <row r="735">
      <c r="A735" s="5" t="str">
        <f>IFERROR(__xludf.DUMMYFUNCTION("""COMPUTED_VALUE"""),"NOR11")</f>
        <v>NOR11</v>
      </c>
      <c r="B735" s="5" t="str">
        <f>IFERROR(__xludf.DUMMYFUNCTION("""COMPUTED_VALUE"""),"NORWAY")</f>
        <v>NORWAY</v>
      </c>
      <c r="C735" s="5" t="str">
        <f>IFERROR(__xludf.DUMMYFUNCTION("""COMPUTED_VALUE"""),"NORMAL")</f>
        <v>NORMAL</v>
      </c>
      <c r="D735" s="5" t="str">
        <f>IFERROR(__xludf.DUMMYFUNCTION("""COMPUTED_VALUE"""),"SANDER BERGE")</f>
        <v>SANDER BERGE</v>
      </c>
      <c r="E735" s="5">
        <f>IFERROR(__xludf.DUMMYFUNCTION("""COMPUTED_VALUE"""),0.0)</f>
        <v>0</v>
      </c>
    </row>
    <row r="736">
      <c r="A736" s="5" t="str">
        <f>IFERROR(__xludf.DUMMYFUNCTION("""COMPUTED_VALUE"""),"NOR12")</f>
        <v>NOR12</v>
      </c>
      <c r="B736" s="5" t="str">
        <f>IFERROR(__xludf.DUMMYFUNCTION("""COMPUTED_VALUE"""),"NORWAY")</f>
        <v>NORWAY</v>
      </c>
      <c r="C736" s="5" t="str">
        <f>IFERROR(__xludf.DUMMYFUNCTION("""COMPUTED_VALUE"""),"NORMAL")</f>
        <v>NORMAL</v>
      </c>
      <c r="D736" s="5" t="str">
        <f>IFERROR(__xludf.DUMMYFUNCTION("""COMPUTED_VALUE"""),"ANDREAS SCHJELDERUP")</f>
        <v>ANDREAS SCHJELDERUP</v>
      </c>
      <c r="E736" s="5">
        <f>IFERROR(__xludf.DUMMYFUNCTION("""COMPUTED_VALUE"""),0.0)</f>
        <v>0</v>
      </c>
    </row>
    <row r="737">
      <c r="A737" s="5" t="str">
        <f>IFERROR(__xludf.DUMMYFUNCTION("""COMPUTED_VALUE"""),"NOR13")</f>
        <v>NOR13</v>
      </c>
      <c r="B737" s="5" t="str">
        <f>IFERROR(__xludf.DUMMYFUNCTION("""COMPUTED_VALUE"""),"NORWAY")</f>
        <v>NORWAY</v>
      </c>
      <c r="C737" s="5" t="str">
        <f>IFERROR(__xludf.DUMMYFUNCTION("""COMPUTED_VALUE"""),"TEAM")</f>
        <v>TEAM</v>
      </c>
      <c r="D737" s="5" t="str">
        <f>IFERROR(__xludf.DUMMYFUNCTION("""COMPUTED_VALUE"""),"NORWAY NATIONAL TEAM")</f>
        <v>NORWAY NATIONAL TEAM</v>
      </c>
      <c r="E737" s="5">
        <f>IFERROR(__xludf.DUMMYFUNCTION("""COMPUTED_VALUE"""),0.0)</f>
        <v>0</v>
      </c>
    </row>
    <row r="738">
      <c r="A738" s="5" t="str">
        <f>IFERROR(__xludf.DUMMYFUNCTION("""COMPUTED_VALUE"""),"NOR14")</f>
        <v>NOR14</v>
      </c>
      <c r="B738" s="5" t="str">
        <f>IFERROR(__xludf.DUMMYFUNCTION("""COMPUTED_VALUE"""),"NORWAY")</f>
        <v>NORWAY</v>
      </c>
      <c r="C738" s="5" t="str">
        <f>IFERROR(__xludf.DUMMYFUNCTION("""COMPUTED_VALUE"""),"NORMAL")</f>
        <v>NORMAL</v>
      </c>
      <c r="D738" s="5" t="str">
        <f>IFERROR(__xludf.DUMMYFUNCTION("""COMPUTED_VALUE"""),"PATRICK BERG")</f>
        <v>PATRICK BERG</v>
      </c>
      <c r="E738" s="5">
        <f>IFERROR(__xludf.DUMMYFUNCTION("""COMPUTED_VALUE"""),0.0)</f>
        <v>0</v>
      </c>
    </row>
    <row r="739">
      <c r="A739" s="5" t="str">
        <f>IFERROR(__xludf.DUMMYFUNCTION("""COMPUTED_VALUE"""),"NOR15")</f>
        <v>NOR15</v>
      </c>
      <c r="B739" s="5" t="str">
        <f>IFERROR(__xludf.DUMMYFUNCTION("""COMPUTED_VALUE"""),"NORWAY")</f>
        <v>NORWAY</v>
      </c>
      <c r="C739" s="5" t="str">
        <f>IFERROR(__xludf.DUMMYFUNCTION("""COMPUTED_VALUE"""),"NORMAL")</f>
        <v>NORMAL</v>
      </c>
      <c r="D739" s="5" t="str">
        <f>IFERROR(__xludf.DUMMYFUNCTION("""COMPUTED_VALUE"""),"ERLING HAALAND")</f>
        <v>ERLING HAALAND</v>
      </c>
      <c r="E739" s="5">
        <f>IFERROR(__xludf.DUMMYFUNCTION("""COMPUTED_VALUE"""),0.0)</f>
        <v>0</v>
      </c>
    </row>
    <row r="740">
      <c r="A740" s="5" t="str">
        <f>IFERROR(__xludf.DUMMYFUNCTION("""COMPUTED_VALUE"""),"NOR16")</f>
        <v>NOR16</v>
      </c>
      <c r="B740" s="5" t="str">
        <f>IFERROR(__xludf.DUMMYFUNCTION("""COMPUTED_VALUE"""),"NORWAY")</f>
        <v>NORWAY</v>
      </c>
      <c r="C740" s="5" t="str">
        <f>IFERROR(__xludf.DUMMYFUNCTION("""COMPUTED_VALUE"""),"NORMAL")</f>
        <v>NORMAL</v>
      </c>
      <c r="D740" s="5" t="str">
        <f>IFERROR(__xludf.DUMMYFUNCTION("""COMPUTED_VALUE"""),"ALEXANDER SORLOTH")</f>
        <v>ALEXANDER SORLOTH</v>
      </c>
      <c r="E740" s="5">
        <f>IFERROR(__xludf.DUMMYFUNCTION("""COMPUTED_VALUE"""),0.0)</f>
        <v>0</v>
      </c>
    </row>
    <row r="741">
      <c r="A741" s="5" t="str">
        <f>IFERROR(__xludf.DUMMYFUNCTION("""COMPUTED_VALUE"""),"NOR17")</f>
        <v>NOR17</v>
      </c>
      <c r="B741" s="5" t="str">
        <f>IFERROR(__xludf.DUMMYFUNCTION("""COMPUTED_VALUE"""),"NORWAY")</f>
        <v>NORWAY</v>
      </c>
      <c r="C741" s="5" t="str">
        <f>IFERROR(__xludf.DUMMYFUNCTION("""COMPUTED_VALUE"""),"NORMAL")</f>
        <v>NORMAL</v>
      </c>
      <c r="D741" s="5" t="str">
        <f>IFERROR(__xludf.DUMMYFUNCTION("""COMPUTED_VALUE"""),"ARON DONNUM")</f>
        <v>ARON DONNUM</v>
      </c>
      <c r="E741" s="5">
        <f>IFERROR(__xludf.DUMMYFUNCTION("""COMPUTED_VALUE"""),0.0)</f>
        <v>0</v>
      </c>
    </row>
    <row r="742">
      <c r="A742" s="5" t="str">
        <f>IFERROR(__xludf.DUMMYFUNCTION("""COMPUTED_VALUE"""),"NOR18")</f>
        <v>NOR18</v>
      </c>
      <c r="B742" s="5" t="str">
        <f>IFERROR(__xludf.DUMMYFUNCTION("""COMPUTED_VALUE"""),"NORWAY")</f>
        <v>NORWAY</v>
      </c>
      <c r="C742" s="5" t="str">
        <f>IFERROR(__xludf.DUMMYFUNCTION("""COMPUTED_VALUE"""),"NORMAL")</f>
        <v>NORMAL</v>
      </c>
      <c r="D742" s="5" t="str">
        <f>IFERROR(__xludf.DUMMYFUNCTION("""COMPUTED_VALUE"""),"JORGEN STRAND LARSEN")</f>
        <v>JORGEN STRAND LARSEN</v>
      </c>
      <c r="E742" s="5">
        <f>IFERROR(__xludf.DUMMYFUNCTION("""COMPUTED_VALUE"""),0.0)</f>
        <v>0</v>
      </c>
    </row>
    <row r="743">
      <c r="A743" s="5" t="str">
        <f>IFERROR(__xludf.DUMMYFUNCTION("""COMPUTED_VALUE"""),"NOR19")</f>
        <v>NOR19</v>
      </c>
      <c r="B743" s="5" t="str">
        <f>IFERROR(__xludf.DUMMYFUNCTION("""COMPUTED_VALUE"""),"NORWAY")</f>
        <v>NORWAY</v>
      </c>
      <c r="C743" s="5" t="str">
        <f>IFERROR(__xludf.DUMMYFUNCTION("""COMPUTED_VALUE"""),"NORMAL")</f>
        <v>NORMAL</v>
      </c>
      <c r="D743" s="5" t="str">
        <f>IFERROR(__xludf.DUMMYFUNCTION("""COMPUTED_VALUE"""),"ANTONIO NUSA")</f>
        <v>ANTONIO NUSA</v>
      </c>
      <c r="E743" s="5">
        <f>IFERROR(__xludf.DUMMYFUNCTION("""COMPUTED_VALUE"""),0.0)</f>
        <v>0</v>
      </c>
    </row>
    <row r="744">
      <c r="A744" s="5" t="str">
        <f>IFERROR(__xludf.DUMMYFUNCTION("""COMPUTED_VALUE"""),"NOR20")</f>
        <v>NOR20</v>
      </c>
      <c r="B744" s="5" t="str">
        <f>IFERROR(__xludf.DUMMYFUNCTION("""COMPUTED_VALUE"""),"NORWAY")</f>
        <v>NORWAY</v>
      </c>
      <c r="C744" s="5" t="str">
        <f>IFERROR(__xludf.DUMMYFUNCTION("""COMPUTED_VALUE"""),"NORMAL")</f>
        <v>NORMAL</v>
      </c>
      <c r="D744" s="5" t="str">
        <f>IFERROR(__xludf.DUMMYFUNCTION("""COMPUTED_VALUE"""),"OSCAR BOBB")</f>
        <v>OSCAR BOBB</v>
      </c>
      <c r="E744" s="5">
        <f>IFERROR(__xludf.DUMMYFUNCTION("""COMPUTED_VALUE"""),0.0)</f>
        <v>0</v>
      </c>
    </row>
    <row r="745">
      <c r="A745" s="5" t="str">
        <f>IFERROR(__xludf.DUMMYFUNCTION("""COMPUTED_VALUE"""),"ARG01")</f>
        <v>ARG01</v>
      </c>
      <c r="B745" s="5" t="str">
        <f>IFERROR(__xludf.DUMMYFUNCTION("""COMPUTED_VALUE"""),"ARGENTINA")</f>
        <v>ARGENTINA</v>
      </c>
      <c r="C745" s="5" t="str">
        <f>IFERROR(__xludf.DUMMYFUNCTION("""COMPUTED_VALUE"""),"BADGE")</f>
        <v>BADGE</v>
      </c>
      <c r="D745" s="5" t="str">
        <f>IFERROR(__xludf.DUMMYFUNCTION("""COMPUTED_VALUE"""),"ARGENTINA NATIONAL TEAM")</f>
        <v>ARGENTINA NATIONAL TEAM</v>
      </c>
      <c r="E745" s="5">
        <f>IFERROR(__xludf.DUMMYFUNCTION("""COMPUTED_VALUE"""),0.0)</f>
        <v>0</v>
      </c>
    </row>
    <row r="746">
      <c r="A746" s="5" t="str">
        <f>IFERROR(__xludf.DUMMYFUNCTION("""COMPUTED_VALUE"""),"ARG02")</f>
        <v>ARG02</v>
      </c>
      <c r="B746" s="5" t="str">
        <f>IFERROR(__xludf.DUMMYFUNCTION("""COMPUTED_VALUE"""),"ARGENTINA")</f>
        <v>ARGENTINA</v>
      </c>
      <c r="C746" s="5" t="str">
        <f>IFERROR(__xludf.DUMMYFUNCTION("""COMPUTED_VALUE"""),"NORMAL")</f>
        <v>NORMAL</v>
      </c>
      <c r="D746" s="5" t="str">
        <f>IFERROR(__xludf.DUMMYFUNCTION("""COMPUTED_VALUE"""),"EMILIANO MARTINEZ")</f>
        <v>EMILIANO MARTINEZ</v>
      </c>
      <c r="E746" s="5">
        <f>IFERROR(__xludf.DUMMYFUNCTION("""COMPUTED_VALUE"""),0.0)</f>
        <v>0</v>
      </c>
    </row>
    <row r="747">
      <c r="A747" s="5" t="str">
        <f>IFERROR(__xludf.DUMMYFUNCTION("""COMPUTED_VALUE"""),"ARG03")</f>
        <v>ARG03</v>
      </c>
      <c r="B747" s="5" t="str">
        <f>IFERROR(__xludf.DUMMYFUNCTION("""COMPUTED_VALUE"""),"ARGENTINA")</f>
        <v>ARGENTINA</v>
      </c>
      <c r="C747" s="5" t="str">
        <f>IFERROR(__xludf.DUMMYFUNCTION("""COMPUTED_VALUE"""),"NORMAL")</f>
        <v>NORMAL</v>
      </c>
      <c r="D747" s="5" t="str">
        <f>IFERROR(__xludf.DUMMYFUNCTION("""COMPUTED_VALUE"""),"NAHUEL MOLINA")</f>
        <v>NAHUEL MOLINA</v>
      </c>
      <c r="E747" s="5">
        <f>IFERROR(__xludf.DUMMYFUNCTION("""COMPUTED_VALUE"""),0.0)</f>
        <v>0</v>
      </c>
    </row>
    <row r="748">
      <c r="A748" s="5" t="str">
        <f>IFERROR(__xludf.DUMMYFUNCTION("""COMPUTED_VALUE"""),"ARG04")</f>
        <v>ARG04</v>
      </c>
      <c r="B748" s="5" t="str">
        <f>IFERROR(__xludf.DUMMYFUNCTION("""COMPUTED_VALUE"""),"ARGENTINA")</f>
        <v>ARGENTINA</v>
      </c>
      <c r="C748" s="5" t="str">
        <f>IFERROR(__xludf.DUMMYFUNCTION("""COMPUTED_VALUE"""),"NORMAL")</f>
        <v>NORMAL</v>
      </c>
      <c r="D748" s="5" t="str">
        <f>IFERROR(__xludf.DUMMYFUNCTION("""COMPUTED_VALUE"""),"CRISTIAN ROMERO")</f>
        <v>CRISTIAN ROMERO</v>
      </c>
      <c r="E748" s="5">
        <f>IFERROR(__xludf.DUMMYFUNCTION("""COMPUTED_VALUE"""),0.0)</f>
        <v>0</v>
      </c>
    </row>
    <row r="749">
      <c r="A749" s="5" t="str">
        <f>IFERROR(__xludf.DUMMYFUNCTION("""COMPUTED_VALUE"""),"ARG05")</f>
        <v>ARG05</v>
      </c>
      <c r="B749" s="5" t="str">
        <f>IFERROR(__xludf.DUMMYFUNCTION("""COMPUTED_VALUE"""),"ARGENTINA")</f>
        <v>ARGENTINA</v>
      </c>
      <c r="C749" s="5" t="str">
        <f>IFERROR(__xludf.DUMMYFUNCTION("""COMPUTED_VALUE"""),"NORMAL")</f>
        <v>NORMAL</v>
      </c>
      <c r="D749" s="5" t="str">
        <f>IFERROR(__xludf.DUMMYFUNCTION("""COMPUTED_VALUE"""),"NICOLAS OTAMENDI")</f>
        <v>NICOLAS OTAMENDI</v>
      </c>
      <c r="E749" s="5">
        <f>IFERROR(__xludf.DUMMYFUNCTION("""COMPUTED_VALUE"""),0.0)</f>
        <v>0</v>
      </c>
    </row>
    <row r="750">
      <c r="A750" s="5" t="str">
        <f>IFERROR(__xludf.DUMMYFUNCTION("""COMPUTED_VALUE"""),"ARG06")</f>
        <v>ARG06</v>
      </c>
      <c r="B750" s="5" t="str">
        <f>IFERROR(__xludf.DUMMYFUNCTION("""COMPUTED_VALUE"""),"ARGENTINA")</f>
        <v>ARGENTINA</v>
      </c>
      <c r="C750" s="5" t="str">
        <f>IFERROR(__xludf.DUMMYFUNCTION("""COMPUTED_VALUE"""),"NORMAL")</f>
        <v>NORMAL</v>
      </c>
      <c r="D750" s="5" t="str">
        <f>IFERROR(__xludf.DUMMYFUNCTION("""COMPUTED_VALUE"""),"NICOLAS TAGLIAFICO")</f>
        <v>NICOLAS TAGLIAFICO</v>
      </c>
      <c r="E750" s="5">
        <f>IFERROR(__xludf.DUMMYFUNCTION("""COMPUTED_VALUE"""),0.0)</f>
        <v>0</v>
      </c>
    </row>
    <row r="751">
      <c r="A751" s="5" t="str">
        <f>IFERROR(__xludf.DUMMYFUNCTION("""COMPUTED_VALUE"""),"ARG07")</f>
        <v>ARG07</v>
      </c>
      <c r="B751" s="5" t="str">
        <f>IFERROR(__xludf.DUMMYFUNCTION("""COMPUTED_VALUE"""),"ARGENTINA")</f>
        <v>ARGENTINA</v>
      </c>
      <c r="C751" s="5" t="str">
        <f>IFERROR(__xludf.DUMMYFUNCTION("""COMPUTED_VALUE"""),"NORMAL")</f>
        <v>NORMAL</v>
      </c>
      <c r="D751" s="5" t="str">
        <f>IFERROR(__xludf.DUMMYFUNCTION("""COMPUTED_VALUE"""),"LEONARDO BALERDI")</f>
        <v>LEONARDO BALERDI</v>
      </c>
      <c r="E751" s="5">
        <f>IFERROR(__xludf.DUMMYFUNCTION("""COMPUTED_VALUE"""),0.0)</f>
        <v>0</v>
      </c>
    </row>
    <row r="752">
      <c r="A752" s="5" t="str">
        <f>IFERROR(__xludf.DUMMYFUNCTION("""COMPUTED_VALUE"""),"ARG08")</f>
        <v>ARG08</v>
      </c>
      <c r="B752" s="5" t="str">
        <f>IFERROR(__xludf.DUMMYFUNCTION("""COMPUTED_VALUE"""),"ARGENTINA")</f>
        <v>ARGENTINA</v>
      </c>
      <c r="C752" s="5" t="str">
        <f>IFERROR(__xludf.DUMMYFUNCTION("""COMPUTED_VALUE"""),"NORMAL")</f>
        <v>NORMAL</v>
      </c>
      <c r="D752" s="5" t="str">
        <f>IFERROR(__xludf.DUMMYFUNCTION("""COMPUTED_VALUE"""),"ENZO FERNANDEZ")</f>
        <v>ENZO FERNANDEZ</v>
      </c>
      <c r="E752" s="5">
        <f>IFERROR(__xludf.DUMMYFUNCTION("""COMPUTED_VALUE"""),0.0)</f>
        <v>0</v>
      </c>
    </row>
    <row r="753">
      <c r="A753" s="5" t="str">
        <f>IFERROR(__xludf.DUMMYFUNCTION("""COMPUTED_VALUE"""),"ARG09")</f>
        <v>ARG09</v>
      </c>
      <c r="B753" s="5" t="str">
        <f>IFERROR(__xludf.DUMMYFUNCTION("""COMPUTED_VALUE"""),"ARGENTINA")</f>
        <v>ARGENTINA</v>
      </c>
      <c r="C753" s="5" t="str">
        <f>IFERROR(__xludf.DUMMYFUNCTION("""COMPUTED_VALUE"""),"NORMAL")</f>
        <v>NORMAL</v>
      </c>
      <c r="D753" s="5" t="str">
        <f>IFERROR(__xludf.DUMMYFUNCTION("""COMPUTED_VALUE"""),"ALEXIS MAC ALLISTER")</f>
        <v>ALEXIS MAC ALLISTER</v>
      </c>
      <c r="E753" s="5">
        <f>IFERROR(__xludf.DUMMYFUNCTION("""COMPUTED_VALUE"""),0.0)</f>
        <v>0</v>
      </c>
    </row>
    <row r="754">
      <c r="A754" s="5" t="str">
        <f>IFERROR(__xludf.DUMMYFUNCTION("""COMPUTED_VALUE"""),"ARG10")</f>
        <v>ARG10</v>
      </c>
      <c r="B754" s="5" t="str">
        <f>IFERROR(__xludf.DUMMYFUNCTION("""COMPUTED_VALUE"""),"ARGENTINA")</f>
        <v>ARGENTINA</v>
      </c>
      <c r="C754" s="5" t="str">
        <f>IFERROR(__xludf.DUMMYFUNCTION("""COMPUTED_VALUE"""),"NORMAL")</f>
        <v>NORMAL</v>
      </c>
      <c r="D754" s="5" t="str">
        <f>IFERROR(__xludf.DUMMYFUNCTION("""COMPUTED_VALUE"""),"RODRIGO DE PAUL")</f>
        <v>RODRIGO DE PAUL</v>
      </c>
      <c r="E754" s="5">
        <f>IFERROR(__xludf.DUMMYFUNCTION("""COMPUTED_VALUE"""),0.0)</f>
        <v>0</v>
      </c>
    </row>
    <row r="755">
      <c r="A755" s="5" t="str">
        <f>IFERROR(__xludf.DUMMYFUNCTION("""COMPUTED_VALUE"""),"ARG11")</f>
        <v>ARG11</v>
      </c>
      <c r="B755" s="5" t="str">
        <f>IFERROR(__xludf.DUMMYFUNCTION("""COMPUTED_VALUE"""),"ARGENTINA")</f>
        <v>ARGENTINA</v>
      </c>
      <c r="C755" s="5" t="str">
        <f>IFERROR(__xludf.DUMMYFUNCTION("""COMPUTED_VALUE"""),"NORMAL")</f>
        <v>NORMAL</v>
      </c>
      <c r="D755" s="5" t="str">
        <f>IFERROR(__xludf.DUMMYFUNCTION("""COMPUTED_VALUE"""),"EXEQUIEL PALACIOS")</f>
        <v>EXEQUIEL PALACIOS</v>
      </c>
      <c r="E755" s="5">
        <f>IFERROR(__xludf.DUMMYFUNCTION("""COMPUTED_VALUE"""),0.0)</f>
        <v>0</v>
      </c>
    </row>
    <row r="756">
      <c r="A756" s="5" t="str">
        <f>IFERROR(__xludf.DUMMYFUNCTION("""COMPUTED_VALUE"""),"ARG12")</f>
        <v>ARG12</v>
      </c>
      <c r="B756" s="5" t="str">
        <f>IFERROR(__xludf.DUMMYFUNCTION("""COMPUTED_VALUE"""),"ARGENTINA")</f>
        <v>ARGENTINA</v>
      </c>
      <c r="C756" s="5" t="str">
        <f>IFERROR(__xludf.DUMMYFUNCTION("""COMPUTED_VALUE"""),"NORMAL")</f>
        <v>NORMAL</v>
      </c>
      <c r="D756" s="5" t="str">
        <f>IFERROR(__xludf.DUMMYFUNCTION("""COMPUTED_VALUE"""),"LEANDRO PAREDES")</f>
        <v>LEANDRO PAREDES</v>
      </c>
      <c r="E756" s="5">
        <f>IFERROR(__xludf.DUMMYFUNCTION("""COMPUTED_VALUE"""),0.0)</f>
        <v>0</v>
      </c>
    </row>
    <row r="757">
      <c r="A757" s="5" t="str">
        <f>IFERROR(__xludf.DUMMYFUNCTION("""COMPUTED_VALUE"""),"ARG13")</f>
        <v>ARG13</v>
      </c>
      <c r="B757" s="5" t="str">
        <f>IFERROR(__xludf.DUMMYFUNCTION("""COMPUTED_VALUE"""),"ARGENTINA")</f>
        <v>ARGENTINA</v>
      </c>
      <c r="C757" s="5" t="str">
        <f>IFERROR(__xludf.DUMMYFUNCTION("""COMPUTED_VALUE"""),"TEAM")</f>
        <v>TEAM</v>
      </c>
      <c r="D757" s="5" t="str">
        <f>IFERROR(__xludf.DUMMYFUNCTION("""COMPUTED_VALUE"""),"ARGENTINA NATIONAL TEAM")</f>
        <v>ARGENTINA NATIONAL TEAM</v>
      </c>
      <c r="E757" s="5">
        <f>IFERROR(__xludf.DUMMYFUNCTION("""COMPUTED_VALUE"""),0.0)</f>
        <v>0</v>
      </c>
    </row>
    <row r="758">
      <c r="A758" s="5" t="str">
        <f>IFERROR(__xludf.DUMMYFUNCTION("""COMPUTED_VALUE"""),"ARG14")</f>
        <v>ARG14</v>
      </c>
      <c r="B758" s="5" t="str">
        <f>IFERROR(__xludf.DUMMYFUNCTION("""COMPUTED_VALUE"""),"ARGENTINA")</f>
        <v>ARGENTINA</v>
      </c>
      <c r="C758" s="5" t="str">
        <f>IFERROR(__xludf.DUMMYFUNCTION("""COMPUTED_VALUE"""),"NORMAL")</f>
        <v>NORMAL</v>
      </c>
      <c r="D758" s="5" t="str">
        <f>IFERROR(__xludf.DUMMYFUNCTION("""COMPUTED_VALUE"""),"NICO PAZ")</f>
        <v>NICO PAZ</v>
      </c>
      <c r="E758" s="5">
        <f>IFERROR(__xludf.DUMMYFUNCTION("""COMPUTED_VALUE"""),0.0)</f>
        <v>0</v>
      </c>
    </row>
    <row r="759">
      <c r="A759" s="5" t="str">
        <f>IFERROR(__xludf.DUMMYFUNCTION("""COMPUTED_VALUE"""),"ARG15")</f>
        <v>ARG15</v>
      </c>
      <c r="B759" s="5" t="str">
        <f>IFERROR(__xludf.DUMMYFUNCTION("""COMPUTED_VALUE"""),"ARGENTINA")</f>
        <v>ARGENTINA</v>
      </c>
      <c r="C759" s="5" t="str">
        <f>IFERROR(__xludf.DUMMYFUNCTION("""COMPUTED_VALUE"""),"NORMAL")</f>
        <v>NORMAL</v>
      </c>
      <c r="D759" s="5" t="str">
        <f>IFERROR(__xludf.DUMMYFUNCTION("""COMPUTED_VALUE"""),"FRANCO MASTANTUONO")</f>
        <v>FRANCO MASTANTUONO</v>
      </c>
      <c r="E759" s="5">
        <f>IFERROR(__xludf.DUMMYFUNCTION("""COMPUTED_VALUE"""),0.0)</f>
        <v>0</v>
      </c>
    </row>
    <row r="760">
      <c r="A760" s="5" t="str">
        <f>IFERROR(__xludf.DUMMYFUNCTION("""COMPUTED_VALUE"""),"ARG16")</f>
        <v>ARG16</v>
      </c>
      <c r="B760" s="5" t="str">
        <f>IFERROR(__xludf.DUMMYFUNCTION("""COMPUTED_VALUE"""),"ARGENTINA")</f>
        <v>ARGENTINA</v>
      </c>
      <c r="C760" s="5" t="str">
        <f>IFERROR(__xludf.DUMMYFUNCTION("""COMPUTED_VALUE"""),"NORMAL")</f>
        <v>NORMAL</v>
      </c>
      <c r="D760" s="5" t="str">
        <f>IFERROR(__xludf.DUMMYFUNCTION("""COMPUTED_VALUE"""),"NICO GONZALEZ")</f>
        <v>NICO GONZALEZ</v>
      </c>
      <c r="E760" s="5">
        <f>IFERROR(__xludf.DUMMYFUNCTION("""COMPUTED_VALUE"""),0.0)</f>
        <v>0</v>
      </c>
    </row>
    <row r="761">
      <c r="A761" s="5" t="str">
        <f>IFERROR(__xludf.DUMMYFUNCTION("""COMPUTED_VALUE"""),"ARG17")</f>
        <v>ARG17</v>
      </c>
      <c r="B761" s="5" t="str">
        <f>IFERROR(__xludf.DUMMYFUNCTION("""COMPUTED_VALUE"""),"ARGENTINA")</f>
        <v>ARGENTINA</v>
      </c>
      <c r="C761" s="5" t="str">
        <f>IFERROR(__xludf.DUMMYFUNCTION("""COMPUTED_VALUE"""),"NORMAL")</f>
        <v>NORMAL</v>
      </c>
      <c r="D761" s="5" t="str">
        <f>IFERROR(__xludf.DUMMYFUNCTION("""COMPUTED_VALUE"""),"LIONEL MESSI")</f>
        <v>LIONEL MESSI</v>
      </c>
      <c r="E761" s="5">
        <f>IFERROR(__xludf.DUMMYFUNCTION("""COMPUTED_VALUE"""),0.0)</f>
        <v>0</v>
      </c>
    </row>
    <row r="762">
      <c r="A762" s="5" t="str">
        <f>IFERROR(__xludf.DUMMYFUNCTION("""COMPUTED_VALUE"""),"ARG18")</f>
        <v>ARG18</v>
      </c>
      <c r="B762" s="5" t="str">
        <f>IFERROR(__xludf.DUMMYFUNCTION("""COMPUTED_VALUE"""),"ARGENTINA")</f>
        <v>ARGENTINA</v>
      </c>
      <c r="C762" s="5" t="str">
        <f>IFERROR(__xludf.DUMMYFUNCTION("""COMPUTED_VALUE"""),"NORMAL")</f>
        <v>NORMAL</v>
      </c>
      <c r="D762" s="5" t="str">
        <f>IFERROR(__xludf.DUMMYFUNCTION("""COMPUTED_VALUE"""),"LAUTARO MARTINEZ")</f>
        <v>LAUTARO MARTINEZ</v>
      </c>
      <c r="E762" s="5">
        <f>IFERROR(__xludf.DUMMYFUNCTION("""COMPUTED_VALUE"""),0.0)</f>
        <v>0</v>
      </c>
    </row>
    <row r="763">
      <c r="A763" s="5" t="str">
        <f>IFERROR(__xludf.DUMMYFUNCTION("""COMPUTED_VALUE"""),"ARG19")</f>
        <v>ARG19</v>
      </c>
      <c r="B763" s="5" t="str">
        <f>IFERROR(__xludf.DUMMYFUNCTION("""COMPUTED_VALUE"""),"ARGENTINA")</f>
        <v>ARGENTINA</v>
      </c>
      <c r="C763" s="5" t="str">
        <f>IFERROR(__xludf.DUMMYFUNCTION("""COMPUTED_VALUE"""),"NORMAL")</f>
        <v>NORMAL</v>
      </c>
      <c r="D763" s="5" t="str">
        <f>IFERROR(__xludf.DUMMYFUNCTION("""COMPUTED_VALUE"""),"JULIAN ALVAREZ")</f>
        <v>JULIAN ALVAREZ</v>
      </c>
      <c r="E763" s="5">
        <f>IFERROR(__xludf.DUMMYFUNCTION("""COMPUTED_VALUE"""),0.0)</f>
        <v>0</v>
      </c>
    </row>
    <row r="764">
      <c r="A764" s="5" t="str">
        <f>IFERROR(__xludf.DUMMYFUNCTION("""COMPUTED_VALUE"""),"ARG20")</f>
        <v>ARG20</v>
      </c>
      <c r="B764" s="5" t="str">
        <f>IFERROR(__xludf.DUMMYFUNCTION("""COMPUTED_VALUE"""),"ARGENTINA")</f>
        <v>ARGENTINA</v>
      </c>
      <c r="C764" s="5" t="str">
        <f>IFERROR(__xludf.DUMMYFUNCTION("""COMPUTED_VALUE"""),"NORMAL")</f>
        <v>NORMAL</v>
      </c>
      <c r="D764" s="5" t="str">
        <f>IFERROR(__xludf.DUMMYFUNCTION("""COMPUTED_VALUE"""),"GIULIANO SIMEONE")</f>
        <v>GIULIANO SIMEONE</v>
      </c>
      <c r="E764" s="5">
        <f>IFERROR(__xludf.DUMMYFUNCTION("""COMPUTED_VALUE"""),0.0)</f>
        <v>0</v>
      </c>
    </row>
    <row r="765">
      <c r="A765" s="7" t="str">
        <f>IFERROR(__xludf.DUMMYFUNCTION("""COMPUTED_VALUE"""),"ALG01")</f>
        <v>ALG01</v>
      </c>
      <c r="B765" s="5" t="str">
        <f>IFERROR(__xludf.DUMMYFUNCTION("""COMPUTED_VALUE"""),"ALGERIA")</f>
        <v>ALGERIA</v>
      </c>
      <c r="C765" s="5" t="str">
        <f>IFERROR(__xludf.DUMMYFUNCTION("""COMPUTED_VALUE"""),"BADGE")</f>
        <v>BADGE</v>
      </c>
      <c r="D765" s="5" t="str">
        <f>IFERROR(__xludf.DUMMYFUNCTION("""COMPUTED_VALUE"""),"ALGERIA NATIONAL TEAM")</f>
        <v>ALGERIA NATIONAL TEAM</v>
      </c>
      <c r="E765" s="5">
        <f>IFERROR(__xludf.DUMMYFUNCTION("""COMPUTED_VALUE"""),0.0)</f>
        <v>0</v>
      </c>
    </row>
    <row r="766">
      <c r="A766" s="7" t="str">
        <f>IFERROR(__xludf.DUMMYFUNCTION("""COMPUTED_VALUE"""),"ALG02")</f>
        <v>ALG02</v>
      </c>
      <c r="B766" s="5" t="str">
        <f>IFERROR(__xludf.DUMMYFUNCTION("""COMPUTED_VALUE"""),"ALGERIA")</f>
        <v>ALGERIA</v>
      </c>
      <c r="C766" s="5" t="str">
        <f>IFERROR(__xludf.DUMMYFUNCTION("""COMPUTED_VALUE"""),"NORMAL")</f>
        <v>NORMAL</v>
      </c>
      <c r="D766" s="5" t="str">
        <f>IFERROR(__xludf.DUMMYFUNCTION("""COMPUTED_VALUE"""),"ALEXIS GUENDOUZ")</f>
        <v>ALEXIS GUENDOUZ</v>
      </c>
      <c r="E766" s="5">
        <f>IFERROR(__xludf.DUMMYFUNCTION("""COMPUTED_VALUE"""),0.0)</f>
        <v>0</v>
      </c>
    </row>
    <row r="767">
      <c r="A767" s="7" t="str">
        <f>IFERROR(__xludf.DUMMYFUNCTION("""COMPUTED_VALUE"""),"ALG03")</f>
        <v>ALG03</v>
      </c>
      <c r="B767" s="5" t="str">
        <f>IFERROR(__xludf.DUMMYFUNCTION("""COMPUTED_VALUE"""),"ALGERIA")</f>
        <v>ALGERIA</v>
      </c>
      <c r="C767" s="5" t="str">
        <f>IFERROR(__xludf.DUMMYFUNCTION("""COMPUTED_VALUE"""),"NORMAL")</f>
        <v>NORMAL</v>
      </c>
      <c r="D767" s="5" t="str">
        <f>IFERROR(__xludf.DUMMYFUNCTION("""COMPUTED_VALUE"""),"RAMY BENSEBAINI")</f>
        <v>RAMY BENSEBAINI</v>
      </c>
      <c r="E767" s="5">
        <f>IFERROR(__xludf.DUMMYFUNCTION("""COMPUTED_VALUE"""),0.0)</f>
        <v>0</v>
      </c>
    </row>
    <row r="768">
      <c r="A768" s="7" t="str">
        <f>IFERROR(__xludf.DUMMYFUNCTION("""COMPUTED_VALUE"""),"ALG04")</f>
        <v>ALG04</v>
      </c>
      <c r="B768" s="5" t="str">
        <f>IFERROR(__xludf.DUMMYFUNCTION("""COMPUTED_VALUE"""),"ALGERIA")</f>
        <v>ALGERIA</v>
      </c>
      <c r="C768" s="5" t="str">
        <f>IFERROR(__xludf.DUMMYFUNCTION("""COMPUTED_VALUE"""),"NORMAL")</f>
        <v>NORMAL</v>
      </c>
      <c r="D768" s="5" t="str">
        <f>IFERROR(__xludf.DUMMYFUNCTION("""COMPUTED_VALUE"""),"YOUCEF ATAL")</f>
        <v>YOUCEF ATAL</v>
      </c>
      <c r="E768" s="5">
        <f>IFERROR(__xludf.DUMMYFUNCTION("""COMPUTED_VALUE"""),0.0)</f>
        <v>0</v>
      </c>
    </row>
    <row r="769">
      <c r="A769" s="7" t="str">
        <f>IFERROR(__xludf.DUMMYFUNCTION("""COMPUTED_VALUE"""),"ALG05")</f>
        <v>ALG05</v>
      </c>
      <c r="B769" s="5" t="str">
        <f>IFERROR(__xludf.DUMMYFUNCTION("""COMPUTED_VALUE"""),"ALGERIA")</f>
        <v>ALGERIA</v>
      </c>
      <c r="C769" s="5" t="str">
        <f>IFERROR(__xludf.DUMMYFUNCTION("""COMPUTED_VALUE"""),"NORMAL")</f>
        <v>NORMAL</v>
      </c>
      <c r="D769" s="5" t="str">
        <f>IFERROR(__xludf.DUMMYFUNCTION("""COMPUTED_VALUE"""),"RAYAN AIT NOURI")</f>
        <v>RAYAN AIT NOURI</v>
      </c>
      <c r="E769" s="5">
        <f>IFERROR(__xludf.DUMMYFUNCTION("""COMPUTED_VALUE"""),0.0)</f>
        <v>0</v>
      </c>
    </row>
    <row r="770">
      <c r="A770" s="7" t="str">
        <f>IFERROR(__xludf.DUMMYFUNCTION("""COMPUTED_VALUE"""),"ALG06")</f>
        <v>ALG06</v>
      </c>
      <c r="B770" s="5" t="str">
        <f>IFERROR(__xludf.DUMMYFUNCTION("""COMPUTED_VALUE"""),"ALGERIA")</f>
        <v>ALGERIA</v>
      </c>
      <c r="C770" s="5" t="str">
        <f>IFERROR(__xludf.DUMMYFUNCTION("""COMPUTED_VALUE"""),"NORMAL")</f>
        <v>NORMAL</v>
      </c>
      <c r="D770" s="5" t="str">
        <f>IFERROR(__xludf.DUMMYFUNCTION("""COMPUTED_VALUE"""),"MOHAMED AMINE TOUGAI")</f>
        <v>MOHAMED AMINE TOUGAI</v>
      </c>
      <c r="E770" s="5">
        <f>IFERROR(__xludf.DUMMYFUNCTION("""COMPUTED_VALUE"""),0.0)</f>
        <v>0</v>
      </c>
    </row>
    <row r="771">
      <c r="A771" s="7" t="str">
        <f>IFERROR(__xludf.DUMMYFUNCTION("""COMPUTED_VALUE"""),"ALG07")</f>
        <v>ALG07</v>
      </c>
      <c r="B771" s="5" t="str">
        <f>IFERROR(__xludf.DUMMYFUNCTION("""COMPUTED_VALUE"""),"ALGERIA")</f>
        <v>ALGERIA</v>
      </c>
      <c r="C771" s="5" t="str">
        <f>IFERROR(__xludf.DUMMYFUNCTION("""COMPUTED_VALUE"""),"NORMAL")</f>
        <v>NORMAL</v>
      </c>
      <c r="D771" s="5" t="str">
        <f>IFERROR(__xludf.DUMMYFUNCTION("""COMPUTED_VALUE"""),"AISSA MANDI")</f>
        <v>AISSA MANDI</v>
      </c>
      <c r="E771" s="5">
        <f>IFERROR(__xludf.DUMMYFUNCTION("""COMPUTED_VALUE"""),0.0)</f>
        <v>0</v>
      </c>
    </row>
    <row r="772">
      <c r="A772" s="7" t="str">
        <f>IFERROR(__xludf.DUMMYFUNCTION("""COMPUTED_VALUE"""),"ALG08")</f>
        <v>ALG08</v>
      </c>
      <c r="B772" s="5" t="str">
        <f>IFERROR(__xludf.DUMMYFUNCTION("""COMPUTED_VALUE"""),"ALGERIA")</f>
        <v>ALGERIA</v>
      </c>
      <c r="C772" s="5" t="str">
        <f>IFERROR(__xludf.DUMMYFUNCTION("""COMPUTED_VALUE"""),"NORMAL")</f>
        <v>NORMAL</v>
      </c>
      <c r="D772" s="5" t="str">
        <f>IFERROR(__xludf.DUMMYFUNCTION("""COMPUTED_VALUE"""),"ISMAEL BENNACER")</f>
        <v>ISMAEL BENNACER</v>
      </c>
      <c r="E772" s="5">
        <f>IFERROR(__xludf.DUMMYFUNCTION("""COMPUTED_VALUE"""),0.0)</f>
        <v>0</v>
      </c>
    </row>
    <row r="773">
      <c r="A773" s="7" t="str">
        <f>IFERROR(__xludf.DUMMYFUNCTION("""COMPUTED_VALUE"""),"ALG09")</f>
        <v>ALG09</v>
      </c>
      <c r="B773" s="5" t="str">
        <f>IFERROR(__xludf.DUMMYFUNCTION("""COMPUTED_VALUE"""),"ALGERIA")</f>
        <v>ALGERIA</v>
      </c>
      <c r="C773" s="5" t="str">
        <f>IFERROR(__xludf.DUMMYFUNCTION("""COMPUTED_VALUE"""),"NORMAL")</f>
        <v>NORMAL</v>
      </c>
      <c r="D773" s="5" t="str">
        <f>IFERROR(__xludf.DUMMYFUNCTION("""COMPUTED_VALUE"""),"HOUSSEM AOUAR")</f>
        <v>HOUSSEM AOUAR</v>
      </c>
      <c r="E773" s="5">
        <f>IFERROR(__xludf.DUMMYFUNCTION("""COMPUTED_VALUE"""),0.0)</f>
        <v>0</v>
      </c>
    </row>
    <row r="774">
      <c r="A774" s="7" t="str">
        <f>IFERROR(__xludf.DUMMYFUNCTION("""COMPUTED_VALUE"""),"ALG10")</f>
        <v>ALG10</v>
      </c>
      <c r="B774" s="5" t="str">
        <f>IFERROR(__xludf.DUMMYFUNCTION("""COMPUTED_VALUE"""),"ALGERIA")</f>
        <v>ALGERIA</v>
      </c>
      <c r="C774" s="5" t="str">
        <f>IFERROR(__xludf.DUMMYFUNCTION("""COMPUTED_VALUE"""),"NORMAL")</f>
        <v>NORMAL</v>
      </c>
      <c r="D774" s="5" t="str">
        <f>IFERROR(__xludf.DUMMYFUNCTION("""COMPUTED_VALUE"""),"HICHAM BOUDAOUI")</f>
        <v>HICHAM BOUDAOUI</v>
      </c>
      <c r="E774" s="5">
        <f>IFERROR(__xludf.DUMMYFUNCTION("""COMPUTED_VALUE"""),0.0)</f>
        <v>0</v>
      </c>
    </row>
    <row r="775">
      <c r="A775" s="7" t="str">
        <f>IFERROR(__xludf.DUMMYFUNCTION("""COMPUTED_VALUE"""),"ALG11")</f>
        <v>ALG11</v>
      </c>
      <c r="B775" s="5" t="str">
        <f>IFERROR(__xludf.DUMMYFUNCTION("""COMPUTED_VALUE"""),"ALGERIA")</f>
        <v>ALGERIA</v>
      </c>
      <c r="C775" s="5" t="str">
        <f>IFERROR(__xludf.DUMMYFUNCTION("""COMPUTED_VALUE"""),"NORMAL")</f>
        <v>NORMAL</v>
      </c>
      <c r="D775" s="5" t="str">
        <f>IFERROR(__xludf.DUMMYFUNCTION("""COMPUTED_VALUE"""),"RAMIZ ZERROUKI")</f>
        <v>RAMIZ ZERROUKI</v>
      </c>
      <c r="E775" s="5">
        <f>IFERROR(__xludf.DUMMYFUNCTION("""COMPUTED_VALUE"""),0.0)</f>
        <v>0</v>
      </c>
    </row>
    <row r="776">
      <c r="A776" s="7" t="str">
        <f>IFERROR(__xludf.DUMMYFUNCTION("""COMPUTED_VALUE"""),"ALG12")</f>
        <v>ALG12</v>
      </c>
      <c r="B776" s="5" t="str">
        <f>IFERROR(__xludf.DUMMYFUNCTION("""COMPUTED_VALUE"""),"ALGERIA")</f>
        <v>ALGERIA</v>
      </c>
      <c r="C776" s="5" t="str">
        <f>IFERROR(__xludf.DUMMYFUNCTION("""COMPUTED_VALUE"""),"NORMAL")</f>
        <v>NORMAL</v>
      </c>
      <c r="D776" s="5" t="str">
        <f>IFERROR(__xludf.DUMMYFUNCTION("""COMPUTED_VALUE"""),"NABIL BENTALEB")</f>
        <v>NABIL BENTALEB</v>
      </c>
      <c r="E776" s="5">
        <f>IFERROR(__xludf.DUMMYFUNCTION("""COMPUTED_VALUE"""),0.0)</f>
        <v>0</v>
      </c>
    </row>
    <row r="777">
      <c r="A777" s="7" t="str">
        <f>IFERROR(__xludf.DUMMYFUNCTION("""COMPUTED_VALUE"""),"ALG13")</f>
        <v>ALG13</v>
      </c>
      <c r="B777" s="5" t="str">
        <f>IFERROR(__xludf.DUMMYFUNCTION("""COMPUTED_VALUE"""),"ALGERIA")</f>
        <v>ALGERIA</v>
      </c>
      <c r="C777" s="5" t="str">
        <f>IFERROR(__xludf.DUMMYFUNCTION("""COMPUTED_VALUE"""),"TEAM")</f>
        <v>TEAM</v>
      </c>
      <c r="D777" s="5" t="str">
        <f>IFERROR(__xludf.DUMMYFUNCTION("""COMPUTED_VALUE"""),"ALGERIA NATIONAL TEAM")</f>
        <v>ALGERIA NATIONAL TEAM</v>
      </c>
      <c r="E777" s="5">
        <f>IFERROR(__xludf.DUMMYFUNCTION("""COMPUTED_VALUE"""),0.0)</f>
        <v>0</v>
      </c>
    </row>
    <row r="778">
      <c r="A778" s="7" t="str">
        <f>IFERROR(__xludf.DUMMYFUNCTION("""COMPUTED_VALUE"""),"ALG14")</f>
        <v>ALG14</v>
      </c>
      <c r="B778" s="5" t="str">
        <f>IFERROR(__xludf.DUMMYFUNCTION("""COMPUTED_VALUE"""),"ALGERIA")</f>
        <v>ALGERIA</v>
      </c>
      <c r="C778" s="5" t="str">
        <f>IFERROR(__xludf.DUMMYFUNCTION("""COMPUTED_VALUE"""),"NORMAL")</f>
        <v>NORMAL</v>
      </c>
      <c r="D778" s="5" t="str">
        <f>IFERROR(__xludf.DUMMYFUNCTION("""COMPUTED_VALUE"""),"FARES CHAIBI")</f>
        <v>FARES CHAIBI</v>
      </c>
      <c r="E778" s="5">
        <f>IFERROR(__xludf.DUMMYFUNCTION("""COMPUTED_VALUE"""),0.0)</f>
        <v>0</v>
      </c>
    </row>
    <row r="779">
      <c r="A779" s="7" t="str">
        <f>IFERROR(__xludf.DUMMYFUNCTION("""COMPUTED_VALUE"""),"ALG15")</f>
        <v>ALG15</v>
      </c>
      <c r="B779" s="5" t="str">
        <f>IFERROR(__xludf.DUMMYFUNCTION("""COMPUTED_VALUE"""),"ALGERIA")</f>
        <v>ALGERIA</v>
      </c>
      <c r="C779" s="5" t="str">
        <f>IFERROR(__xludf.DUMMYFUNCTION("""COMPUTED_VALUE"""),"NORMAL")</f>
        <v>NORMAL</v>
      </c>
      <c r="D779" s="5" t="str">
        <f>IFERROR(__xludf.DUMMYFUNCTION("""COMPUTED_VALUE"""),"RIYAD MAHREZ")</f>
        <v>RIYAD MAHREZ</v>
      </c>
      <c r="E779" s="5">
        <f>IFERROR(__xludf.DUMMYFUNCTION("""COMPUTED_VALUE"""),0.0)</f>
        <v>0</v>
      </c>
    </row>
    <row r="780">
      <c r="A780" s="7" t="str">
        <f>IFERROR(__xludf.DUMMYFUNCTION("""COMPUTED_VALUE"""),"ALG16")</f>
        <v>ALG16</v>
      </c>
      <c r="B780" s="5" t="str">
        <f>IFERROR(__xludf.DUMMYFUNCTION("""COMPUTED_VALUE"""),"ALGERIA")</f>
        <v>ALGERIA</v>
      </c>
      <c r="C780" s="5" t="str">
        <f>IFERROR(__xludf.DUMMYFUNCTION("""COMPUTED_VALUE"""),"NORMAL")</f>
        <v>NORMAL</v>
      </c>
      <c r="D780" s="5" t="str">
        <f>IFERROR(__xludf.DUMMYFUNCTION("""COMPUTED_VALUE"""),"SAID BENRAHMA")</f>
        <v>SAID BENRAHMA</v>
      </c>
      <c r="E780" s="5">
        <f>IFERROR(__xludf.DUMMYFUNCTION("""COMPUTED_VALUE"""),0.0)</f>
        <v>0</v>
      </c>
    </row>
    <row r="781">
      <c r="A781" s="7" t="str">
        <f>IFERROR(__xludf.DUMMYFUNCTION("""COMPUTED_VALUE"""),"ALG17")</f>
        <v>ALG17</v>
      </c>
      <c r="B781" s="5" t="str">
        <f>IFERROR(__xludf.DUMMYFUNCTION("""COMPUTED_VALUE"""),"ALGERIA")</f>
        <v>ALGERIA</v>
      </c>
      <c r="C781" s="5" t="str">
        <f>IFERROR(__xludf.DUMMYFUNCTION("""COMPUTED_VALUE"""),"NORMAL")</f>
        <v>NORMAL</v>
      </c>
      <c r="D781" s="5" t="str">
        <f>IFERROR(__xludf.DUMMYFUNCTION("""COMPUTED_VALUE"""),"ANIS HADJ MOUSSA")</f>
        <v>ANIS HADJ MOUSSA</v>
      </c>
      <c r="E781" s="5">
        <f>IFERROR(__xludf.DUMMYFUNCTION("""COMPUTED_VALUE"""),0.0)</f>
        <v>0</v>
      </c>
    </row>
    <row r="782">
      <c r="A782" s="7" t="str">
        <f>IFERROR(__xludf.DUMMYFUNCTION("""COMPUTED_VALUE"""),"ALG18")</f>
        <v>ALG18</v>
      </c>
      <c r="B782" s="5" t="str">
        <f>IFERROR(__xludf.DUMMYFUNCTION("""COMPUTED_VALUE"""),"ALGERIA")</f>
        <v>ALGERIA</v>
      </c>
      <c r="C782" s="5" t="str">
        <f>IFERROR(__xludf.DUMMYFUNCTION("""COMPUTED_VALUE"""),"NORMAL")</f>
        <v>NORMAL</v>
      </c>
      <c r="D782" s="5" t="str">
        <f>IFERROR(__xludf.DUMMYFUNCTION("""COMPUTED_VALUE"""),"AMINE GOUIRI")</f>
        <v>AMINE GOUIRI</v>
      </c>
      <c r="E782" s="5">
        <f>IFERROR(__xludf.DUMMYFUNCTION("""COMPUTED_VALUE"""),0.0)</f>
        <v>0</v>
      </c>
    </row>
    <row r="783">
      <c r="A783" s="7" t="str">
        <f>IFERROR(__xludf.DUMMYFUNCTION("""COMPUTED_VALUE"""),"ALG19")</f>
        <v>ALG19</v>
      </c>
      <c r="B783" s="5" t="str">
        <f>IFERROR(__xludf.DUMMYFUNCTION("""COMPUTED_VALUE"""),"ALGERIA")</f>
        <v>ALGERIA</v>
      </c>
      <c r="C783" s="5" t="str">
        <f>IFERROR(__xludf.DUMMYFUNCTION("""COMPUTED_VALUE"""),"NORMAL")</f>
        <v>NORMAL</v>
      </c>
      <c r="D783" s="5" t="str">
        <f>IFERROR(__xludf.DUMMYFUNCTION("""COMPUTED_VALUE"""),"BAGHDAD BOUNEDJAH")</f>
        <v>BAGHDAD BOUNEDJAH</v>
      </c>
      <c r="E783" s="5">
        <f>IFERROR(__xludf.DUMMYFUNCTION("""COMPUTED_VALUE"""),0.0)</f>
        <v>0</v>
      </c>
    </row>
    <row r="784">
      <c r="A784" s="7" t="str">
        <f>IFERROR(__xludf.DUMMYFUNCTION("""COMPUTED_VALUE"""),"ALG20")</f>
        <v>ALG20</v>
      </c>
      <c r="B784" s="5" t="str">
        <f>IFERROR(__xludf.DUMMYFUNCTION("""COMPUTED_VALUE"""),"ALGERIA")</f>
        <v>ALGERIA</v>
      </c>
      <c r="C784" s="5" t="str">
        <f>IFERROR(__xludf.DUMMYFUNCTION("""COMPUTED_VALUE"""),"NORMAL")</f>
        <v>NORMAL</v>
      </c>
      <c r="D784" s="5" t="str">
        <f>IFERROR(__xludf.DUMMYFUNCTION("""COMPUTED_VALUE"""),"MOHAMMED AMOURA")</f>
        <v>MOHAMMED AMOURA</v>
      </c>
      <c r="E784" s="5">
        <f>IFERROR(__xludf.DUMMYFUNCTION("""COMPUTED_VALUE"""),0.0)</f>
        <v>0</v>
      </c>
    </row>
    <row r="785">
      <c r="A785" s="5" t="str">
        <f>IFERROR(__xludf.DUMMYFUNCTION("""COMPUTED_VALUE"""),"AUT01")</f>
        <v>AUT01</v>
      </c>
      <c r="B785" s="5" t="str">
        <f>IFERROR(__xludf.DUMMYFUNCTION("""COMPUTED_VALUE"""),"AUSTRIA")</f>
        <v>AUSTRIA</v>
      </c>
      <c r="C785" s="5" t="str">
        <f>IFERROR(__xludf.DUMMYFUNCTION("""COMPUTED_VALUE"""),"BADGE")</f>
        <v>BADGE</v>
      </c>
      <c r="D785" s="5" t="str">
        <f>IFERROR(__xludf.DUMMYFUNCTION("""COMPUTED_VALUE"""),"AUSTRIA NATIONAL TEAM")</f>
        <v>AUSTRIA NATIONAL TEAM</v>
      </c>
      <c r="E785" s="5">
        <f>IFERROR(__xludf.DUMMYFUNCTION("""COMPUTED_VALUE"""),0.0)</f>
        <v>0</v>
      </c>
    </row>
    <row r="786">
      <c r="A786" s="5" t="str">
        <f>IFERROR(__xludf.DUMMYFUNCTION("""COMPUTED_VALUE"""),"AUT02")</f>
        <v>AUT02</v>
      </c>
      <c r="B786" s="5" t="str">
        <f>IFERROR(__xludf.DUMMYFUNCTION("""COMPUTED_VALUE"""),"AUSTRIA")</f>
        <v>AUSTRIA</v>
      </c>
      <c r="C786" s="5" t="str">
        <f>IFERROR(__xludf.DUMMYFUNCTION("""COMPUTED_VALUE"""),"NORMAL")</f>
        <v>NORMAL</v>
      </c>
      <c r="D786" s="5" t="str">
        <f>IFERROR(__xludf.DUMMYFUNCTION("""COMPUTED_VALUE"""),"ALEXANDER SCHLAGER")</f>
        <v>ALEXANDER SCHLAGER</v>
      </c>
      <c r="E786" s="5">
        <f>IFERROR(__xludf.DUMMYFUNCTION("""COMPUTED_VALUE"""),0.0)</f>
        <v>0</v>
      </c>
    </row>
    <row r="787">
      <c r="A787" s="5" t="str">
        <f>IFERROR(__xludf.DUMMYFUNCTION("""COMPUTED_VALUE"""),"AUT03")</f>
        <v>AUT03</v>
      </c>
      <c r="B787" s="5" t="str">
        <f>IFERROR(__xludf.DUMMYFUNCTION("""COMPUTED_VALUE"""),"AUSTRIA")</f>
        <v>AUSTRIA</v>
      </c>
      <c r="C787" s="5" t="str">
        <f>IFERROR(__xludf.DUMMYFUNCTION("""COMPUTED_VALUE"""),"NORMAL")</f>
        <v>NORMAL</v>
      </c>
      <c r="D787" s="5" t="str">
        <f>IFERROR(__xludf.DUMMYFUNCTION("""COMPUTED_VALUE"""),"PATRICK PENTZ")</f>
        <v>PATRICK PENTZ</v>
      </c>
      <c r="E787" s="5">
        <f>IFERROR(__xludf.DUMMYFUNCTION("""COMPUTED_VALUE"""),0.0)</f>
        <v>0</v>
      </c>
    </row>
    <row r="788">
      <c r="A788" s="5" t="str">
        <f>IFERROR(__xludf.DUMMYFUNCTION("""COMPUTED_VALUE"""),"AUT04")</f>
        <v>AUT04</v>
      </c>
      <c r="B788" s="5" t="str">
        <f>IFERROR(__xludf.DUMMYFUNCTION("""COMPUTED_VALUE"""),"AUSTRIA")</f>
        <v>AUSTRIA</v>
      </c>
      <c r="C788" s="5" t="str">
        <f>IFERROR(__xludf.DUMMYFUNCTION("""COMPUTED_VALUE"""),"NORMAL")</f>
        <v>NORMAL</v>
      </c>
      <c r="D788" s="5" t="str">
        <f>IFERROR(__xludf.DUMMYFUNCTION("""COMPUTED_VALUE"""),"DAVID ALABA")</f>
        <v>DAVID ALABA</v>
      </c>
      <c r="E788" s="5">
        <f>IFERROR(__xludf.DUMMYFUNCTION("""COMPUTED_VALUE"""),0.0)</f>
        <v>0</v>
      </c>
    </row>
    <row r="789">
      <c r="A789" s="5" t="str">
        <f>IFERROR(__xludf.DUMMYFUNCTION("""COMPUTED_VALUE"""),"AUT05")</f>
        <v>AUT05</v>
      </c>
      <c r="B789" s="5" t="str">
        <f>IFERROR(__xludf.DUMMYFUNCTION("""COMPUTED_VALUE"""),"AUSTRIA")</f>
        <v>AUSTRIA</v>
      </c>
      <c r="C789" s="5" t="str">
        <f>IFERROR(__xludf.DUMMYFUNCTION("""COMPUTED_VALUE"""),"NORMAL")</f>
        <v>NORMAL</v>
      </c>
      <c r="D789" s="5" t="str">
        <f>IFERROR(__xludf.DUMMYFUNCTION("""COMPUTED_VALUE"""),"KEVIN DANSO")</f>
        <v>KEVIN DANSO</v>
      </c>
      <c r="E789" s="5">
        <f>IFERROR(__xludf.DUMMYFUNCTION("""COMPUTED_VALUE"""),0.0)</f>
        <v>0</v>
      </c>
    </row>
    <row r="790">
      <c r="A790" s="5" t="str">
        <f>IFERROR(__xludf.DUMMYFUNCTION("""COMPUTED_VALUE"""),"AUT06")</f>
        <v>AUT06</v>
      </c>
      <c r="B790" s="5" t="str">
        <f>IFERROR(__xludf.DUMMYFUNCTION("""COMPUTED_VALUE"""),"AUSTRIA")</f>
        <v>AUSTRIA</v>
      </c>
      <c r="C790" s="5" t="str">
        <f>IFERROR(__xludf.DUMMYFUNCTION("""COMPUTED_VALUE"""),"NORMAL")</f>
        <v>NORMAL</v>
      </c>
      <c r="D790" s="5" t="str">
        <f>IFERROR(__xludf.DUMMYFUNCTION("""COMPUTED_VALUE"""),"PHILLIP LIENHART")</f>
        <v>PHILLIP LIENHART</v>
      </c>
      <c r="E790" s="5">
        <f>IFERROR(__xludf.DUMMYFUNCTION("""COMPUTED_VALUE"""),0.0)</f>
        <v>0</v>
      </c>
    </row>
    <row r="791">
      <c r="A791" s="5" t="str">
        <f>IFERROR(__xludf.DUMMYFUNCTION("""COMPUTED_VALUE"""),"AUT07")</f>
        <v>AUT07</v>
      </c>
      <c r="B791" s="5" t="str">
        <f>IFERROR(__xludf.DUMMYFUNCTION("""COMPUTED_VALUE"""),"AUSTRIA")</f>
        <v>AUSTRIA</v>
      </c>
      <c r="C791" s="5" t="str">
        <f>IFERROR(__xludf.DUMMYFUNCTION("""COMPUTED_VALUE"""),"NORMAL")</f>
        <v>NORMAL</v>
      </c>
      <c r="D791" s="5" t="str">
        <f>IFERROR(__xludf.DUMMYFUNCTION("""COMPUTED_VALUE"""),"STEFAN POSCH")</f>
        <v>STEFAN POSCH</v>
      </c>
      <c r="E791" s="5">
        <f>IFERROR(__xludf.DUMMYFUNCTION("""COMPUTED_VALUE"""),0.0)</f>
        <v>0</v>
      </c>
    </row>
    <row r="792">
      <c r="A792" s="5" t="str">
        <f>IFERROR(__xludf.DUMMYFUNCTION("""COMPUTED_VALUE"""),"AUT08")</f>
        <v>AUT08</v>
      </c>
      <c r="B792" s="5" t="str">
        <f>IFERROR(__xludf.DUMMYFUNCTION("""COMPUTED_VALUE"""),"AUSTRIA")</f>
        <v>AUSTRIA</v>
      </c>
      <c r="C792" s="5" t="str">
        <f>IFERROR(__xludf.DUMMYFUNCTION("""COMPUTED_VALUE"""),"NORMAL")</f>
        <v>NORMAL</v>
      </c>
      <c r="D792" s="5" t="str">
        <f>IFERROR(__xludf.DUMMYFUNCTION("""COMPUTED_VALUE"""),"PHILLIP MWENE")</f>
        <v>PHILLIP MWENE</v>
      </c>
      <c r="E792" s="5">
        <f>IFERROR(__xludf.DUMMYFUNCTION("""COMPUTED_VALUE"""),0.0)</f>
        <v>0</v>
      </c>
    </row>
    <row r="793">
      <c r="A793" s="5" t="str">
        <f>IFERROR(__xludf.DUMMYFUNCTION("""COMPUTED_VALUE"""),"AUT09")</f>
        <v>AUT09</v>
      </c>
      <c r="B793" s="5" t="str">
        <f>IFERROR(__xludf.DUMMYFUNCTION("""COMPUTED_VALUE"""),"AUSTRIA")</f>
        <v>AUSTRIA</v>
      </c>
      <c r="C793" s="5" t="str">
        <f>IFERROR(__xludf.DUMMYFUNCTION("""COMPUTED_VALUE"""),"NORMAL")</f>
        <v>NORMAL</v>
      </c>
      <c r="D793" s="5" t="str">
        <f>IFERROR(__xludf.DUMMYFUNCTION("""COMPUTED_VALUE"""),"ALEXANDER PRASS")</f>
        <v>ALEXANDER PRASS</v>
      </c>
      <c r="E793" s="5">
        <f>IFERROR(__xludf.DUMMYFUNCTION("""COMPUTED_VALUE"""),0.0)</f>
        <v>0</v>
      </c>
    </row>
    <row r="794">
      <c r="A794" s="5" t="str">
        <f>IFERROR(__xludf.DUMMYFUNCTION("""COMPUTED_VALUE"""),"AUT10")</f>
        <v>AUT10</v>
      </c>
      <c r="B794" s="5" t="str">
        <f>IFERROR(__xludf.DUMMYFUNCTION("""COMPUTED_VALUE"""),"AUSTRIA")</f>
        <v>AUSTRIA</v>
      </c>
      <c r="C794" s="5" t="str">
        <f>IFERROR(__xludf.DUMMYFUNCTION("""COMPUTED_VALUE"""),"NORMAL")</f>
        <v>NORMAL</v>
      </c>
      <c r="D794" s="5" t="str">
        <f>IFERROR(__xludf.DUMMYFUNCTION("""COMPUTED_VALUE"""),"XAVER SCHLAER")</f>
        <v>XAVER SCHLAER</v>
      </c>
      <c r="E794" s="5">
        <f>IFERROR(__xludf.DUMMYFUNCTION("""COMPUTED_VALUE"""),0.0)</f>
        <v>0</v>
      </c>
    </row>
    <row r="795">
      <c r="A795" s="5" t="str">
        <f>IFERROR(__xludf.DUMMYFUNCTION("""COMPUTED_VALUE"""),"AUT11")</f>
        <v>AUT11</v>
      </c>
      <c r="B795" s="5" t="str">
        <f>IFERROR(__xludf.DUMMYFUNCTION("""COMPUTED_VALUE"""),"AUSTRIA")</f>
        <v>AUSTRIA</v>
      </c>
      <c r="C795" s="5" t="str">
        <f>IFERROR(__xludf.DUMMYFUNCTION("""COMPUTED_VALUE"""),"NORMAL")</f>
        <v>NORMAL</v>
      </c>
      <c r="D795" s="5" t="str">
        <f>IFERROR(__xludf.DUMMYFUNCTION("""COMPUTED_VALUE"""),"MARCEL SABITZER")</f>
        <v>MARCEL SABITZER</v>
      </c>
      <c r="E795" s="5">
        <f>IFERROR(__xludf.DUMMYFUNCTION("""COMPUTED_VALUE"""),0.0)</f>
        <v>0</v>
      </c>
    </row>
    <row r="796">
      <c r="A796" s="5" t="str">
        <f>IFERROR(__xludf.DUMMYFUNCTION("""COMPUTED_VALUE"""),"AUT12")</f>
        <v>AUT12</v>
      </c>
      <c r="B796" s="5" t="str">
        <f>IFERROR(__xludf.DUMMYFUNCTION("""COMPUTED_VALUE"""),"AUSTRIA")</f>
        <v>AUSTRIA</v>
      </c>
      <c r="C796" s="5" t="str">
        <f>IFERROR(__xludf.DUMMYFUNCTION("""COMPUTED_VALUE"""),"NORMAL")</f>
        <v>NORMAL</v>
      </c>
      <c r="D796" s="5" t="str">
        <f>IFERROR(__xludf.DUMMYFUNCTION("""COMPUTED_VALUE"""),"KONRAD LAIMER")</f>
        <v>KONRAD LAIMER</v>
      </c>
      <c r="E796" s="5">
        <f>IFERROR(__xludf.DUMMYFUNCTION("""COMPUTED_VALUE"""),0.0)</f>
        <v>0</v>
      </c>
    </row>
    <row r="797">
      <c r="A797" s="5" t="str">
        <f>IFERROR(__xludf.DUMMYFUNCTION("""COMPUTED_VALUE"""),"AUT13")</f>
        <v>AUT13</v>
      </c>
      <c r="B797" s="5" t="str">
        <f>IFERROR(__xludf.DUMMYFUNCTION("""COMPUTED_VALUE"""),"AUSTRIA")</f>
        <v>AUSTRIA</v>
      </c>
      <c r="C797" s="5" t="str">
        <f>IFERROR(__xludf.DUMMYFUNCTION("""COMPUTED_VALUE"""),"TEAM")</f>
        <v>TEAM</v>
      </c>
      <c r="D797" s="5" t="str">
        <f>IFERROR(__xludf.DUMMYFUNCTION("""COMPUTED_VALUE"""),"AUSTRIA NATIONAL TEAM")</f>
        <v>AUSTRIA NATIONAL TEAM</v>
      </c>
      <c r="E797" s="5">
        <f>IFERROR(__xludf.DUMMYFUNCTION("""COMPUTED_VALUE"""),0.0)</f>
        <v>0</v>
      </c>
    </row>
    <row r="798">
      <c r="A798" s="5" t="str">
        <f>IFERROR(__xludf.DUMMYFUNCTION("""COMPUTED_VALUE"""),"AUT14")</f>
        <v>AUT14</v>
      </c>
      <c r="B798" s="5" t="str">
        <f>IFERROR(__xludf.DUMMYFUNCTION("""COMPUTED_VALUE"""),"AUSTRIA")</f>
        <v>AUSTRIA</v>
      </c>
      <c r="C798" s="5" t="str">
        <f>IFERROR(__xludf.DUMMYFUNCTION("""COMPUTED_VALUE"""),"NORMAL")</f>
        <v>NORMAL</v>
      </c>
      <c r="D798" s="5" t="str">
        <f>IFERROR(__xludf.DUMMYFUNCTION("""COMPUTED_VALUE"""),"FLORIAN GRILLITSCH")</f>
        <v>FLORIAN GRILLITSCH</v>
      </c>
      <c r="E798" s="5">
        <f>IFERROR(__xludf.DUMMYFUNCTION("""COMPUTED_VALUE"""),0.0)</f>
        <v>0</v>
      </c>
    </row>
    <row r="799">
      <c r="A799" s="5" t="str">
        <f>IFERROR(__xludf.DUMMYFUNCTION("""COMPUTED_VALUE"""),"AUT15")</f>
        <v>AUT15</v>
      </c>
      <c r="B799" s="5" t="str">
        <f>IFERROR(__xludf.DUMMYFUNCTION("""COMPUTED_VALUE"""),"AUSTRIA")</f>
        <v>AUSTRIA</v>
      </c>
      <c r="C799" s="5" t="str">
        <f>IFERROR(__xludf.DUMMYFUNCTION("""COMPUTED_VALUE"""),"NORMAL")</f>
        <v>NORMAL</v>
      </c>
      <c r="D799" s="5" t="str">
        <f>IFERROR(__xludf.DUMMYFUNCTION("""COMPUTED_VALUE"""),"NICOLAS SEIWALD")</f>
        <v>NICOLAS SEIWALD</v>
      </c>
      <c r="E799" s="5">
        <f>IFERROR(__xludf.DUMMYFUNCTION("""COMPUTED_VALUE"""),0.0)</f>
        <v>0</v>
      </c>
    </row>
    <row r="800">
      <c r="A800" s="5" t="str">
        <f>IFERROR(__xludf.DUMMYFUNCTION("""COMPUTED_VALUE"""),"AUT16")</f>
        <v>AUT16</v>
      </c>
      <c r="B800" s="5" t="str">
        <f>IFERROR(__xludf.DUMMYFUNCTION("""COMPUTED_VALUE"""),"AUSTRIA")</f>
        <v>AUSTRIA</v>
      </c>
      <c r="C800" s="5" t="str">
        <f>IFERROR(__xludf.DUMMYFUNCTION("""COMPUTED_VALUE"""),"NORMAL")</f>
        <v>NORMAL</v>
      </c>
      <c r="D800" s="5" t="str">
        <f>IFERROR(__xludf.DUMMYFUNCTION("""COMPUTED_VALUE"""),"ROMANO SCHMID")</f>
        <v>ROMANO SCHMID</v>
      </c>
      <c r="E800" s="5">
        <f>IFERROR(__xludf.DUMMYFUNCTION("""COMPUTED_VALUE"""),0.0)</f>
        <v>0</v>
      </c>
    </row>
    <row r="801">
      <c r="A801" s="5" t="str">
        <f>IFERROR(__xludf.DUMMYFUNCTION("""COMPUTED_VALUE"""),"AUT17")</f>
        <v>AUT17</v>
      </c>
      <c r="B801" s="5" t="str">
        <f>IFERROR(__xludf.DUMMYFUNCTION("""COMPUTED_VALUE"""),"AUSTRIA")</f>
        <v>AUSTRIA</v>
      </c>
      <c r="C801" s="5" t="str">
        <f>IFERROR(__xludf.DUMMYFUNCTION("""COMPUTED_VALUE"""),"NORMAL")</f>
        <v>NORMAL</v>
      </c>
      <c r="D801" s="5" t="str">
        <f>IFERROR(__xludf.DUMMYFUNCTION("""COMPUTED_VALUE"""),"PATRICK WIMMER")</f>
        <v>PATRICK WIMMER</v>
      </c>
      <c r="E801" s="5">
        <f>IFERROR(__xludf.DUMMYFUNCTION("""COMPUTED_VALUE"""),0.0)</f>
        <v>0</v>
      </c>
    </row>
    <row r="802">
      <c r="A802" s="5" t="str">
        <f>IFERROR(__xludf.DUMMYFUNCTION("""COMPUTED_VALUE"""),"AUT18")</f>
        <v>AUT18</v>
      </c>
      <c r="B802" s="5" t="str">
        <f>IFERROR(__xludf.DUMMYFUNCTION("""COMPUTED_VALUE"""),"AUSTRIA")</f>
        <v>AUSTRIA</v>
      </c>
      <c r="C802" s="5" t="str">
        <f>IFERROR(__xludf.DUMMYFUNCTION("""COMPUTED_VALUE"""),"NORMAL")</f>
        <v>NORMAL</v>
      </c>
      <c r="D802" s="5" t="str">
        <f>IFERROR(__xludf.DUMMYFUNCTION("""COMPUTED_VALUE"""),"CHRISTOPH BAUMGARTNER")</f>
        <v>CHRISTOPH BAUMGARTNER</v>
      </c>
      <c r="E802" s="5">
        <f>IFERROR(__xludf.DUMMYFUNCTION("""COMPUTED_VALUE"""),0.0)</f>
        <v>0</v>
      </c>
    </row>
    <row r="803">
      <c r="A803" s="5" t="str">
        <f>IFERROR(__xludf.DUMMYFUNCTION("""COMPUTED_VALUE"""),"AUT19")</f>
        <v>AUT19</v>
      </c>
      <c r="B803" s="5" t="str">
        <f>IFERROR(__xludf.DUMMYFUNCTION("""COMPUTED_VALUE"""),"AUSTRIA")</f>
        <v>AUSTRIA</v>
      </c>
      <c r="C803" s="5" t="str">
        <f>IFERROR(__xludf.DUMMYFUNCTION("""COMPUTED_VALUE"""),"NORMAL")</f>
        <v>NORMAL</v>
      </c>
      <c r="D803" s="5" t="str">
        <f>IFERROR(__xludf.DUMMYFUNCTION("""COMPUTED_VALUE"""),"MICHAEL GREGORITSCH")</f>
        <v>MICHAEL GREGORITSCH</v>
      </c>
      <c r="E803" s="5">
        <f>IFERROR(__xludf.DUMMYFUNCTION("""COMPUTED_VALUE"""),0.0)</f>
        <v>0</v>
      </c>
    </row>
    <row r="804">
      <c r="A804" s="5" t="str">
        <f>IFERROR(__xludf.DUMMYFUNCTION("""COMPUTED_VALUE"""),"AUT20")</f>
        <v>AUT20</v>
      </c>
      <c r="B804" s="5" t="str">
        <f>IFERROR(__xludf.DUMMYFUNCTION("""COMPUTED_VALUE"""),"AUSTRIA")</f>
        <v>AUSTRIA</v>
      </c>
      <c r="C804" s="5" t="str">
        <f>IFERROR(__xludf.DUMMYFUNCTION("""COMPUTED_VALUE"""),"NORMAL")</f>
        <v>NORMAL</v>
      </c>
      <c r="D804" s="5" t="str">
        <f>IFERROR(__xludf.DUMMYFUNCTION("""COMPUTED_VALUE"""),"MARKO ARNAUTOVIC")</f>
        <v>MARKO ARNAUTOVIC</v>
      </c>
      <c r="E804" s="5">
        <f>IFERROR(__xludf.DUMMYFUNCTION("""COMPUTED_VALUE"""),0.0)</f>
        <v>0</v>
      </c>
    </row>
    <row r="805">
      <c r="A805" s="5" t="str">
        <f>IFERROR(__xludf.DUMMYFUNCTION("""COMPUTED_VALUE"""),"JOR01")</f>
        <v>JOR01</v>
      </c>
      <c r="B805" s="5" t="str">
        <f>IFERROR(__xludf.DUMMYFUNCTION("""COMPUTED_VALUE"""),"JORDAN")</f>
        <v>JORDAN</v>
      </c>
      <c r="C805" s="5" t="str">
        <f>IFERROR(__xludf.DUMMYFUNCTION("""COMPUTED_VALUE"""),"BADGE")</f>
        <v>BADGE</v>
      </c>
      <c r="D805" s="5" t="str">
        <f>IFERROR(__xludf.DUMMYFUNCTION("""COMPUTED_VALUE"""),"JORDAN NATIONAL TEAM")</f>
        <v>JORDAN NATIONAL TEAM</v>
      </c>
      <c r="E805" s="5">
        <f>IFERROR(__xludf.DUMMYFUNCTION("""COMPUTED_VALUE"""),0.0)</f>
        <v>0</v>
      </c>
    </row>
    <row r="806">
      <c r="A806" s="5" t="str">
        <f>IFERROR(__xludf.DUMMYFUNCTION("""COMPUTED_VALUE"""),"JOR02")</f>
        <v>JOR02</v>
      </c>
      <c r="B806" s="5" t="str">
        <f>IFERROR(__xludf.DUMMYFUNCTION("""COMPUTED_VALUE"""),"JORDAN")</f>
        <v>JORDAN</v>
      </c>
      <c r="C806" s="5" t="str">
        <f>IFERROR(__xludf.DUMMYFUNCTION("""COMPUTED_VALUE"""),"NORMAL")</f>
        <v>NORMAL</v>
      </c>
      <c r="D806" s="5" t="str">
        <f>IFERROR(__xludf.DUMMYFUNCTION("""COMPUTED_VALUE"""),"YAZEED ABULAILA")</f>
        <v>YAZEED ABULAILA</v>
      </c>
      <c r="E806" s="5">
        <f>IFERROR(__xludf.DUMMYFUNCTION("""COMPUTED_VALUE"""),0.0)</f>
        <v>0</v>
      </c>
    </row>
    <row r="807">
      <c r="A807" s="5" t="str">
        <f>IFERROR(__xludf.DUMMYFUNCTION("""COMPUTED_VALUE"""),"JOR03")</f>
        <v>JOR03</v>
      </c>
      <c r="B807" s="5" t="str">
        <f>IFERROR(__xludf.DUMMYFUNCTION("""COMPUTED_VALUE"""),"JORDAN")</f>
        <v>JORDAN</v>
      </c>
      <c r="C807" s="5" t="str">
        <f>IFERROR(__xludf.DUMMYFUNCTION("""COMPUTED_VALUE"""),"NORMAL")</f>
        <v>NORMAL</v>
      </c>
      <c r="D807" s="5" t="str">
        <f>IFERROR(__xludf.DUMMYFUNCTION("""COMPUTED_VALUE"""),"IHSAN HADDAD")</f>
        <v>IHSAN HADDAD</v>
      </c>
      <c r="E807" s="5">
        <f>IFERROR(__xludf.DUMMYFUNCTION("""COMPUTED_VALUE"""),0.0)</f>
        <v>0</v>
      </c>
    </row>
    <row r="808">
      <c r="A808" s="5" t="str">
        <f>IFERROR(__xludf.DUMMYFUNCTION("""COMPUTED_VALUE"""),"JOR04")</f>
        <v>JOR04</v>
      </c>
      <c r="B808" s="5" t="str">
        <f>IFERROR(__xludf.DUMMYFUNCTION("""COMPUTED_VALUE"""),"JORDAN")</f>
        <v>JORDAN</v>
      </c>
      <c r="C808" s="5" t="str">
        <f>IFERROR(__xludf.DUMMYFUNCTION("""COMPUTED_VALUE"""),"NORMAL")</f>
        <v>NORMAL</v>
      </c>
      <c r="D808" s="5" t="str">
        <f>IFERROR(__xludf.DUMMYFUNCTION("""COMPUTED_VALUE"""),"MOHAMMAD ABU HASHISH")</f>
        <v>MOHAMMAD ABU HASHISH</v>
      </c>
      <c r="E808" s="5">
        <f>IFERROR(__xludf.DUMMYFUNCTION("""COMPUTED_VALUE"""),0.0)</f>
        <v>0</v>
      </c>
    </row>
    <row r="809">
      <c r="A809" s="5" t="str">
        <f>IFERROR(__xludf.DUMMYFUNCTION("""COMPUTED_VALUE"""),"JOR05")</f>
        <v>JOR05</v>
      </c>
      <c r="B809" s="5" t="str">
        <f>IFERROR(__xludf.DUMMYFUNCTION("""COMPUTED_VALUE"""),"JORDAN")</f>
        <v>JORDAN</v>
      </c>
      <c r="C809" s="5" t="str">
        <f>IFERROR(__xludf.DUMMYFUNCTION("""COMPUTED_VALUE"""),"NORMAL")</f>
        <v>NORMAL</v>
      </c>
      <c r="D809" s="5" t="str">
        <f>IFERROR(__xludf.DUMMYFUNCTION("""COMPUTED_VALUE"""),"YAZAN AL-ARAB")</f>
        <v>YAZAN AL-ARAB</v>
      </c>
      <c r="E809" s="5">
        <f>IFERROR(__xludf.DUMMYFUNCTION("""COMPUTED_VALUE"""),0.0)</f>
        <v>0</v>
      </c>
    </row>
    <row r="810">
      <c r="A810" s="5" t="str">
        <f>IFERROR(__xludf.DUMMYFUNCTION("""COMPUTED_VALUE"""),"JOR06")</f>
        <v>JOR06</v>
      </c>
      <c r="B810" s="5" t="str">
        <f>IFERROR(__xludf.DUMMYFUNCTION("""COMPUTED_VALUE"""),"JORDAN")</f>
        <v>JORDAN</v>
      </c>
      <c r="C810" s="5" t="str">
        <f>IFERROR(__xludf.DUMMYFUNCTION("""COMPUTED_VALUE"""),"NORMAL")</f>
        <v>NORMAL</v>
      </c>
      <c r="D810" s="5" t="str">
        <f>IFERROR(__xludf.DUMMYFUNCTION("""COMPUTED_VALUE"""),"ABDALLAH NASIB")</f>
        <v>ABDALLAH NASIB</v>
      </c>
      <c r="E810" s="5">
        <f>IFERROR(__xludf.DUMMYFUNCTION("""COMPUTED_VALUE"""),0.0)</f>
        <v>0</v>
      </c>
    </row>
    <row r="811">
      <c r="A811" s="5" t="str">
        <f>IFERROR(__xludf.DUMMYFUNCTION("""COMPUTED_VALUE"""),"JOR07")</f>
        <v>JOR07</v>
      </c>
      <c r="B811" s="5" t="str">
        <f>IFERROR(__xludf.DUMMYFUNCTION("""COMPUTED_VALUE"""),"JORDAN")</f>
        <v>JORDAN</v>
      </c>
      <c r="C811" s="5" t="str">
        <f>IFERROR(__xludf.DUMMYFUNCTION("""COMPUTED_VALUE"""),"NORMAL")</f>
        <v>NORMAL</v>
      </c>
      <c r="D811" s="5" t="str">
        <f>IFERROR(__xludf.DUMMYFUNCTION("""COMPUTED_VALUE"""),"SALLEM OBAID")</f>
        <v>SALLEM OBAID</v>
      </c>
      <c r="E811" s="5">
        <f>IFERROR(__xludf.DUMMYFUNCTION("""COMPUTED_VALUE"""),0.0)</f>
        <v>0</v>
      </c>
    </row>
    <row r="812">
      <c r="A812" s="5" t="str">
        <f>IFERROR(__xludf.DUMMYFUNCTION("""COMPUTED_VALUE"""),"JOR08")</f>
        <v>JOR08</v>
      </c>
      <c r="B812" s="5" t="str">
        <f>IFERROR(__xludf.DUMMYFUNCTION("""COMPUTED_VALUE"""),"JORDAN")</f>
        <v>JORDAN</v>
      </c>
      <c r="C812" s="5" t="str">
        <f>IFERROR(__xludf.DUMMYFUNCTION("""COMPUTED_VALUE"""),"NORMAL")</f>
        <v>NORMAL</v>
      </c>
      <c r="D812" s="5" t="str">
        <f>IFERROR(__xludf.DUMMYFUNCTION("""COMPUTED_VALUE"""),"MOHAMMAD ABUALNADI")</f>
        <v>MOHAMMAD ABUALNADI</v>
      </c>
      <c r="E812" s="5">
        <f>IFERROR(__xludf.DUMMYFUNCTION("""COMPUTED_VALUE"""),0.0)</f>
        <v>0</v>
      </c>
    </row>
    <row r="813">
      <c r="A813" s="5" t="str">
        <f>IFERROR(__xludf.DUMMYFUNCTION("""COMPUTED_VALUE"""),"JOR09")</f>
        <v>JOR09</v>
      </c>
      <c r="B813" s="5" t="str">
        <f>IFERROR(__xludf.DUMMYFUNCTION("""COMPUTED_VALUE"""),"JORDAN")</f>
        <v>JORDAN</v>
      </c>
      <c r="C813" s="5" t="str">
        <f>IFERROR(__xludf.DUMMYFUNCTION("""COMPUTED_VALUE"""),"NORMAL")</f>
        <v>NORMAL</v>
      </c>
      <c r="D813" s="5" t="str">
        <f>IFERROR(__xludf.DUMMYFUNCTION("""COMPUTED_VALUE"""),"IBRAHIM SAADEH")</f>
        <v>IBRAHIM SAADEH</v>
      </c>
      <c r="E813" s="5">
        <f>IFERROR(__xludf.DUMMYFUNCTION("""COMPUTED_VALUE"""),0.0)</f>
        <v>0</v>
      </c>
    </row>
    <row r="814">
      <c r="A814" s="5" t="str">
        <f>IFERROR(__xludf.DUMMYFUNCTION("""COMPUTED_VALUE"""),"JOR10")</f>
        <v>JOR10</v>
      </c>
      <c r="B814" s="5" t="str">
        <f>IFERROR(__xludf.DUMMYFUNCTION("""COMPUTED_VALUE"""),"JORDAN")</f>
        <v>JORDAN</v>
      </c>
      <c r="C814" s="5" t="str">
        <f>IFERROR(__xludf.DUMMYFUNCTION("""COMPUTED_VALUE"""),"NORMAL")</f>
        <v>NORMAL</v>
      </c>
      <c r="D814" s="5" t="str">
        <f>IFERROR(__xludf.DUMMYFUNCTION("""COMPUTED_VALUE"""),"NIZAR AL-RASHDAN")</f>
        <v>NIZAR AL-RASHDAN</v>
      </c>
      <c r="E814" s="5">
        <f>IFERROR(__xludf.DUMMYFUNCTION("""COMPUTED_VALUE"""),0.0)</f>
        <v>0</v>
      </c>
    </row>
    <row r="815">
      <c r="A815" s="5" t="str">
        <f>IFERROR(__xludf.DUMMYFUNCTION("""COMPUTED_VALUE"""),"JOR11")</f>
        <v>JOR11</v>
      </c>
      <c r="B815" s="5" t="str">
        <f>IFERROR(__xludf.DUMMYFUNCTION("""COMPUTED_VALUE"""),"JORDAN")</f>
        <v>JORDAN</v>
      </c>
      <c r="C815" s="5" t="str">
        <f>IFERROR(__xludf.DUMMYFUNCTION("""COMPUTED_VALUE"""),"NORMAL")</f>
        <v>NORMAL</v>
      </c>
      <c r="D815" s="5" t="str">
        <f>IFERROR(__xludf.DUMMYFUNCTION("""COMPUTED_VALUE"""),"NOOR AL-RAWABDEH")</f>
        <v>NOOR AL-RAWABDEH</v>
      </c>
      <c r="E815" s="5">
        <f>IFERROR(__xludf.DUMMYFUNCTION("""COMPUTED_VALUE"""),0.0)</f>
        <v>0</v>
      </c>
    </row>
    <row r="816">
      <c r="A816" s="5" t="str">
        <f>IFERROR(__xludf.DUMMYFUNCTION("""COMPUTED_VALUE"""),"JOR12")</f>
        <v>JOR12</v>
      </c>
      <c r="B816" s="5" t="str">
        <f>IFERROR(__xludf.DUMMYFUNCTION("""COMPUTED_VALUE"""),"JORDAN")</f>
        <v>JORDAN</v>
      </c>
      <c r="C816" s="5" t="str">
        <f>IFERROR(__xludf.DUMMYFUNCTION("""COMPUTED_VALUE"""),"NORMAL")</f>
        <v>NORMAL</v>
      </c>
      <c r="D816" s="5" t="str">
        <f>IFERROR(__xludf.DUMMYFUNCTION("""COMPUTED_VALUE"""),"MOHAMMAD ABU TAHA")</f>
        <v>MOHAMMAD ABU TAHA</v>
      </c>
      <c r="E816" s="5">
        <f>IFERROR(__xludf.DUMMYFUNCTION("""COMPUTED_VALUE"""),0.0)</f>
        <v>0</v>
      </c>
    </row>
    <row r="817">
      <c r="A817" s="5" t="str">
        <f>IFERROR(__xludf.DUMMYFUNCTION("""COMPUTED_VALUE"""),"JOR13")</f>
        <v>JOR13</v>
      </c>
      <c r="B817" s="5" t="str">
        <f>IFERROR(__xludf.DUMMYFUNCTION("""COMPUTED_VALUE"""),"JORDAN")</f>
        <v>JORDAN</v>
      </c>
      <c r="C817" s="5" t="str">
        <f>IFERROR(__xludf.DUMMYFUNCTION("""COMPUTED_VALUE"""),"TEAM")</f>
        <v>TEAM</v>
      </c>
      <c r="D817" s="5" t="str">
        <f>IFERROR(__xludf.DUMMYFUNCTION("""COMPUTED_VALUE"""),"JORDAN NATIONAL TEAM")</f>
        <v>JORDAN NATIONAL TEAM</v>
      </c>
      <c r="E817" s="5">
        <f>IFERROR(__xludf.DUMMYFUNCTION("""COMPUTED_VALUE"""),0.0)</f>
        <v>0</v>
      </c>
    </row>
    <row r="818">
      <c r="A818" s="5" t="str">
        <f>IFERROR(__xludf.DUMMYFUNCTION("""COMPUTED_VALUE"""),"JOR14")</f>
        <v>JOR14</v>
      </c>
      <c r="B818" s="5" t="str">
        <f>IFERROR(__xludf.DUMMYFUNCTION("""COMPUTED_VALUE"""),"JORDAN")</f>
        <v>JORDAN</v>
      </c>
      <c r="C818" s="5" t="str">
        <f>IFERROR(__xludf.DUMMYFUNCTION("""COMPUTED_VALUE"""),"NORMAL")</f>
        <v>NORMAL</v>
      </c>
      <c r="D818" s="5" t="str">
        <f>IFERROR(__xludf.DUMMYFUNCTION("""COMPUTED_VALUE"""),"AMER JAMOUS")</f>
        <v>AMER JAMOUS</v>
      </c>
      <c r="E818" s="5">
        <f>IFERROR(__xludf.DUMMYFUNCTION("""COMPUTED_VALUE"""),0.0)</f>
        <v>0</v>
      </c>
    </row>
    <row r="819">
      <c r="A819" s="5" t="str">
        <f>IFERROR(__xludf.DUMMYFUNCTION("""COMPUTED_VALUE"""),"JOR15")</f>
        <v>JOR15</v>
      </c>
      <c r="B819" s="5" t="str">
        <f>IFERROR(__xludf.DUMMYFUNCTION("""COMPUTED_VALUE"""),"JORDAN")</f>
        <v>JORDAN</v>
      </c>
      <c r="C819" s="5" t="str">
        <f>IFERROR(__xludf.DUMMYFUNCTION("""COMPUTED_VALUE"""),"NORMAL")</f>
        <v>NORMAL</v>
      </c>
      <c r="D819" s="5" t="str">
        <f>IFERROR(__xludf.DUMMYFUNCTION("""COMPUTED_VALUE"""),"MOUSA AL-TAAMARI")</f>
        <v>MOUSA AL-TAAMARI</v>
      </c>
      <c r="E819" s="5">
        <f>IFERROR(__xludf.DUMMYFUNCTION("""COMPUTED_VALUE"""),0.0)</f>
        <v>0</v>
      </c>
    </row>
    <row r="820">
      <c r="A820" s="5" t="str">
        <f>IFERROR(__xludf.DUMMYFUNCTION("""COMPUTED_VALUE"""),"JOR16")</f>
        <v>JOR16</v>
      </c>
      <c r="B820" s="5" t="str">
        <f>IFERROR(__xludf.DUMMYFUNCTION("""COMPUTED_VALUE"""),"JORDAN")</f>
        <v>JORDAN</v>
      </c>
      <c r="C820" s="5" t="str">
        <f>IFERROR(__xludf.DUMMYFUNCTION("""COMPUTED_VALUE"""),"NORMAL")</f>
        <v>NORMAL</v>
      </c>
      <c r="D820" s="5" t="str">
        <f>IFERROR(__xludf.DUMMYFUNCTION("""COMPUTED_VALUE"""),"YAZAN AL-NAIMAT")</f>
        <v>YAZAN AL-NAIMAT</v>
      </c>
      <c r="E820" s="5">
        <f>IFERROR(__xludf.DUMMYFUNCTION("""COMPUTED_VALUE"""),0.0)</f>
        <v>0</v>
      </c>
    </row>
    <row r="821">
      <c r="A821" s="5" t="str">
        <f>IFERROR(__xludf.DUMMYFUNCTION("""COMPUTED_VALUE"""),"JOR17")</f>
        <v>JOR17</v>
      </c>
      <c r="B821" s="5" t="str">
        <f>IFERROR(__xludf.DUMMYFUNCTION("""COMPUTED_VALUE"""),"JORDAN")</f>
        <v>JORDAN</v>
      </c>
      <c r="C821" s="5" t="str">
        <f>IFERROR(__xludf.DUMMYFUNCTION("""COMPUTED_VALUE"""),"NORMAL")</f>
        <v>NORMAL</v>
      </c>
      <c r="D821" s="5" t="str">
        <f>IFERROR(__xludf.DUMMYFUNCTION("""COMPUTED_VALUE"""),"MAHMOUD AL-MARDI")</f>
        <v>MAHMOUD AL-MARDI</v>
      </c>
      <c r="E821" s="5">
        <f>IFERROR(__xludf.DUMMYFUNCTION("""COMPUTED_VALUE"""),0.0)</f>
        <v>0</v>
      </c>
    </row>
    <row r="822">
      <c r="A822" s="5" t="str">
        <f>IFERROR(__xludf.DUMMYFUNCTION("""COMPUTED_VALUE"""),"JOR18")</f>
        <v>JOR18</v>
      </c>
      <c r="B822" s="5" t="str">
        <f>IFERROR(__xludf.DUMMYFUNCTION("""COMPUTED_VALUE"""),"JORDAN")</f>
        <v>JORDAN</v>
      </c>
      <c r="C822" s="5" t="str">
        <f>IFERROR(__xludf.DUMMYFUNCTION("""COMPUTED_VALUE"""),"NORMAL")</f>
        <v>NORMAL</v>
      </c>
      <c r="D822" s="5" t="str">
        <f>IFERROR(__xludf.DUMMYFUNCTION("""COMPUTED_VALUE"""),"ALI OLWAN")</f>
        <v>ALI OLWAN</v>
      </c>
      <c r="E822" s="5">
        <f>IFERROR(__xludf.DUMMYFUNCTION("""COMPUTED_VALUE"""),0.0)</f>
        <v>0</v>
      </c>
    </row>
    <row r="823">
      <c r="A823" s="5" t="str">
        <f>IFERROR(__xludf.DUMMYFUNCTION("""COMPUTED_VALUE"""),"JOR19")</f>
        <v>JOR19</v>
      </c>
      <c r="B823" s="5" t="str">
        <f>IFERROR(__xludf.DUMMYFUNCTION("""COMPUTED_VALUE"""),"JORDAN")</f>
        <v>JORDAN</v>
      </c>
      <c r="C823" s="5" t="str">
        <f>IFERROR(__xludf.DUMMYFUNCTION("""COMPUTED_VALUE"""),"NORMAL")</f>
        <v>NORMAL</v>
      </c>
      <c r="D823" s="5" t="str">
        <f>IFERROR(__xludf.DUMMYFUNCTION("""COMPUTED_VALUE"""),"MOHAMMAD ABU ZRAYQ")</f>
        <v>MOHAMMAD ABU ZRAYQ</v>
      </c>
      <c r="E823" s="5">
        <f>IFERROR(__xludf.DUMMYFUNCTION("""COMPUTED_VALUE"""),0.0)</f>
        <v>0</v>
      </c>
    </row>
    <row r="824">
      <c r="A824" s="5" t="str">
        <f>IFERROR(__xludf.DUMMYFUNCTION("""COMPUTED_VALUE"""),"JOR20")</f>
        <v>JOR20</v>
      </c>
      <c r="B824" s="5" t="str">
        <f>IFERROR(__xludf.DUMMYFUNCTION("""COMPUTED_VALUE"""),"JORDAN")</f>
        <v>JORDAN</v>
      </c>
      <c r="C824" s="5" t="str">
        <f>IFERROR(__xludf.DUMMYFUNCTION("""COMPUTED_VALUE"""),"NORMAL")</f>
        <v>NORMAL</v>
      </c>
      <c r="D824" s="5" t="str">
        <f>IFERROR(__xludf.DUMMYFUNCTION("""COMPUTED_VALUE"""),"IBRAHIM SABRA")</f>
        <v>IBRAHIM SABRA</v>
      </c>
      <c r="E824" s="5">
        <f>IFERROR(__xludf.DUMMYFUNCTION("""COMPUTED_VALUE"""),0.0)</f>
        <v>0</v>
      </c>
    </row>
    <row r="825">
      <c r="A825" s="5" t="str">
        <f>IFERROR(__xludf.DUMMYFUNCTION("""COMPUTED_VALUE"""),"POR 01")</f>
        <v>POR 01</v>
      </c>
      <c r="B825" s="5" t="str">
        <f>IFERROR(__xludf.DUMMYFUNCTION("""COMPUTED_VALUE"""),"PORTUGAL")</f>
        <v>PORTUGAL</v>
      </c>
      <c r="C825" s="5" t="str">
        <f>IFERROR(__xludf.DUMMYFUNCTION("""COMPUTED_VALUE"""),"BADGE")</f>
        <v>BADGE</v>
      </c>
      <c r="D825" s="5" t="str">
        <f>IFERROR(__xludf.DUMMYFUNCTION("""COMPUTED_VALUE"""),"PORTUGAL NATIONAL TEAM")</f>
        <v>PORTUGAL NATIONAL TEAM</v>
      </c>
      <c r="E825" s="5">
        <f>IFERROR(__xludf.DUMMYFUNCTION("""COMPUTED_VALUE"""),0.0)</f>
        <v>0</v>
      </c>
    </row>
    <row r="826">
      <c r="A826" s="5" t="str">
        <f>IFERROR(__xludf.DUMMYFUNCTION("""COMPUTED_VALUE"""),"POR 02")</f>
        <v>POR 02</v>
      </c>
      <c r="B826" s="5" t="str">
        <f>IFERROR(__xludf.DUMMYFUNCTION("""COMPUTED_VALUE"""),"PORTUGAL")</f>
        <v>PORTUGAL</v>
      </c>
      <c r="C826" s="5" t="str">
        <f>IFERROR(__xludf.DUMMYFUNCTION("""COMPUTED_VALUE"""),"NORMAL")</f>
        <v>NORMAL</v>
      </c>
      <c r="D826" s="5" t="str">
        <f>IFERROR(__xludf.DUMMYFUNCTION("""COMPUTED_VALUE"""),"DIOGO COSTA")</f>
        <v>DIOGO COSTA</v>
      </c>
      <c r="E826" s="5">
        <f>IFERROR(__xludf.DUMMYFUNCTION("""COMPUTED_VALUE"""),0.0)</f>
        <v>0</v>
      </c>
    </row>
    <row r="827">
      <c r="A827" s="5" t="str">
        <f>IFERROR(__xludf.DUMMYFUNCTION("""COMPUTED_VALUE"""),"POR 03")</f>
        <v>POR 03</v>
      </c>
      <c r="B827" s="5" t="str">
        <f>IFERROR(__xludf.DUMMYFUNCTION("""COMPUTED_VALUE"""),"PORTUGAL")</f>
        <v>PORTUGAL</v>
      </c>
      <c r="C827" s="5" t="str">
        <f>IFERROR(__xludf.DUMMYFUNCTION("""COMPUTED_VALUE"""),"NORMAL")</f>
        <v>NORMAL</v>
      </c>
      <c r="D827" s="5" t="str">
        <f>IFERROR(__xludf.DUMMYFUNCTION("""COMPUTED_VALUE"""),"JOSE SA")</f>
        <v>JOSE SA</v>
      </c>
      <c r="E827" s="5">
        <f>IFERROR(__xludf.DUMMYFUNCTION("""COMPUTED_VALUE"""),0.0)</f>
        <v>0</v>
      </c>
    </row>
    <row r="828">
      <c r="A828" s="5" t="str">
        <f>IFERROR(__xludf.DUMMYFUNCTION("""COMPUTED_VALUE"""),"POR 04")</f>
        <v>POR 04</v>
      </c>
      <c r="B828" s="5" t="str">
        <f>IFERROR(__xludf.DUMMYFUNCTION("""COMPUTED_VALUE"""),"PORTUGAL")</f>
        <v>PORTUGAL</v>
      </c>
      <c r="C828" s="5" t="str">
        <f>IFERROR(__xludf.DUMMYFUNCTION("""COMPUTED_VALUE"""),"NORMAL")</f>
        <v>NORMAL</v>
      </c>
      <c r="D828" s="5" t="str">
        <f>IFERROR(__xludf.DUMMYFUNCTION("""COMPUTED_VALUE"""),"RUBEN DIAS")</f>
        <v>RUBEN DIAS</v>
      </c>
      <c r="E828" s="5">
        <f>IFERROR(__xludf.DUMMYFUNCTION("""COMPUTED_VALUE"""),0.0)</f>
        <v>0</v>
      </c>
    </row>
    <row r="829">
      <c r="A829" s="5" t="str">
        <f>IFERROR(__xludf.DUMMYFUNCTION("""COMPUTED_VALUE"""),"POR 05")</f>
        <v>POR 05</v>
      </c>
      <c r="B829" s="5" t="str">
        <f>IFERROR(__xludf.DUMMYFUNCTION("""COMPUTED_VALUE"""),"PORTUGAL")</f>
        <v>PORTUGAL</v>
      </c>
      <c r="C829" s="5" t="str">
        <f>IFERROR(__xludf.DUMMYFUNCTION("""COMPUTED_VALUE"""),"NORMAL")</f>
        <v>NORMAL</v>
      </c>
      <c r="D829" s="5" t="str">
        <f>IFERROR(__xludf.DUMMYFUNCTION("""COMPUTED_VALUE"""),"JOAO CANCELO")</f>
        <v>JOAO CANCELO</v>
      </c>
      <c r="E829" s="5">
        <f>IFERROR(__xludf.DUMMYFUNCTION("""COMPUTED_VALUE"""),0.0)</f>
        <v>0</v>
      </c>
    </row>
    <row r="830">
      <c r="A830" s="5" t="str">
        <f>IFERROR(__xludf.DUMMYFUNCTION("""COMPUTED_VALUE"""),"POR 06")</f>
        <v>POR 06</v>
      </c>
      <c r="B830" s="5" t="str">
        <f>IFERROR(__xludf.DUMMYFUNCTION("""COMPUTED_VALUE"""),"PORTUGAL")</f>
        <v>PORTUGAL</v>
      </c>
      <c r="C830" s="5" t="str">
        <f>IFERROR(__xludf.DUMMYFUNCTION("""COMPUTED_VALUE"""),"NORMAL")</f>
        <v>NORMAL</v>
      </c>
      <c r="D830" s="5" t="str">
        <f>IFERROR(__xludf.DUMMYFUNCTION("""COMPUTED_VALUE"""),"DIOGO DALOT")</f>
        <v>DIOGO DALOT</v>
      </c>
      <c r="E830" s="5">
        <f>IFERROR(__xludf.DUMMYFUNCTION("""COMPUTED_VALUE"""),0.0)</f>
        <v>0</v>
      </c>
    </row>
    <row r="831">
      <c r="A831" s="5" t="str">
        <f>IFERROR(__xludf.DUMMYFUNCTION("""COMPUTED_VALUE"""),"POR 07")</f>
        <v>POR 07</v>
      </c>
      <c r="B831" s="5" t="str">
        <f>IFERROR(__xludf.DUMMYFUNCTION("""COMPUTED_VALUE"""),"PORTUGAL")</f>
        <v>PORTUGAL</v>
      </c>
      <c r="C831" s="5" t="str">
        <f>IFERROR(__xludf.DUMMYFUNCTION("""COMPUTED_VALUE"""),"NORMAL")</f>
        <v>NORMAL</v>
      </c>
      <c r="D831" s="5" t="str">
        <f>IFERROR(__xludf.DUMMYFUNCTION("""COMPUTED_VALUE"""),"NUNO MENDES")</f>
        <v>NUNO MENDES</v>
      </c>
      <c r="E831" s="5">
        <f>IFERROR(__xludf.DUMMYFUNCTION("""COMPUTED_VALUE"""),0.0)</f>
        <v>0</v>
      </c>
    </row>
    <row r="832">
      <c r="A832" s="5" t="str">
        <f>IFERROR(__xludf.DUMMYFUNCTION("""COMPUTED_VALUE"""),"POR 08")</f>
        <v>POR 08</v>
      </c>
      <c r="B832" s="5" t="str">
        <f>IFERROR(__xludf.DUMMYFUNCTION("""COMPUTED_VALUE"""),"PORTUGAL")</f>
        <v>PORTUGAL</v>
      </c>
      <c r="C832" s="5" t="str">
        <f>IFERROR(__xludf.DUMMYFUNCTION("""COMPUTED_VALUE"""),"NORMAL")</f>
        <v>NORMAL</v>
      </c>
      <c r="D832" s="5" t="str">
        <f>IFERROR(__xludf.DUMMYFUNCTION("""COMPUTED_VALUE"""),"GONCALO INACIO")</f>
        <v>GONCALO INACIO</v>
      </c>
      <c r="E832" s="5">
        <f>IFERROR(__xludf.DUMMYFUNCTION("""COMPUTED_VALUE"""),0.0)</f>
        <v>0</v>
      </c>
    </row>
    <row r="833">
      <c r="A833" s="5" t="str">
        <f>IFERROR(__xludf.DUMMYFUNCTION("""COMPUTED_VALUE"""),"POR 09")</f>
        <v>POR 09</v>
      </c>
      <c r="B833" s="5" t="str">
        <f>IFERROR(__xludf.DUMMYFUNCTION("""COMPUTED_VALUE"""),"PORTUGAL")</f>
        <v>PORTUGAL</v>
      </c>
      <c r="C833" s="5" t="str">
        <f>IFERROR(__xludf.DUMMYFUNCTION("""COMPUTED_VALUE"""),"NORMAL")</f>
        <v>NORMAL</v>
      </c>
      <c r="D833" s="5" t="str">
        <f>IFERROR(__xludf.DUMMYFUNCTION("""COMPUTED_VALUE"""),"BERNARDO SILVA")</f>
        <v>BERNARDO SILVA</v>
      </c>
      <c r="E833" s="5">
        <f>IFERROR(__xludf.DUMMYFUNCTION("""COMPUTED_VALUE"""),0.0)</f>
        <v>0</v>
      </c>
    </row>
    <row r="834">
      <c r="A834" s="5" t="str">
        <f>IFERROR(__xludf.DUMMYFUNCTION("""COMPUTED_VALUE"""),"POR 10")</f>
        <v>POR 10</v>
      </c>
      <c r="B834" s="5" t="str">
        <f>IFERROR(__xludf.DUMMYFUNCTION("""COMPUTED_VALUE"""),"PORTUGAL")</f>
        <v>PORTUGAL</v>
      </c>
      <c r="C834" s="5" t="str">
        <f>IFERROR(__xludf.DUMMYFUNCTION("""COMPUTED_VALUE"""),"NORMAL")</f>
        <v>NORMAL</v>
      </c>
      <c r="D834" s="5" t="str">
        <f>IFERROR(__xludf.DUMMYFUNCTION("""COMPUTED_VALUE"""),"BRUNO FERNANDES")</f>
        <v>BRUNO FERNANDES</v>
      </c>
      <c r="E834" s="5">
        <f>IFERROR(__xludf.DUMMYFUNCTION("""COMPUTED_VALUE"""),0.0)</f>
        <v>0</v>
      </c>
    </row>
    <row r="835">
      <c r="A835" s="5" t="str">
        <f>IFERROR(__xludf.DUMMYFUNCTION("""COMPUTED_VALUE"""),"POR 11")</f>
        <v>POR 11</v>
      </c>
      <c r="B835" s="5" t="str">
        <f>IFERROR(__xludf.DUMMYFUNCTION("""COMPUTED_VALUE"""),"PORTUGAL")</f>
        <v>PORTUGAL</v>
      </c>
      <c r="C835" s="5" t="str">
        <f>IFERROR(__xludf.DUMMYFUNCTION("""COMPUTED_VALUE"""),"NORMAL")</f>
        <v>NORMAL</v>
      </c>
      <c r="D835" s="5" t="str">
        <f>IFERROR(__xludf.DUMMYFUNCTION("""COMPUTED_VALUE"""),"RUBEN NEVES")</f>
        <v>RUBEN NEVES</v>
      </c>
      <c r="E835" s="5">
        <f>IFERROR(__xludf.DUMMYFUNCTION("""COMPUTED_VALUE"""),0.0)</f>
        <v>0</v>
      </c>
    </row>
    <row r="836">
      <c r="A836" s="5" t="str">
        <f>IFERROR(__xludf.DUMMYFUNCTION("""COMPUTED_VALUE"""),"POR 12")</f>
        <v>POR 12</v>
      </c>
      <c r="B836" s="5" t="str">
        <f>IFERROR(__xludf.DUMMYFUNCTION("""COMPUTED_VALUE"""),"PORTUGAL")</f>
        <v>PORTUGAL</v>
      </c>
      <c r="C836" s="5" t="str">
        <f>IFERROR(__xludf.DUMMYFUNCTION("""COMPUTED_VALUE"""),"NORMAL")</f>
        <v>NORMAL</v>
      </c>
      <c r="D836" s="5" t="str">
        <f>IFERROR(__xludf.DUMMYFUNCTION("""COMPUTED_VALUE"""),"VITINHA")</f>
        <v>VITINHA</v>
      </c>
      <c r="E836" s="5">
        <f>IFERROR(__xludf.DUMMYFUNCTION("""COMPUTED_VALUE"""),0.0)</f>
        <v>0</v>
      </c>
    </row>
    <row r="837">
      <c r="A837" s="5" t="str">
        <f>IFERROR(__xludf.DUMMYFUNCTION("""COMPUTED_VALUE"""),"POR 13")</f>
        <v>POR 13</v>
      </c>
      <c r="B837" s="5" t="str">
        <f>IFERROR(__xludf.DUMMYFUNCTION("""COMPUTED_VALUE"""),"PORTUGAL")</f>
        <v>PORTUGAL</v>
      </c>
      <c r="C837" s="5" t="str">
        <f>IFERROR(__xludf.DUMMYFUNCTION("""COMPUTED_VALUE"""),"TEAM")</f>
        <v>TEAM</v>
      </c>
      <c r="D837" s="5" t="str">
        <f>IFERROR(__xludf.DUMMYFUNCTION("""COMPUTED_VALUE"""),"PORTUGAL NATIONAL TEAM")</f>
        <v>PORTUGAL NATIONAL TEAM</v>
      </c>
      <c r="E837" s="5">
        <f>IFERROR(__xludf.DUMMYFUNCTION("""COMPUTED_VALUE"""),0.0)</f>
        <v>0</v>
      </c>
    </row>
    <row r="838">
      <c r="A838" s="5" t="str">
        <f>IFERROR(__xludf.DUMMYFUNCTION("""COMPUTED_VALUE"""),"POR 14")</f>
        <v>POR 14</v>
      </c>
      <c r="B838" s="5" t="str">
        <f>IFERROR(__xludf.DUMMYFUNCTION("""COMPUTED_VALUE"""),"PORTUGAL")</f>
        <v>PORTUGAL</v>
      </c>
      <c r="C838" s="5" t="str">
        <f>IFERROR(__xludf.DUMMYFUNCTION("""COMPUTED_VALUE"""),"NORMAL")</f>
        <v>NORMAL</v>
      </c>
      <c r="D838" s="5" t="str">
        <f>IFERROR(__xludf.DUMMYFUNCTION("""COMPUTED_VALUE"""),"RUBEN NEVES")</f>
        <v>RUBEN NEVES</v>
      </c>
      <c r="E838" s="5">
        <f>IFERROR(__xludf.DUMMYFUNCTION("""COMPUTED_VALUE"""),0.0)</f>
        <v>0</v>
      </c>
    </row>
    <row r="839">
      <c r="A839" s="5" t="str">
        <f>IFERROR(__xludf.DUMMYFUNCTION("""COMPUTED_VALUE"""),"POR 15")</f>
        <v>POR 15</v>
      </c>
      <c r="B839" s="5" t="str">
        <f>IFERROR(__xludf.DUMMYFUNCTION("""COMPUTED_VALUE"""),"PORTUGAL")</f>
        <v>PORTUGAL</v>
      </c>
      <c r="C839" s="5" t="str">
        <f>IFERROR(__xludf.DUMMYFUNCTION("""COMPUTED_VALUE"""),"NORMAL")</f>
        <v>NORMAL</v>
      </c>
      <c r="D839" s="5" t="str">
        <f>IFERROR(__xludf.DUMMYFUNCTION("""COMPUTED_VALUE"""),"CRISTIANO RONALDO")</f>
        <v>CRISTIANO RONALDO</v>
      </c>
      <c r="E839" s="5">
        <f>IFERROR(__xludf.DUMMYFUNCTION("""COMPUTED_VALUE"""),0.0)</f>
        <v>0</v>
      </c>
    </row>
    <row r="840">
      <c r="A840" s="5" t="str">
        <f>IFERROR(__xludf.DUMMYFUNCTION("""COMPUTED_VALUE"""),"POR 16")</f>
        <v>POR 16</v>
      </c>
      <c r="B840" s="5" t="str">
        <f>IFERROR(__xludf.DUMMYFUNCTION("""COMPUTED_VALUE"""),"PORTUGAL")</f>
        <v>PORTUGAL</v>
      </c>
      <c r="C840" s="5" t="str">
        <f>IFERROR(__xludf.DUMMYFUNCTION("""COMPUTED_VALUE"""),"NORMAL")</f>
        <v>NORMAL</v>
      </c>
      <c r="D840" s="5" t="str">
        <f>IFERROR(__xludf.DUMMYFUNCTION("""COMPUTED_VALUE"""),"FRANCISCO TRINCAO")</f>
        <v>FRANCISCO TRINCAO</v>
      </c>
      <c r="E840" s="5">
        <f>IFERROR(__xludf.DUMMYFUNCTION("""COMPUTED_VALUE"""),0.0)</f>
        <v>0</v>
      </c>
    </row>
    <row r="841">
      <c r="A841" s="5" t="str">
        <f>IFERROR(__xludf.DUMMYFUNCTION("""COMPUTED_VALUE"""),"POR 17")</f>
        <v>POR 17</v>
      </c>
      <c r="B841" s="5" t="str">
        <f>IFERROR(__xludf.DUMMYFUNCTION("""COMPUTED_VALUE"""),"PORTUGAL")</f>
        <v>PORTUGAL</v>
      </c>
      <c r="C841" s="5" t="str">
        <f>IFERROR(__xludf.DUMMYFUNCTION("""COMPUTED_VALUE"""),"NORMAL")</f>
        <v>NORMAL</v>
      </c>
      <c r="D841" s="5" t="str">
        <f>IFERROR(__xludf.DUMMYFUNCTION("""COMPUTED_VALUE"""),"JOAO FELIX")</f>
        <v>JOAO FELIX</v>
      </c>
      <c r="E841" s="5">
        <f>IFERROR(__xludf.DUMMYFUNCTION("""COMPUTED_VALUE"""),0.0)</f>
        <v>0</v>
      </c>
    </row>
    <row r="842">
      <c r="A842" s="5" t="str">
        <f>IFERROR(__xludf.DUMMYFUNCTION("""COMPUTED_VALUE"""),"POR 18")</f>
        <v>POR 18</v>
      </c>
      <c r="B842" s="5" t="str">
        <f>IFERROR(__xludf.DUMMYFUNCTION("""COMPUTED_VALUE"""),"PORTUGAL")</f>
        <v>PORTUGAL</v>
      </c>
      <c r="C842" s="5" t="str">
        <f>IFERROR(__xludf.DUMMYFUNCTION("""COMPUTED_VALUE"""),"NORMAL")</f>
        <v>NORMAL</v>
      </c>
      <c r="D842" s="5" t="str">
        <f>IFERROR(__xludf.DUMMYFUNCTION("""COMPUTED_VALUE"""),"GONCALO RAMOS")</f>
        <v>GONCALO RAMOS</v>
      </c>
      <c r="E842" s="5">
        <f>IFERROR(__xludf.DUMMYFUNCTION("""COMPUTED_VALUE"""),0.0)</f>
        <v>0</v>
      </c>
    </row>
    <row r="843">
      <c r="A843" s="5" t="str">
        <f>IFERROR(__xludf.DUMMYFUNCTION("""COMPUTED_VALUE"""),"POR 19")</f>
        <v>POR 19</v>
      </c>
      <c r="B843" s="5" t="str">
        <f>IFERROR(__xludf.DUMMYFUNCTION("""COMPUTED_VALUE"""),"PORTUGAL")</f>
        <v>PORTUGAL</v>
      </c>
      <c r="C843" s="5" t="str">
        <f>IFERROR(__xludf.DUMMYFUNCTION("""COMPUTED_VALUE"""),"NORMAL")</f>
        <v>NORMAL</v>
      </c>
      <c r="D843" s="5" t="str">
        <f>IFERROR(__xludf.DUMMYFUNCTION("""COMPUTED_VALUE"""),"PEDRO NETO")</f>
        <v>PEDRO NETO</v>
      </c>
      <c r="E843" s="5">
        <f>IFERROR(__xludf.DUMMYFUNCTION("""COMPUTED_VALUE"""),0.0)</f>
        <v>0</v>
      </c>
    </row>
    <row r="844">
      <c r="A844" s="5" t="str">
        <f>IFERROR(__xludf.DUMMYFUNCTION("""COMPUTED_VALUE"""),"POR 20")</f>
        <v>POR 20</v>
      </c>
      <c r="B844" s="5" t="str">
        <f>IFERROR(__xludf.DUMMYFUNCTION("""COMPUTED_VALUE"""),"PORTUGAL")</f>
        <v>PORTUGAL</v>
      </c>
      <c r="C844" s="5" t="str">
        <f>IFERROR(__xludf.DUMMYFUNCTION("""COMPUTED_VALUE"""),"NORMAL")</f>
        <v>NORMAL</v>
      </c>
      <c r="D844" s="5" t="str">
        <f>IFERROR(__xludf.DUMMYFUNCTION("""COMPUTED_VALUE"""),"RAFAEL LEAO")</f>
        <v>RAFAEL LEAO</v>
      </c>
      <c r="E844" s="5">
        <f>IFERROR(__xludf.DUMMYFUNCTION("""COMPUTED_VALUE"""),0.0)</f>
        <v>0</v>
      </c>
    </row>
    <row r="845">
      <c r="A845" s="7" t="str">
        <f>IFERROR(__xludf.DUMMYFUNCTION("""COMPUTED_VALUE"""),"COD01")</f>
        <v>COD01</v>
      </c>
      <c r="B845" s="5" t="str">
        <f>IFERROR(__xludf.DUMMYFUNCTION("""COMPUTED_VALUE"""),"CONGO DR")</f>
        <v>CONGO DR</v>
      </c>
      <c r="C845" s="5" t="str">
        <f>IFERROR(__xludf.DUMMYFUNCTION("""COMPUTED_VALUE"""),"BADGE")</f>
        <v>BADGE</v>
      </c>
      <c r="D845" s="5" t="str">
        <f>IFERROR(__xludf.DUMMYFUNCTION("""COMPUTED_VALUE"""),"RD CONGO NATIONAL TEAM")</f>
        <v>RD CONGO NATIONAL TEAM</v>
      </c>
      <c r="E845" s="5">
        <f>IFERROR(__xludf.DUMMYFUNCTION("""COMPUTED_VALUE"""),0.0)</f>
        <v>0</v>
      </c>
    </row>
    <row r="846">
      <c r="A846" s="7" t="str">
        <f>IFERROR(__xludf.DUMMYFUNCTION("""COMPUTED_VALUE"""),"COD02")</f>
        <v>COD02</v>
      </c>
      <c r="B846" s="5" t="str">
        <f>IFERROR(__xludf.DUMMYFUNCTION("""COMPUTED_VALUE"""),"CONGO DR")</f>
        <v>CONGO DR</v>
      </c>
      <c r="C846" s="5" t="str">
        <f>IFERROR(__xludf.DUMMYFUNCTION("""COMPUTED_VALUE"""),"NORMAL")</f>
        <v>NORMAL</v>
      </c>
      <c r="D846" s="5" t="str">
        <f>IFERROR(__xludf.DUMMYFUNCTION("""COMPUTED_VALUE"""),"LIONEL MPASI")</f>
        <v>LIONEL MPASI</v>
      </c>
      <c r="E846" s="5">
        <f>IFERROR(__xludf.DUMMYFUNCTION("""COMPUTED_VALUE"""),0.0)</f>
        <v>0</v>
      </c>
    </row>
    <row r="847">
      <c r="A847" s="7" t="str">
        <f>IFERROR(__xludf.DUMMYFUNCTION("""COMPUTED_VALUE"""),"COD03")</f>
        <v>COD03</v>
      </c>
      <c r="B847" s="5" t="str">
        <f>IFERROR(__xludf.DUMMYFUNCTION("""COMPUTED_VALUE"""),"CONGO DR")</f>
        <v>CONGO DR</v>
      </c>
      <c r="C847" s="5" t="str">
        <f>IFERROR(__xludf.DUMMYFUNCTION("""COMPUTED_VALUE"""),"NORMAL")</f>
        <v>NORMAL</v>
      </c>
      <c r="D847" s="5" t="str">
        <f>IFERROR(__xludf.DUMMYFUNCTION("""COMPUTED_VALUE"""),"AARON WAN-BISSAKA")</f>
        <v>AARON WAN-BISSAKA</v>
      </c>
      <c r="E847" s="5">
        <f>IFERROR(__xludf.DUMMYFUNCTION("""COMPUTED_VALUE"""),0.0)</f>
        <v>0</v>
      </c>
    </row>
    <row r="848">
      <c r="A848" s="7" t="str">
        <f>IFERROR(__xludf.DUMMYFUNCTION("""COMPUTED_VALUE"""),"COD04")</f>
        <v>COD04</v>
      </c>
      <c r="B848" s="5" t="str">
        <f>IFERROR(__xludf.DUMMYFUNCTION("""COMPUTED_VALUE"""),"CONGO DR")</f>
        <v>CONGO DR</v>
      </c>
      <c r="C848" s="5" t="str">
        <f>IFERROR(__xludf.DUMMYFUNCTION("""COMPUTED_VALUE"""),"NORMAL")</f>
        <v>NORMAL</v>
      </c>
      <c r="D848" s="5" t="str">
        <f>IFERROR(__xludf.DUMMYFUNCTION("""COMPUTED_VALUE"""),"AXEL TUANZEBE")</f>
        <v>AXEL TUANZEBE</v>
      </c>
      <c r="E848" s="5">
        <f>IFERROR(__xludf.DUMMYFUNCTION("""COMPUTED_VALUE"""),0.0)</f>
        <v>0</v>
      </c>
    </row>
    <row r="849">
      <c r="A849" s="7" t="str">
        <f>IFERROR(__xludf.DUMMYFUNCTION("""COMPUTED_VALUE"""),"COD05")</f>
        <v>COD05</v>
      </c>
      <c r="B849" s="5" t="str">
        <f>IFERROR(__xludf.DUMMYFUNCTION("""COMPUTED_VALUE"""),"CONGO DR")</f>
        <v>CONGO DR</v>
      </c>
      <c r="C849" s="5" t="str">
        <f>IFERROR(__xludf.DUMMYFUNCTION("""COMPUTED_VALUE"""),"NORMAL")</f>
        <v>NORMAL</v>
      </c>
      <c r="D849" s="5" t="str">
        <f>IFERROR(__xludf.DUMMYFUNCTION("""COMPUTED_VALUE"""),"ARTHUR MASUAKU")</f>
        <v>ARTHUR MASUAKU</v>
      </c>
      <c r="E849" s="5">
        <f>IFERROR(__xludf.DUMMYFUNCTION("""COMPUTED_VALUE"""),0.0)</f>
        <v>0</v>
      </c>
    </row>
    <row r="850">
      <c r="A850" s="7" t="str">
        <f>IFERROR(__xludf.DUMMYFUNCTION("""COMPUTED_VALUE"""),"COD06")</f>
        <v>COD06</v>
      </c>
      <c r="B850" s="5" t="str">
        <f>IFERROR(__xludf.DUMMYFUNCTION("""COMPUTED_VALUE"""),"CONGO DR")</f>
        <v>CONGO DR</v>
      </c>
      <c r="C850" s="5" t="str">
        <f>IFERROR(__xludf.DUMMYFUNCTION("""COMPUTED_VALUE"""),"NORMAL")</f>
        <v>NORMAL</v>
      </c>
      <c r="D850" s="5" t="str">
        <f>IFERROR(__xludf.DUMMYFUNCTION("""COMPUTED_VALUE"""),"CHANCEL MBEMBA")</f>
        <v>CHANCEL MBEMBA</v>
      </c>
      <c r="E850" s="5">
        <f>IFERROR(__xludf.DUMMYFUNCTION("""COMPUTED_VALUE"""),0.0)</f>
        <v>0</v>
      </c>
    </row>
    <row r="851">
      <c r="A851" s="7" t="str">
        <f>IFERROR(__xludf.DUMMYFUNCTION("""COMPUTED_VALUE"""),"COD07")</f>
        <v>COD07</v>
      </c>
      <c r="B851" s="5" t="str">
        <f>IFERROR(__xludf.DUMMYFUNCTION("""COMPUTED_VALUE"""),"CONGO DR")</f>
        <v>CONGO DR</v>
      </c>
      <c r="C851" s="5" t="str">
        <f>IFERROR(__xludf.DUMMYFUNCTION("""COMPUTED_VALUE"""),"NORMAL")</f>
        <v>NORMAL</v>
      </c>
      <c r="D851" s="5" t="str">
        <f>IFERROR(__xludf.DUMMYFUNCTION("""COMPUTED_VALUE"""),"JORIS KAYEMBE")</f>
        <v>JORIS KAYEMBE</v>
      </c>
      <c r="E851" s="5">
        <f>IFERROR(__xludf.DUMMYFUNCTION("""COMPUTED_VALUE"""),0.0)</f>
        <v>0</v>
      </c>
    </row>
    <row r="852">
      <c r="A852" s="7" t="str">
        <f>IFERROR(__xludf.DUMMYFUNCTION("""COMPUTED_VALUE"""),"COD08")</f>
        <v>COD08</v>
      </c>
      <c r="B852" s="5" t="str">
        <f>IFERROR(__xludf.DUMMYFUNCTION("""COMPUTED_VALUE"""),"CONGO DR")</f>
        <v>CONGO DR</v>
      </c>
      <c r="C852" s="5" t="str">
        <f>IFERROR(__xludf.DUMMYFUNCTION("""COMPUTED_VALUE"""),"NORMAL")</f>
        <v>NORMAL</v>
      </c>
      <c r="D852" s="5" t="str">
        <f>IFERROR(__xludf.DUMMYFUNCTION("""COMPUTED_VALUE"""),"CHARLES PICKEL")</f>
        <v>CHARLES PICKEL</v>
      </c>
      <c r="E852" s="5">
        <f>IFERROR(__xludf.DUMMYFUNCTION("""COMPUTED_VALUE"""),0.0)</f>
        <v>0</v>
      </c>
    </row>
    <row r="853">
      <c r="A853" s="7" t="str">
        <f>IFERROR(__xludf.DUMMYFUNCTION("""COMPUTED_VALUE"""),"COD09")</f>
        <v>COD09</v>
      </c>
      <c r="B853" s="5" t="str">
        <f>IFERROR(__xludf.DUMMYFUNCTION("""COMPUTED_VALUE"""),"CONGO DR")</f>
        <v>CONGO DR</v>
      </c>
      <c r="C853" s="5" t="str">
        <f>IFERROR(__xludf.DUMMYFUNCTION("""COMPUTED_VALUE"""),"NORMAL")</f>
        <v>NORMAL</v>
      </c>
      <c r="D853" s="5" t="str">
        <f>IFERROR(__xludf.DUMMYFUNCTION("""COMPUTED_VALUE"""),"NGAL'AYEL MUKAU")</f>
        <v>NGAL'AYEL MUKAU</v>
      </c>
      <c r="E853" s="5">
        <f>IFERROR(__xludf.DUMMYFUNCTION("""COMPUTED_VALUE"""),0.0)</f>
        <v>0</v>
      </c>
    </row>
    <row r="854">
      <c r="A854" s="7" t="str">
        <f>IFERROR(__xludf.DUMMYFUNCTION("""COMPUTED_VALUE"""),"COD10")</f>
        <v>COD10</v>
      </c>
      <c r="B854" s="5" t="str">
        <f>IFERROR(__xludf.DUMMYFUNCTION("""COMPUTED_VALUE"""),"CONGO DR")</f>
        <v>CONGO DR</v>
      </c>
      <c r="C854" s="5" t="str">
        <f>IFERROR(__xludf.DUMMYFUNCTION("""COMPUTED_VALUE"""),"NORMAL")</f>
        <v>NORMAL</v>
      </c>
      <c r="D854" s="5" t="str">
        <f>IFERROR(__xludf.DUMMYFUNCTION("""COMPUTED_VALUE"""),"EDO KAYEMBE")</f>
        <v>EDO KAYEMBE</v>
      </c>
      <c r="E854" s="5">
        <f>IFERROR(__xludf.DUMMYFUNCTION("""COMPUTED_VALUE"""),0.0)</f>
        <v>0</v>
      </c>
    </row>
    <row r="855">
      <c r="A855" s="7" t="str">
        <f>IFERROR(__xludf.DUMMYFUNCTION("""COMPUTED_VALUE"""),"COD11")</f>
        <v>COD11</v>
      </c>
      <c r="B855" s="5" t="str">
        <f>IFERROR(__xludf.DUMMYFUNCTION("""COMPUTED_VALUE"""),"CONGO DR")</f>
        <v>CONGO DR</v>
      </c>
      <c r="C855" s="5" t="str">
        <f>IFERROR(__xludf.DUMMYFUNCTION("""COMPUTED_VALUE"""),"NORMAL")</f>
        <v>NORMAL</v>
      </c>
      <c r="D855" s="5" t="str">
        <f>IFERROR(__xludf.DUMMYFUNCTION("""COMPUTED_VALUE"""),"SAMUEL MOUTOUSSAMY")</f>
        <v>SAMUEL MOUTOUSSAMY</v>
      </c>
      <c r="E855" s="5">
        <f>IFERROR(__xludf.DUMMYFUNCTION("""COMPUTED_VALUE"""),0.0)</f>
        <v>0</v>
      </c>
    </row>
    <row r="856">
      <c r="A856" s="7" t="str">
        <f>IFERROR(__xludf.DUMMYFUNCTION("""COMPUTED_VALUE"""),"COD12")</f>
        <v>COD12</v>
      </c>
      <c r="B856" s="5" t="str">
        <f>IFERROR(__xludf.DUMMYFUNCTION("""COMPUTED_VALUE"""),"CONGO DR")</f>
        <v>CONGO DR</v>
      </c>
      <c r="C856" s="5" t="str">
        <f>IFERROR(__xludf.DUMMYFUNCTION("""COMPUTED_VALUE"""),"NORMAL")</f>
        <v>NORMAL</v>
      </c>
      <c r="D856" s="5" t="str">
        <f>IFERROR(__xludf.DUMMYFUNCTION("""COMPUTED_VALUE"""),"NOAH SADIKI")</f>
        <v>NOAH SADIKI</v>
      </c>
      <c r="E856" s="5">
        <f>IFERROR(__xludf.DUMMYFUNCTION("""COMPUTED_VALUE"""),0.0)</f>
        <v>0</v>
      </c>
    </row>
    <row r="857">
      <c r="A857" s="7" t="str">
        <f>IFERROR(__xludf.DUMMYFUNCTION("""COMPUTED_VALUE"""),"COD13")</f>
        <v>COD13</v>
      </c>
      <c r="B857" s="5" t="str">
        <f>IFERROR(__xludf.DUMMYFUNCTION("""COMPUTED_VALUE"""),"CONGO DR")</f>
        <v>CONGO DR</v>
      </c>
      <c r="C857" s="5" t="str">
        <f>IFERROR(__xludf.DUMMYFUNCTION("""COMPUTED_VALUE"""),"TEAM")</f>
        <v>TEAM</v>
      </c>
      <c r="D857" s="5" t="str">
        <f>IFERROR(__xludf.DUMMYFUNCTION("""COMPUTED_VALUE"""),"RD CONGO NATIONAL TEAM")</f>
        <v>RD CONGO NATIONAL TEAM</v>
      </c>
      <c r="E857" s="5">
        <f>IFERROR(__xludf.DUMMYFUNCTION("""COMPUTED_VALUE"""),0.0)</f>
        <v>0</v>
      </c>
    </row>
    <row r="858">
      <c r="A858" s="7" t="str">
        <f>IFERROR(__xludf.DUMMYFUNCTION("""COMPUTED_VALUE"""),"COD14")</f>
        <v>COD14</v>
      </c>
      <c r="B858" s="5" t="str">
        <f>IFERROR(__xludf.DUMMYFUNCTION("""COMPUTED_VALUE"""),"CONGO DR")</f>
        <v>CONGO DR</v>
      </c>
      <c r="C858" s="5" t="str">
        <f>IFERROR(__xludf.DUMMYFUNCTION("""COMPUTED_VALUE"""),"NORMAL")</f>
        <v>NORMAL</v>
      </c>
      <c r="D858" s="5" t="str">
        <f>IFERROR(__xludf.DUMMYFUNCTION("""COMPUTED_VALUE"""),"THEO BONGONDA")</f>
        <v>THEO BONGONDA</v>
      </c>
      <c r="E858" s="5">
        <f>IFERROR(__xludf.DUMMYFUNCTION("""COMPUTED_VALUE"""),0.0)</f>
        <v>0</v>
      </c>
    </row>
    <row r="859">
      <c r="A859" s="7" t="str">
        <f>IFERROR(__xludf.DUMMYFUNCTION("""COMPUTED_VALUE"""),"COD15")</f>
        <v>COD15</v>
      </c>
      <c r="B859" s="5" t="str">
        <f>IFERROR(__xludf.DUMMYFUNCTION("""COMPUTED_VALUE"""),"CONGO DR")</f>
        <v>CONGO DR</v>
      </c>
      <c r="C859" s="5" t="str">
        <f>IFERROR(__xludf.DUMMYFUNCTION("""COMPUTED_VALUE"""),"NORMAL")</f>
        <v>NORMAL</v>
      </c>
      <c r="D859" s="5" t="str">
        <f>IFERROR(__xludf.DUMMYFUNCTION("""COMPUTED_VALUE"""),"MESCHACK ELIA")</f>
        <v>MESCHACK ELIA</v>
      </c>
      <c r="E859" s="5">
        <f>IFERROR(__xludf.DUMMYFUNCTION("""COMPUTED_VALUE"""),0.0)</f>
        <v>0</v>
      </c>
    </row>
    <row r="860">
      <c r="A860" s="7" t="str">
        <f>IFERROR(__xludf.DUMMYFUNCTION("""COMPUTED_VALUE"""),"COD16")</f>
        <v>COD16</v>
      </c>
      <c r="B860" s="5" t="str">
        <f>IFERROR(__xludf.DUMMYFUNCTION("""COMPUTED_VALUE"""),"CONGO DR")</f>
        <v>CONGO DR</v>
      </c>
      <c r="C860" s="5" t="str">
        <f>IFERROR(__xludf.DUMMYFUNCTION("""COMPUTED_VALUE"""),"NORMAL")</f>
        <v>NORMAL</v>
      </c>
      <c r="D860" s="5" t="str">
        <f>IFERROR(__xludf.DUMMYFUNCTION("""COMPUTED_VALUE"""),"YOANE WISSA")</f>
        <v>YOANE WISSA</v>
      </c>
      <c r="E860" s="5">
        <f>IFERROR(__xludf.DUMMYFUNCTION("""COMPUTED_VALUE"""),0.0)</f>
        <v>0</v>
      </c>
    </row>
    <row r="861">
      <c r="A861" s="7" t="str">
        <f>IFERROR(__xludf.DUMMYFUNCTION("""COMPUTED_VALUE"""),"COD17")</f>
        <v>COD17</v>
      </c>
      <c r="B861" s="5" t="str">
        <f>IFERROR(__xludf.DUMMYFUNCTION("""COMPUTED_VALUE"""),"CONGO DR")</f>
        <v>CONGO DR</v>
      </c>
      <c r="C861" s="5" t="str">
        <f>IFERROR(__xludf.DUMMYFUNCTION("""COMPUTED_VALUE"""),"NORMAL")</f>
        <v>NORMAL</v>
      </c>
      <c r="D861" s="5" t="str">
        <f>IFERROR(__xludf.DUMMYFUNCTION("""COMPUTED_VALUE"""),"BRIAN CIPENGA")</f>
        <v>BRIAN CIPENGA</v>
      </c>
      <c r="E861" s="5">
        <f>IFERROR(__xludf.DUMMYFUNCTION("""COMPUTED_VALUE"""),0.0)</f>
        <v>0</v>
      </c>
    </row>
    <row r="862">
      <c r="A862" s="7" t="str">
        <f>IFERROR(__xludf.DUMMYFUNCTION("""COMPUTED_VALUE"""),"COD18")</f>
        <v>COD18</v>
      </c>
      <c r="B862" s="5" t="str">
        <f>IFERROR(__xludf.DUMMYFUNCTION("""COMPUTED_VALUE"""),"CONGO DR")</f>
        <v>CONGO DR</v>
      </c>
      <c r="C862" s="5" t="str">
        <f>IFERROR(__xludf.DUMMYFUNCTION("""COMPUTED_VALUE"""),"NORMAL")</f>
        <v>NORMAL</v>
      </c>
      <c r="D862" s="5" t="str">
        <f>IFERROR(__xludf.DUMMYFUNCTION("""COMPUTED_VALUE"""),"FISTON MAYELE")</f>
        <v>FISTON MAYELE</v>
      </c>
      <c r="E862" s="5">
        <f>IFERROR(__xludf.DUMMYFUNCTION("""COMPUTED_VALUE"""),0.0)</f>
        <v>0</v>
      </c>
    </row>
    <row r="863">
      <c r="A863" s="7" t="str">
        <f>IFERROR(__xludf.DUMMYFUNCTION("""COMPUTED_VALUE"""),"COD19")</f>
        <v>COD19</v>
      </c>
      <c r="B863" s="5" t="str">
        <f>IFERROR(__xludf.DUMMYFUNCTION("""COMPUTED_VALUE"""),"CONGO DR")</f>
        <v>CONGO DR</v>
      </c>
      <c r="C863" s="5" t="str">
        <f>IFERROR(__xludf.DUMMYFUNCTION("""COMPUTED_VALUE"""),"NORMAL")</f>
        <v>NORMAL</v>
      </c>
      <c r="D863" s="5" t="str">
        <f>IFERROR(__xludf.DUMMYFUNCTION("""COMPUTED_VALUE"""),"CRDRIC BAKAMBU")</f>
        <v>CRDRIC BAKAMBU</v>
      </c>
      <c r="E863" s="5">
        <f>IFERROR(__xludf.DUMMYFUNCTION("""COMPUTED_VALUE"""),0.0)</f>
        <v>0</v>
      </c>
    </row>
    <row r="864">
      <c r="A864" s="7" t="str">
        <f>IFERROR(__xludf.DUMMYFUNCTION("""COMPUTED_VALUE"""),"COD20")</f>
        <v>COD20</v>
      </c>
      <c r="B864" s="5" t="str">
        <f>IFERROR(__xludf.DUMMYFUNCTION("""COMPUTED_VALUE"""),"CONGO DR")</f>
        <v>CONGO DR</v>
      </c>
      <c r="C864" s="5" t="str">
        <f>IFERROR(__xludf.DUMMYFUNCTION("""COMPUTED_VALUE"""),"NORMAL")</f>
        <v>NORMAL</v>
      </c>
      <c r="D864" s="5" t="str">
        <f>IFERROR(__xludf.DUMMYFUNCTION("""COMPUTED_VALUE"""),"NATHANAEL MBUKU")</f>
        <v>NATHANAEL MBUKU</v>
      </c>
      <c r="E864" s="5">
        <f>IFERROR(__xludf.DUMMYFUNCTION("""COMPUTED_VALUE"""),0.0)</f>
        <v>0</v>
      </c>
    </row>
    <row r="865">
      <c r="A865" s="5" t="str">
        <f>IFERROR(__xludf.DUMMYFUNCTION("""COMPUTED_VALUE"""),"UZB01")</f>
        <v>UZB01</v>
      </c>
      <c r="B865" s="5" t="str">
        <f>IFERROR(__xludf.DUMMYFUNCTION("""COMPUTED_VALUE"""),"UZBEKISTAN")</f>
        <v>UZBEKISTAN</v>
      </c>
      <c r="C865" s="5" t="str">
        <f>IFERROR(__xludf.DUMMYFUNCTION("""COMPUTED_VALUE"""),"BADGE")</f>
        <v>BADGE</v>
      </c>
      <c r="D865" s="5" t="str">
        <f>IFERROR(__xludf.DUMMYFUNCTION("""COMPUTED_VALUE"""),"UZBEKISTAN NATIONAL TEAM")</f>
        <v>UZBEKISTAN NATIONAL TEAM</v>
      </c>
      <c r="E865" s="5">
        <f>IFERROR(__xludf.DUMMYFUNCTION("""COMPUTED_VALUE"""),0.0)</f>
        <v>0</v>
      </c>
    </row>
    <row r="866">
      <c r="A866" s="5" t="str">
        <f>IFERROR(__xludf.DUMMYFUNCTION("""COMPUTED_VALUE"""),"UZB02")</f>
        <v>UZB02</v>
      </c>
      <c r="B866" s="5" t="str">
        <f>IFERROR(__xludf.DUMMYFUNCTION("""COMPUTED_VALUE"""),"UZBEKISTAN")</f>
        <v>UZBEKISTAN</v>
      </c>
      <c r="C866" s="5" t="str">
        <f>IFERROR(__xludf.DUMMYFUNCTION("""COMPUTED_VALUE"""),"NORMAL")</f>
        <v>NORMAL</v>
      </c>
      <c r="D866" s="5" t="str">
        <f>IFERROR(__xludf.DUMMYFUNCTION("""COMPUTED_VALUE"""),"UTKIR YUSUPOV")</f>
        <v>UTKIR YUSUPOV</v>
      </c>
      <c r="E866" s="5">
        <f>IFERROR(__xludf.DUMMYFUNCTION("""COMPUTED_VALUE"""),0.0)</f>
        <v>0</v>
      </c>
    </row>
    <row r="867">
      <c r="A867" s="5" t="str">
        <f>IFERROR(__xludf.DUMMYFUNCTION("""COMPUTED_VALUE"""),"UZB03")</f>
        <v>UZB03</v>
      </c>
      <c r="B867" s="5" t="str">
        <f>IFERROR(__xludf.DUMMYFUNCTION("""COMPUTED_VALUE"""),"UZBEKISTAN")</f>
        <v>UZBEKISTAN</v>
      </c>
      <c r="C867" s="5" t="str">
        <f>IFERROR(__xludf.DUMMYFUNCTION("""COMPUTED_VALUE"""),"NORMAL")</f>
        <v>NORMAL</v>
      </c>
      <c r="D867" s="5" t="str">
        <f>IFERROR(__xludf.DUMMYFUNCTION("""COMPUTED_VALUE"""),"FARRUKH SAYFIEV")</f>
        <v>FARRUKH SAYFIEV</v>
      </c>
      <c r="E867" s="5">
        <f>IFERROR(__xludf.DUMMYFUNCTION("""COMPUTED_VALUE"""),0.0)</f>
        <v>0</v>
      </c>
    </row>
    <row r="868">
      <c r="A868" s="5" t="str">
        <f>IFERROR(__xludf.DUMMYFUNCTION("""COMPUTED_VALUE"""),"UZB04")</f>
        <v>UZB04</v>
      </c>
      <c r="B868" s="5" t="str">
        <f>IFERROR(__xludf.DUMMYFUNCTION("""COMPUTED_VALUE"""),"UZBEKISTAN")</f>
        <v>UZBEKISTAN</v>
      </c>
      <c r="C868" s="5" t="str">
        <f>IFERROR(__xludf.DUMMYFUNCTION("""COMPUTED_VALUE"""),"NORMAL")</f>
        <v>NORMAL</v>
      </c>
      <c r="D868" s="5" t="str">
        <f>IFERROR(__xludf.DUMMYFUNCTION("""COMPUTED_VALUE"""),"SHERZOO NASRULLAEV")</f>
        <v>SHERZOO NASRULLAEV</v>
      </c>
      <c r="E868" s="5">
        <f>IFERROR(__xludf.DUMMYFUNCTION("""COMPUTED_VALUE"""),0.0)</f>
        <v>0</v>
      </c>
    </row>
    <row r="869">
      <c r="A869" s="5" t="str">
        <f>IFERROR(__xludf.DUMMYFUNCTION("""COMPUTED_VALUE"""),"UZB05")</f>
        <v>UZB05</v>
      </c>
      <c r="B869" s="5" t="str">
        <f>IFERROR(__xludf.DUMMYFUNCTION("""COMPUTED_VALUE"""),"UZBEKISTAN")</f>
        <v>UZBEKISTAN</v>
      </c>
      <c r="C869" s="5" t="str">
        <f>IFERROR(__xludf.DUMMYFUNCTION("""COMPUTED_VALUE"""),"NORMAL")</f>
        <v>NORMAL</v>
      </c>
      <c r="D869" s="5" t="str">
        <f>IFERROR(__xludf.DUMMYFUNCTION("""COMPUTED_VALUE"""),"UMAR ESHMURODOV")</f>
        <v>UMAR ESHMURODOV</v>
      </c>
      <c r="E869" s="5">
        <f>IFERROR(__xludf.DUMMYFUNCTION("""COMPUTED_VALUE"""),0.0)</f>
        <v>0</v>
      </c>
    </row>
    <row r="870">
      <c r="A870" s="5" t="str">
        <f>IFERROR(__xludf.DUMMYFUNCTION("""COMPUTED_VALUE"""),"UZB06")</f>
        <v>UZB06</v>
      </c>
      <c r="B870" s="5" t="str">
        <f>IFERROR(__xludf.DUMMYFUNCTION("""COMPUTED_VALUE"""),"UZBEKISTAN")</f>
        <v>UZBEKISTAN</v>
      </c>
      <c r="C870" s="5" t="str">
        <f>IFERROR(__xludf.DUMMYFUNCTION("""COMPUTED_VALUE"""),"NORMAL")</f>
        <v>NORMAL</v>
      </c>
      <c r="D870" s="5" t="str">
        <f>IFERROR(__xludf.DUMMYFUNCTION("""COMPUTED_VALUE"""),"HUSNIDDIN ALIQULOV")</f>
        <v>HUSNIDDIN ALIQULOV</v>
      </c>
      <c r="E870" s="5">
        <f>IFERROR(__xludf.DUMMYFUNCTION("""COMPUTED_VALUE"""),0.0)</f>
        <v>0</v>
      </c>
    </row>
    <row r="871">
      <c r="A871" s="5" t="str">
        <f>IFERROR(__xludf.DUMMYFUNCTION("""COMPUTED_VALUE"""),"UZB07")</f>
        <v>UZB07</v>
      </c>
      <c r="B871" s="5" t="str">
        <f>IFERROR(__xludf.DUMMYFUNCTION("""COMPUTED_VALUE"""),"UZBEKISTAN")</f>
        <v>UZBEKISTAN</v>
      </c>
      <c r="C871" s="5" t="str">
        <f>IFERROR(__xludf.DUMMYFUNCTION("""COMPUTED_VALUE"""),"NORMAL")</f>
        <v>NORMAL</v>
      </c>
      <c r="D871" s="5" t="str">
        <f>IFERROR(__xludf.DUMMYFUNCTION("""COMPUTED_VALUE"""),"RUSTAM ASHURMATOV")</f>
        <v>RUSTAM ASHURMATOV</v>
      </c>
      <c r="E871" s="5">
        <f>IFERROR(__xludf.DUMMYFUNCTION("""COMPUTED_VALUE"""),0.0)</f>
        <v>0</v>
      </c>
    </row>
    <row r="872">
      <c r="A872" s="5" t="str">
        <f>IFERROR(__xludf.DUMMYFUNCTION("""COMPUTED_VALUE"""),"UZB08")</f>
        <v>UZB08</v>
      </c>
      <c r="B872" s="5" t="str">
        <f>IFERROR(__xludf.DUMMYFUNCTION("""COMPUTED_VALUE"""),"UZBEKISTAN")</f>
        <v>UZBEKISTAN</v>
      </c>
      <c r="C872" s="5" t="str">
        <f>IFERROR(__xludf.DUMMYFUNCTION("""COMPUTED_VALUE"""),"NORMAL")</f>
        <v>NORMAL</v>
      </c>
      <c r="D872" s="5" t="str">
        <f>IFERROR(__xludf.DUMMYFUNCTION("""COMPUTED_VALUE"""),"KHOJIAKBAR ALIJONOV")</f>
        <v>KHOJIAKBAR ALIJONOV</v>
      </c>
      <c r="E872" s="5">
        <f>IFERROR(__xludf.DUMMYFUNCTION("""COMPUTED_VALUE"""),0.0)</f>
        <v>0</v>
      </c>
    </row>
    <row r="873">
      <c r="A873" s="5" t="str">
        <f>IFERROR(__xludf.DUMMYFUNCTION("""COMPUTED_VALUE"""),"UZB09")</f>
        <v>UZB09</v>
      </c>
      <c r="B873" s="5" t="str">
        <f>IFERROR(__xludf.DUMMYFUNCTION("""COMPUTED_VALUE"""),"UZBEKISTAN")</f>
        <v>UZBEKISTAN</v>
      </c>
      <c r="C873" s="5" t="str">
        <f>IFERROR(__xludf.DUMMYFUNCTION("""COMPUTED_VALUE"""),"NORMAL")</f>
        <v>NORMAL</v>
      </c>
      <c r="D873" s="5" t="str">
        <f>IFERROR(__xludf.DUMMYFUNCTION("""COMPUTED_VALUE"""),"ABDUKODIR KHUSANOV")</f>
        <v>ABDUKODIR KHUSANOV</v>
      </c>
      <c r="E873" s="5">
        <f>IFERROR(__xludf.DUMMYFUNCTION("""COMPUTED_VALUE"""),0.0)</f>
        <v>0</v>
      </c>
    </row>
    <row r="874">
      <c r="A874" s="5" t="str">
        <f>IFERROR(__xludf.DUMMYFUNCTION("""COMPUTED_VALUE"""),"UZB10")</f>
        <v>UZB10</v>
      </c>
      <c r="B874" s="5" t="str">
        <f>IFERROR(__xludf.DUMMYFUNCTION("""COMPUTED_VALUE"""),"UZBEKISTAN")</f>
        <v>UZBEKISTAN</v>
      </c>
      <c r="C874" s="5" t="str">
        <f>IFERROR(__xludf.DUMMYFUNCTION("""COMPUTED_VALUE"""),"NORMAL")</f>
        <v>NORMAL</v>
      </c>
      <c r="D874" s="5" t="str">
        <f>IFERROR(__xludf.DUMMYFUNCTION("""COMPUTED_VALUE"""),"ODILJON HAMROBEKOV")</f>
        <v>ODILJON HAMROBEKOV</v>
      </c>
      <c r="E874" s="5">
        <f>IFERROR(__xludf.DUMMYFUNCTION("""COMPUTED_VALUE"""),0.0)</f>
        <v>0</v>
      </c>
    </row>
    <row r="875">
      <c r="A875" s="5" t="str">
        <f>IFERROR(__xludf.DUMMYFUNCTION("""COMPUTED_VALUE"""),"UZB11")</f>
        <v>UZB11</v>
      </c>
      <c r="B875" s="5" t="str">
        <f>IFERROR(__xludf.DUMMYFUNCTION("""COMPUTED_VALUE"""),"UZBEKISTAN")</f>
        <v>UZBEKISTAN</v>
      </c>
      <c r="C875" s="5" t="str">
        <f>IFERROR(__xludf.DUMMYFUNCTION("""COMPUTED_VALUE"""),"NORMAL")</f>
        <v>NORMAL</v>
      </c>
      <c r="D875" s="5" t="str">
        <f>IFERROR(__xludf.DUMMYFUNCTION("""COMPUTED_VALUE"""),"OTABEK SHUKUROV")</f>
        <v>OTABEK SHUKUROV</v>
      </c>
      <c r="E875" s="5">
        <f>IFERROR(__xludf.DUMMYFUNCTION("""COMPUTED_VALUE"""),0.0)</f>
        <v>0</v>
      </c>
    </row>
    <row r="876">
      <c r="A876" s="5" t="str">
        <f>IFERROR(__xludf.DUMMYFUNCTION("""COMPUTED_VALUE"""),"UZB12")</f>
        <v>UZB12</v>
      </c>
      <c r="B876" s="5" t="str">
        <f>IFERROR(__xludf.DUMMYFUNCTION("""COMPUTED_VALUE"""),"UZBEKISTAN")</f>
        <v>UZBEKISTAN</v>
      </c>
      <c r="C876" s="5" t="str">
        <f>IFERROR(__xludf.DUMMYFUNCTION("""COMPUTED_VALUE"""),"NORMAL")</f>
        <v>NORMAL</v>
      </c>
      <c r="D876" s="5" t="str">
        <f>IFERROR(__xludf.DUMMYFUNCTION("""COMPUTED_VALUE"""),"JAMSHID ISKANDEROV")</f>
        <v>JAMSHID ISKANDEROV</v>
      </c>
      <c r="E876" s="5">
        <f>IFERROR(__xludf.DUMMYFUNCTION("""COMPUTED_VALUE"""),0.0)</f>
        <v>0</v>
      </c>
    </row>
    <row r="877">
      <c r="A877" s="5" t="str">
        <f>IFERROR(__xludf.DUMMYFUNCTION("""COMPUTED_VALUE"""),"UZB13")</f>
        <v>UZB13</v>
      </c>
      <c r="B877" s="5" t="str">
        <f>IFERROR(__xludf.DUMMYFUNCTION("""COMPUTED_VALUE"""),"UZBEKISTAN")</f>
        <v>UZBEKISTAN</v>
      </c>
      <c r="C877" s="5" t="str">
        <f>IFERROR(__xludf.DUMMYFUNCTION("""COMPUTED_VALUE"""),"TEAM")</f>
        <v>TEAM</v>
      </c>
      <c r="D877" s="5" t="str">
        <f>IFERROR(__xludf.DUMMYFUNCTION("""COMPUTED_VALUE"""),"UZBEKISTAN NATIONAL TEAM")</f>
        <v>UZBEKISTAN NATIONAL TEAM</v>
      </c>
      <c r="E877" s="5">
        <f>IFERROR(__xludf.DUMMYFUNCTION("""COMPUTED_VALUE"""),0.0)</f>
        <v>0</v>
      </c>
    </row>
    <row r="878">
      <c r="A878" s="5" t="str">
        <f>IFERROR(__xludf.DUMMYFUNCTION("""COMPUTED_VALUE"""),"UZB14")</f>
        <v>UZB14</v>
      </c>
      <c r="B878" s="5" t="str">
        <f>IFERROR(__xludf.DUMMYFUNCTION("""COMPUTED_VALUE"""),"UZBEKISTAN")</f>
        <v>UZBEKISTAN</v>
      </c>
      <c r="C878" s="5" t="str">
        <f>IFERROR(__xludf.DUMMYFUNCTION("""COMPUTED_VALUE"""),"NORMAL")</f>
        <v>NORMAL</v>
      </c>
      <c r="D878" s="5" t="str">
        <f>IFERROR(__xludf.DUMMYFUNCTION("""COMPUTED_VALUE"""),"AZIZBEK TURGUNBOEV")</f>
        <v>AZIZBEK TURGUNBOEV</v>
      </c>
      <c r="E878" s="5">
        <f>IFERROR(__xludf.DUMMYFUNCTION("""COMPUTED_VALUE"""),0.0)</f>
        <v>0</v>
      </c>
    </row>
    <row r="879">
      <c r="A879" s="5" t="str">
        <f>IFERROR(__xludf.DUMMYFUNCTION("""COMPUTED_VALUE"""),"UZB15")</f>
        <v>UZB15</v>
      </c>
      <c r="B879" s="5" t="str">
        <f>IFERROR(__xludf.DUMMYFUNCTION("""COMPUTED_VALUE"""),"UZBEKISTAN")</f>
        <v>UZBEKISTAN</v>
      </c>
      <c r="C879" s="5" t="str">
        <f>IFERROR(__xludf.DUMMYFUNCTION("""COMPUTED_VALUE"""),"NORMAL")</f>
        <v>NORMAL</v>
      </c>
      <c r="D879" s="5" t="str">
        <f>IFERROR(__xludf.DUMMYFUNCTION("""COMPUTED_VALUE"""),"KHOJIMAT ERKINOV")</f>
        <v>KHOJIMAT ERKINOV</v>
      </c>
      <c r="E879" s="5">
        <f>IFERROR(__xludf.DUMMYFUNCTION("""COMPUTED_VALUE"""),0.0)</f>
        <v>0</v>
      </c>
    </row>
    <row r="880">
      <c r="A880" s="5" t="str">
        <f>IFERROR(__xludf.DUMMYFUNCTION("""COMPUTED_VALUE"""),"UZB16")</f>
        <v>UZB16</v>
      </c>
      <c r="B880" s="5" t="str">
        <f>IFERROR(__xludf.DUMMYFUNCTION("""COMPUTED_VALUE"""),"UZBEKISTAN")</f>
        <v>UZBEKISTAN</v>
      </c>
      <c r="C880" s="5" t="str">
        <f>IFERROR(__xludf.DUMMYFUNCTION("""COMPUTED_VALUE"""),"NORMAL")</f>
        <v>NORMAL</v>
      </c>
      <c r="D880" s="5" t="str">
        <f>IFERROR(__xludf.DUMMYFUNCTION("""COMPUTED_VALUE"""),"ELDOR SHOMURODOV")</f>
        <v>ELDOR SHOMURODOV</v>
      </c>
      <c r="E880" s="5">
        <f>IFERROR(__xludf.DUMMYFUNCTION("""COMPUTED_VALUE"""),0.0)</f>
        <v>0</v>
      </c>
    </row>
    <row r="881">
      <c r="A881" s="5" t="str">
        <f>IFERROR(__xludf.DUMMYFUNCTION("""COMPUTED_VALUE"""),"UZB17")</f>
        <v>UZB17</v>
      </c>
      <c r="B881" s="5" t="str">
        <f>IFERROR(__xludf.DUMMYFUNCTION("""COMPUTED_VALUE"""),"UZBEKISTAN")</f>
        <v>UZBEKISTAN</v>
      </c>
      <c r="C881" s="5" t="str">
        <f>IFERROR(__xludf.DUMMYFUNCTION("""COMPUTED_VALUE"""),"NORMAL")</f>
        <v>NORMAL</v>
      </c>
      <c r="D881" s="5" t="str">
        <f>IFERROR(__xludf.DUMMYFUNCTION("""COMPUTED_VALUE"""),"OSTON URUNOV")</f>
        <v>OSTON URUNOV</v>
      </c>
      <c r="E881" s="5">
        <f>IFERROR(__xludf.DUMMYFUNCTION("""COMPUTED_VALUE"""),0.0)</f>
        <v>0</v>
      </c>
    </row>
    <row r="882">
      <c r="A882" s="5" t="str">
        <f>IFERROR(__xludf.DUMMYFUNCTION("""COMPUTED_VALUE"""),"UZB18")</f>
        <v>UZB18</v>
      </c>
      <c r="B882" s="5" t="str">
        <f>IFERROR(__xludf.DUMMYFUNCTION("""COMPUTED_VALUE"""),"UZBEKISTAN")</f>
        <v>UZBEKISTAN</v>
      </c>
      <c r="C882" s="5" t="str">
        <f>IFERROR(__xludf.DUMMYFUNCTION("""COMPUTED_VALUE"""),"NORMAL")</f>
        <v>NORMAL</v>
      </c>
      <c r="D882" s="5" t="str">
        <f>IFERROR(__xludf.DUMMYFUNCTION("""COMPUTED_VALUE"""),"JALOLIDDIN MASHARIPOV")</f>
        <v>JALOLIDDIN MASHARIPOV</v>
      </c>
      <c r="E882" s="5">
        <f>IFERROR(__xludf.DUMMYFUNCTION("""COMPUTED_VALUE"""),0.0)</f>
        <v>0</v>
      </c>
    </row>
    <row r="883">
      <c r="A883" s="5" t="str">
        <f>IFERROR(__xludf.DUMMYFUNCTION("""COMPUTED_VALUE"""),"UZB19")</f>
        <v>UZB19</v>
      </c>
      <c r="B883" s="5" t="str">
        <f>IFERROR(__xludf.DUMMYFUNCTION("""COMPUTED_VALUE"""),"UZBEKISTAN")</f>
        <v>UZBEKISTAN</v>
      </c>
      <c r="C883" s="5" t="str">
        <f>IFERROR(__xludf.DUMMYFUNCTION("""COMPUTED_VALUE"""),"NORMAL")</f>
        <v>NORMAL</v>
      </c>
      <c r="D883" s="5" t="str">
        <f>IFERROR(__xludf.DUMMYFUNCTION("""COMPUTED_VALUE"""),"IGOR SERGEEV")</f>
        <v>IGOR SERGEEV</v>
      </c>
      <c r="E883" s="5">
        <f>IFERROR(__xludf.DUMMYFUNCTION("""COMPUTED_VALUE"""),0.0)</f>
        <v>0</v>
      </c>
    </row>
    <row r="884">
      <c r="A884" s="5" t="str">
        <f>IFERROR(__xludf.DUMMYFUNCTION("""COMPUTED_VALUE"""),"UZB20")</f>
        <v>UZB20</v>
      </c>
      <c r="B884" s="5" t="str">
        <f>IFERROR(__xludf.DUMMYFUNCTION("""COMPUTED_VALUE"""),"UZBEKISTAN")</f>
        <v>UZBEKISTAN</v>
      </c>
      <c r="C884" s="5" t="str">
        <f>IFERROR(__xludf.DUMMYFUNCTION("""COMPUTED_VALUE"""),"NORMAL")</f>
        <v>NORMAL</v>
      </c>
      <c r="D884" s="5" t="str">
        <f>IFERROR(__xludf.DUMMYFUNCTION("""COMPUTED_VALUE"""),"ABBOSBEK FAYZULLAEV")</f>
        <v>ABBOSBEK FAYZULLAEV</v>
      </c>
      <c r="E884" s="5">
        <f>IFERROR(__xludf.DUMMYFUNCTION("""COMPUTED_VALUE"""),0.0)</f>
        <v>0</v>
      </c>
    </row>
    <row r="885">
      <c r="A885" s="5" t="str">
        <f>IFERROR(__xludf.DUMMYFUNCTION("""COMPUTED_VALUE"""),"COL01")</f>
        <v>COL01</v>
      </c>
      <c r="B885" s="5" t="str">
        <f>IFERROR(__xludf.DUMMYFUNCTION("""COMPUTED_VALUE"""),"COLOMBIA")</f>
        <v>COLOMBIA</v>
      </c>
      <c r="C885" s="5" t="str">
        <f>IFERROR(__xludf.DUMMYFUNCTION("""COMPUTED_VALUE"""),"BADGE")</f>
        <v>BADGE</v>
      </c>
      <c r="D885" s="5" t="str">
        <f>IFERROR(__xludf.DUMMYFUNCTION("""COMPUTED_VALUE"""),"COLOMBIA NATIONAL TEAM")</f>
        <v>COLOMBIA NATIONAL TEAM</v>
      </c>
      <c r="E885" s="5">
        <f>IFERROR(__xludf.DUMMYFUNCTION("""COMPUTED_VALUE"""),0.0)</f>
        <v>0</v>
      </c>
    </row>
    <row r="886">
      <c r="A886" s="5" t="str">
        <f>IFERROR(__xludf.DUMMYFUNCTION("""COMPUTED_VALUE"""),"COL02")</f>
        <v>COL02</v>
      </c>
      <c r="B886" s="5" t="str">
        <f>IFERROR(__xludf.DUMMYFUNCTION("""COMPUTED_VALUE"""),"COLOMBIA")</f>
        <v>COLOMBIA</v>
      </c>
      <c r="C886" s="5" t="str">
        <f>IFERROR(__xludf.DUMMYFUNCTION("""COMPUTED_VALUE"""),"NORMAL")</f>
        <v>NORMAL</v>
      </c>
      <c r="D886" s="5" t="str">
        <f>IFERROR(__xludf.DUMMYFUNCTION("""COMPUTED_VALUE"""),"CAMILO VARGAS")</f>
        <v>CAMILO VARGAS</v>
      </c>
      <c r="E886" s="5">
        <f>IFERROR(__xludf.DUMMYFUNCTION("""COMPUTED_VALUE"""),0.0)</f>
        <v>0</v>
      </c>
    </row>
    <row r="887">
      <c r="A887" s="5" t="str">
        <f>IFERROR(__xludf.DUMMYFUNCTION("""COMPUTED_VALUE"""),"COL03")</f>
        <v>COL03</v>
      </c>
      <c r="B887" s="5" t="str">
        <f>IFERROR(__xludf.DUMMYFUNCTION("""COMPUTED_VALUE"""),"COLOMBIA")</f>
        <v>COLOMBIA</v>
      </c>
      <c r="C887" s="5" t="str">
        <f>IFERROR(__xludf.DUMMYFUNCTION("""COMPUTED_VALUE"""),"NORMAL")</f>
        <v>NORMAL</v>
      </c>
      <c r="D887" s="5" t="str">
        <f>IFERROR(__xludf.DUMMYFUNCTION("""COMPUTED_VALUE"""),"DAVID OSPINA")</f>
        <v>DAVID OSPINA</v>
      </c>
      <c r="E887" s="5">
        <f>IFERROR(__xludf.DUMMYFUNCTION("""COMPUTED_VALUE"""),0.0)</f>
        <v>0</v>
      </c>
    </row>
    <row r="888">
      <c r="A888" s="5" t="str">
        <f>IFERROR(__xludf.DUMMYFUNCTION("""COMPUTED_VALUE"""),"COL04")</f>
        <v>COL04</v>
      </c>
      <c r="B888" s="5" t="str">
        <f>IFERROR(__xludf.DUMMYFUNCTION("""COMPUTED_VALUE"""),"COLOMBIA")</f>
        <v>COLOMBIA</v>
      </c>
      <c r="C888" s="5" t="str">
        <f>IFERROR(__xludf.DUMMYFUNCTION("""COMPUTED_VALUE"""),"NORMAL")</f>
        <v>NORMAL</v>
      </c>
      <c r="D888" s="5" t="str">
        <f>IFERROR(__xludf.DUMMYFUNCTION("""COMPUTED_VALUE"""),"DAVINSON SANCHEZ")</f>
        <v>DAVINSON SANCHEZ</v>
      </c>
      <c r="E888" s="5">
        <f>IFERROR(__xludf.DUMMYFUNCTION("""COMPUTED_VALUE"""),0.0)</f>
        <v>0</v>
      </c>
    </row>
    <row r="889">
      <c r="A889" s="5" t="str">
        <f>IFERROR(__xludf.DUMMYFUNCTION("""COMPUTED_VALUE"""),"COL05")</f>
        <v>COL05</v>
      </c>
      <c r="B889" s="5" t="str">
        <f>IFERROR(__xludf.DUMMYFUNCTION("""COMPUTED_VALUE"""),"COLOMBIA")</f>
        <v>COLOMBIA</v>
      </c>
      <c r="C889" s="5" t="str">
        <f>IFERROR(__xludf.DUMMYFUNCTION("""COMPUTED_VALUE"""),"NORMAL")</f>
        <v>NORMAL</v>
      </c>
      <c r="D889" s="5" t="str">
        <f>IFERROR(__xludf.DUMMYFUNCTION("""COMPUTED_VALUE"""),"YERRY MINA")</f>
        <v>YERRY MINA</v>
      </c>
      <c r="E889" s="5">
        <f>IFERROR(__xludf.DUMMYFUNCTION("""COMPUTED_VALUE"""),0.0)</f>
        <v>0</v>
      </c>
    </row>
    <row r="890">
      <c r="A890" s="5" t="str">
        <f>IFERROR(__xludf.DUMMYFUNCTION("""COMPUTED_VALUE"""),"COL06")</f>
        <v>COL06</v>
      </c>
      <c r="B890" s="5" t="str">
        <f>IFERROR(__xludf.DUMMYFUNCTION("""COMPUTED_VALUE"""),"COLOMBIA")</f>
        <v>COLOMBIA</v>
      </c>
      <c r="C890" s="5" t="str">
        <f>IFERROR(__xludf.DUMMYFUNCTION("""COMPUTED_VALUE"""),"NORMAL")</f>
        <v>NORMAL</v>
      </c>
      <c r="D890" s="5" t="str">
        <f>IFERROR(__xludf.DUMMYFUNCTION("""COMPUTED_VALUE"""),"DANIEL MUÑOZ")</f>
        <v>DANIEL MUÑOZ</v>
      </c>
      <c r="E890" s="5">
        <f>IFERROR(__xludf.DUMMYFUNCTION("""COMPUTED_VALUE"""),0.0)</f>
        <v>0</v>
      </c>
    </row>
    <row r="891">
      <c r="A891" s="5" t="str">
        <f>IFERROR(__xludf.DUMMYFUNCTION("""COMPUTED_VALUE"""),"COL07")</f>
        <v>COL07</v>
      </c>
      <c r="B891" s="5" t="str">
        <f>IFERROR(__xludf.DUMMYFUNCTION("""COMPUTED_VALUE"""),"COLOMBIA")</f>
        <v>COLOMBIA</v>
      </c>
      <c r="C891" s="5" t="str">
        <f>IFERROR(__xludf.DUMMYFUNCTION("""COMPUTED_VALUE"""),"NORMAL")</f>
        <v>NORMAL</v>
      </c>
      <c r="D891" s="5" t="str">
        <f>IFERROR(__xludf.DUMMYFUNCTION("""COMPUTED_VALUE"""),"JOHAN MOJICA")</f>
        <v>JOHAN MOJICA</v>
      </c>
      <c r="E891" s="5">
        <f>IFERROR(__xludf.DUMMYFUNCTION("""COMPUTED_VALUE"""),0.0)</f>
        <v>0</v>
      </c>
    </row>
    <row r="892">
      <c r="A892" s="5" t="str">
        <f>IFERROR(__xludf.DUMMYFUNCTION("""COMPUTED_VALUE"""),"COL08")</f>
        <v>COL08</v>
      </c>
      <c r="B892" s="5" t="str">
        <f>IFERROR(__xludf.DUMMYFUNCTION("""COMPUTED_VALUE"""),"COLOMBIA")</f>
        <v>COLOMBIA</v>
      </c>
      <c r="C892" s="5" t="str">
        <f>IFERROR(__xludf.DUMMYFUNCTION("""COMPUTED_VALUE"""),"NORMAL")</f>
        <v>NORMAL</v>
      </c>
      <c r="D892" s="5" t="str">
        <f>IFERROR(__xludf.DUMMYFUNCTION("""COMPUTED_VALUE"""),"JHON LUCUMI")</f>
        <v>JHON LUCUMI</v>
      </c>
      <c r="E892" s="5">
        <f>IFERROR(__xludf.DUMMYFUNCTION("""COMPUTED_VALUE"""),0.0)</f>
        <v>0</v>
      </c>
    </row>
    <row r="893">
      <c r="A893" s="5" t="str">
        <f>IFERROR(__xludf.DUMMYFUNCTION("""COMPUTED_VALUE"""),"COL09")</f>
        <v>COL09</v>
      </c>
      <c r="B893" s="5" t="str">
        <f>IFERROR(__xludf.DUMMYFUNCTION("""COMPUTED_VALUE"""),"COLOMBIA")</f>
        <v>COLOMBIA</v>
      </c>
      <c r="C893" s="5" t="str">
        <f>IFERROR(__xludf.DUMMYFUNCTION("""COMPUTED_VALUE"""),"NORMAL")</f>
        <v>NORMAL</v>
      </c>
      <c r="D893" s="5" t="str">
        <f>IFERROR(__xludf.DUMMYFUNCTION("""COMPUTED_VALUE"""),"SANTIAGO ARIAS")</f>
        <v>SANTIAGO ARIAS</v>
      </c>
      <c r="E893" s="5">
        <f>IFERROR(__xludf.DUMMYFUNCTION("""COMPUTED_VALUE"""),0.0)</f>
        <v>0</v>
      </c>
    </row>
    <row r="894">
      <c r="A894" s="5" t="str">
        <f>IFERROR(__xludf.DUMMYFUNCTION("""COMPUTED_VALUE"""),"COL10")</f>
        <v>COL10</v>
      </c>
      <c r="B894" s="5" t="str">
        <f>IFERROR(__xludf.DUMMYFUNCTION("""COMPUTED_VALUE"""),"COLOMBIA")</f>
        <v>COLOMBIA</v>
      </c>
      <c r="C894" s="5" t="str">
        <f>IFERROR(__xludf.DUMMYFUNCTION("""COMPUTED_VALUE"""),"NORMAL")</f>
        <v>NORMAL</v>
      </c>
      <c r="D894" s="5" t="str">
        <f>IFERROR(__xludf.DUMMYFUNCTION("""COMPUTED_VALUE"""),"JEFFERSON LERMA")</f>
        <v>JEFFERSON LERMA</v>
      </c>
      <c r="E894" s="5">
        <f>IFERROR(__xludf.DUMMYFUNCTION("""COMPUTED_VALUE"""),0.0)</f>
        <v>0</v>
      </c>
    </row>
    <row r="895">
      <c r="A895" s="5" t="str">
        <f>IFERROR(__xludf.DUMMYFUNCTION("""COMPUTED_VALUE"""),"COL11")</f>
        <v>COL11</v>
      </c>
      <c r="B895" s="5" t="str">
        <f>IFERROR(__xludf.DUMMYFUNCTION("""COMPUTED_VALUE"""),"COLOMBIA")</f>
        <v>COLOMBIA</v>
      </c>
      <c r="C895" s="5" t="str">
        <f>IFERROR(__xludf.DUMMYFUNCTION("""COMPUTED_VALUE"""),"NORMAL")</f>
        <v>NORMAL</v>
      </c>
      <c r="D895" s="5" t="str">
        <f>IFERROR(__xludf.DUMMYFUNCTION("""COMPUTED_VALUE"""),"KEVIN CASTAÑO")</f>
        <v>KEVIN CASTAÑO</v>
      </c>
      <c r="E895" s="5">
        <f>IFERROR(__xludf.DUMMYFUNCTION("""COMPUTED_VALUE"""),0.0)</f>
        <v>0</v>
      </c>
    </row>
    <row r="896">
      <c r="A896" s="5" t="str">
        <f>IFERROR(__xludf.DUMMYFUNCTION("""COMPUTED_VALUE"""),"COL12")</f>
        <v>COL12</v>
      </c>
      <c r="B896" s="5" t="str">
        <f>IFERROR(__xludf.DUMMYFUNCTION("""COMPUTED_VALUE"""),"COLOMBIA")</f>
        <v>COLOMBIA</v>
      </c>
      <c r="C896" s="5" t="str">
        <f>IFERROR(__xludf.DUMMYFUNCTION("""COMPUTED_VALUE"""),"NORMAL")</f>
        <v>NORMAL</v>
      </c>
      <c r="D896" s="5" t="str">
        <f>IFERROR(__xludf.DUMMYFUNCTION("""COMPUTED_VALUE"""),"RICHARD RIOS")</f>
        <v>RICHARD RIOS</v>
      </c>
      <c r="E896" s="5">
        <f>IFERROR(__xludf.DUMMYFUNCTION("""COMPUTED_VALUE"""),0.0)</f>
        <v>0</v>
      </c>
    </row>
    <row r="897">
      <c r="A897" s="5" t="str">
        <f>IFERROR(__xludf.DUMMYFUNCTION("""COMPUTED_VALUE"""),"COL13")</f>
        <v>COL13</v>
      </c>
      <c r="B897" s="5" t="str">
        <f>IFERROR(__xludf.DUMMYFUNCTION("""COMPUTED_VALUE"""),"COLOMBIA")</f>
        <v>COLOMBIA</v>
      </c>
      <c r="C897" s="5" t="str">
        <f>IFERROR(__xludf.DUMMYFUNCTION("""COMPUTED_VALUE"""),"TEAM")</f>
        <v>TEAM</v>
      </c>
      <c r="D897" s="5" t="str">
        <f>IFERROR(__xludf.DUMMYFUNCTION("""COMPUTED_VALUE"""),"COLOMBIA NATIONAL TEAM")</f>
        <v>COLOMBIA NATIONAL TEAM</v>
      </c>
      <c r="E897" s="5">
        <f>IFERROR(__xludf.DUMMYFUNCTION("""COMPUTED_VALUE"""),0.0)</f>
        <v>0</v>
      </c>
    </row>
    <row r="898">
      <c r="A898" s="5" t="str">
        <f>IFERROR(__xludf.DUMMYFUNCTION("""COMPUTED_VALUE"""),"COL14")</f>
        <v>COL14</v>
      </c>
      <c r="B898" s="5" t="str">
        <f>IFERROR(__xludf.DUMMYFUNCTION("""COMPUTED_VALUE"""),"COLOMBIA")</f>
        <v>COLOMBIA</v>
      </c>
      <c r="C898" s="5" t="str">
        <f>IFERROR(__xludf.DUMMYFUNCTION("""COMPUTED_VALUE"""),"NORMAL")</f>
        <v>NORMAL</v>
      </c>
      <c r="D898" s="5" t="str">
        <f>IFERROR(__xludf.DUMMYFUNCTION("""COMPUTED_VALUE"""),"JAMES RODRIGUEZ")</f>
        <v>JAMES RODRIGUEZ</v>
      </c>
      <c r="E898" s="5">
        <f>IFERROR(__xludf.DUMMYFUNCTION("""COMPUTED_VALUE"""),0.0)</f>
        <v>0</v>
      </c>
    </row>
    <row r="899">
      <c r="A899" s="5" t="str">
        <f>IFERROR(__xludf.DUMMYFUNCTION("""COMPUTED_VALUE"""),"COL15")</f>
        <v>COL15</v>
      </c>
      <c r="B899" s="5" t="str">
        <f>IFERROR(__xludf.DUMMYFUNCTION("""COMPUTED_VALUE"""),"COLOMBIA")</f>
        <v>COLOMBIA</v>
      </c>
      <c r="C899" s="5" t="str">
        <f>IFERROR(__xludf.DUMMYFUNCTION("""COMPUTED_VALUE"""),"NORMAL")</f>
        <v>NORMAL</v>
      </c>
      <c r="D899" s="5" t="str">
        <f>IFERROR(__xludf.DUMMYFUNCTION("""COMPUTED_VALUE"""),"JUAN FERNANDO QUINTERO")</f>
        <v>JUAN FERNANDO QUINTERO</v>
      </c>
      <c r="E899" s="5">
        <f>IFERROR(__xludf.DUMMYFUNCTION("""COMPUTED_VALUE"""),0.0)</f>
        <v>0</v>
      </c>
    </row>
    <row r="900">
      <c r="A900" s="5" t="str">
        <f>IFERROR(__xludf.DUMMYFUNCTION("""COMPUTED_VALUE"""),"COL16")</f>
        <v>COL16</v>
      </c>
      <c r="B900" s="5" t="str">
        <f>IFERROR(__xludf.DUMMYFUNCTION("""COMPUTED_VALUE"""),"COLOMBIA")</f>
        <v>COLOMBIA</v>
      </c>
      <c r="C900" s="5" t="str">
        <f>IFERROR(__xludf.DUMMYFUNCTION("""COMPUTED_VALUE"""),"NORMAL")</f>
        <v>NORMAL</v>
      </c>
      <c r="D900" s="5" t="str">
        <f>IFERROR(__xludf.DUMMYFUNCTION("""COMPUTED_VALUE"""),"JORGE CARRASCAL")</f>
        <v>JORGE CARRASCAL</v>
      </c>
      <c r="E900" s="5">
        <f>IFERROR(__xludf.DUMMYFUNCTION("""COMPUTED_VALUE"""),0.0)</f>
        <v>0</v>
      </c>
    </row>
    <row r="901">
      <c r="A901" s="5" t="str">
        <f>IFERROR(__xludf.DUMMYFUNCTION("""COMPUTED_VALUE"""),"COL17")</f>
        <v>COL17</v>
      </c>
      <c r="B901" s="5" t="str">
        <f>IFERROR(__xludf.DUMMYFUNCTION("""COMPUTED_VALUE"""),"COLOMBIA")</f>
        <v>COLOMBIA</v>
      </c>
      <c r="C901" s="5" t="str">
        <f>IFERROR(__xludf.DUMMYFUNCTION("""COMPUTED_VALUE"""),"NORMAL")</f>
        <v>NORMAL</v>
      </c>
      <c r="D901" s="5" t="str">
        <f>IFERROR(__xludf.DUMMYFUNCTION("""COMPUTED_VALUE"""),"JHON ARIAS")</f>
        <v>JHON ARIAS</v>
      </c>
      <c r="E901" s="5">
        <f>IFERROR(__xludf.DUMMYFUNCTION("""COMPUTED_VALUE"""),0.0)</f>
        <v>0</v>
      </c>
    </row>
    <row r="902">
      <c r="A902" s="5" t="str">
        <f>IFERROR(__xludf.DUMMYFUNCTION("""COMPUTED_VALUE"""),"COL18")</f>
        <v>COL18</v>
      </c>
      <c r="B902" s="5" t="str">
        <f>IFERROR(__xludf.DUMMYFUNCTION("""COMPUTED_VALUE"""),"COLOMBIA")</f>
        <v>COLOMBIA</v>
      </c>
      <c r="C902" s="5" t="str">
        <f>IFERROR(__xludf.DUMMYFUNCTION("""COMPUTED_VALUE"""),"NORMAL")</f>
        <v>NORMAL</v>
      </c>
      <c r="D902" s="5" t="str">
        <f>IFERROR(__xludf.DUMMYFUNCTION("""COMPUTED_VALUE"""),"JHON CORDOBA")</f>
        <v>JHON CORDOBA</v>
      </c>
      <c r="E902" s="5">
        <f>IFERROR(__xludf.DUMMYFUNCTION("""COMPUTED_VALUE"""),0.0)</f>
        <v>0</v>
      </c>
    </row>
    <row r="903">
      <c r="A903" s="5" t="str">
        <f>IFERROR(__xludf.DUMMYFUNCTION("""COMPUTED_VALUE"""),"COL19")</f>
        <v>COL19</v>
      </c>
      <c r="B903" s="5" t="str">
        <f>IFERROR(__xludf.DUMMYFUNCTION("""COMPUTED_VALUE"""),"COLOMBIA")</f>
        <v>COLOMBIA</v>
      </c>
      <c r="C903" s="5" t="str">
        <f>IFERROR(__xludf.DUMMYFUNCTION("""COMPUTED_VALUE"""),"NORMAL")</f>
        <v>NORMAL</v>
      </c>
      <c r="D903" s="5" t="str">
        <f>IFERROR(__xludf.DUMMYFUNCTION("""COMPUTED_VALUE"""),"LUIS SUAREZ")</f>
        <v>LUIS SUAREZ</v>
      </c>
      <c r="E903" s="5">
        <f>IFERROR(__xludf.DUMMYFUNCTION("""COMPUTED_VALUE"""),0.0)</f>
        <v>0</v>
      </c>
    </row>
    <row r="904">
      <c r="A904" s="5" t="str">
        <f>IFERROR(__xludf.DUMMYFUNCTION("""COMPUTED_VALUE"""),"COL20")</f>
        <v>COL20</v>
      </c>
      <c r="B904" s="5" t="str">
        <f>IFERROR(__xludf.DUMMYFUNCTION("""COMPUTED_VALUE"""),"COLOMBIA")</f>
        <v>COLOMBIA</v>
      </c>
      <c r="C904" s="5" t="str">
        <f>IFERROR(__xludf.DUMMYFUNCTION("""COMPUTED_VALUE"""),"NORMAL")</f>
        <v>NORMAL</v>
      </c>
      <c r="D904" s="5" t="str">
        <f>IFERROR(__xludf.DUMMYFUNCTION("""COMPUTED_VALUE"""),"LUIS DIAZ")</f>
        <v>LUIS DIAZ</v>
      </c>
      <c r="E904" s="5">
        <f>IFERROR(__xludf.DUMMYFUNCTION("""COMPUTED_VALUE"""),0.0)</f>
        <v>0</v>
      </c>
    </row>
    <row r="905">
      <c r="A905" s="5" t="str">
        <f>IFERROR(__xludf.DUMMYFUNCTION("""COMPUTED_VALUE"""),"ENG 01")</f>
        <v>ENG 01</v>
      </c>
      <c r="B905" s="5" t="str">
        <f>IFERROR(__xludf.DUMMYFUNCTION("""COMPUTED_VALUE"""),"ENGLAND")</f>
        <v>ENGLAND</v>
      </c>
      <c r="C905" s="5" t="str">
        <f>IFERROR(__xludf.DUMMYFUNCTION("""COMPUTED_VALUE"""),"BADGE")</f>
        <v>BADGE</v>
      </c>
      <c r="D905" s="5" t="str">
        <f>IFERROR(__xludf.DUMMYFUNCTION("""COMPUTED_VALUE"""),"ENGLAND NATIONAL TEAM")</f>
        <v>ENGLAND NATIONAL TEAM</v>
      </c>
      <c r="E905" s="5">
        <f>IFERROR(__xludf.DUMMYFUNCTION("""COMPUTED_VALUE"""),0.0)</f>
        <v>0</v>
      </c>
    </row>
    <row r="906">
      <c r="A906" s="5" t="str">
        <f>IFERROR(__xludf.DUMMYFUNCTION("""COMPUTED_VALUE"""),"ENG 02")</f>
        <v>ENG 02</v>
      </c>
      <c r="B906" s="5" t="str">
        <f>IFERROR(__xludf.DUMMYFUNCTION("""COMPUTED_VALUE"""),"ENGLAND")</f>
        <v>ENGLAND</v>
      </c>
      <c r="C906" s="5" t="str">
        <f>IFERROR(__xludf.DUMMYFUNCTION("""COMPUTED_VALUE"""),"NORMAL")</f>
        <v>NORMAL</v>
      </c>
      <c r="D906" s="5" t="str">
        <f>IFERROR(__xludf.DUMMYFUNCTION("""COMPUTED_VALUE"""),"JORDAN PICKFORD")</f>
        <v>JORDAN PICKFORD</v>
      </c>
      <c r="E906" s="5">
        <f>IFERROR(__xludf.DUMMYFUNCTION("""COMPUTED_VALUE"""),0.0)</f>
        <v>0</v>
      </c>
    </row>
    <row r="907">
      <c r="A907" s="5" t="str">
        <f>IFERROR(__xludf.DUMMYFUNCTION("""COMPUTED_VALUE"""),"ENG 03")</f>
        <v>ENG 03</v>
      </c>
      <c r="B907" s="5" t="str">
        <f>IFERROR(__xludf.DUMMYFUNCTION("""COMPUTED_VALUE"""),"ENGLAND")</f>
        <v>ENGLAND</v>
      </c>
      <c r="C907" s="5" t="str">
        <f>IFERROR(__xludf.DUMMYFUNCTION("""COMPUTED_VALUE"""),"NORMAL")</f>
        <v>NORMAL</v>
      </c>
      <c r="D907" s="5" t="str">
        <f>IFERROR(__xludf.DUMMYFUNCTION("""COMPUTED_VALUE"""),"JOHN STONES")</f>
        <v>JOHN STONES</v>
      </c>
      <c r="E907" s="5">
        <f>IFERROR(__xludf.DUMMYFUNCTION("""COMPUTED_VALUE"""),0.0)</f>
        <v>0</v>
      </c>
    </row>
    <row r="908">
      <c r="A908" s="5" t="str">
        <f>IFERROR(__xludf.DUMMYFUNCTION("""COMPUTED_VALUE"""),"ENG 04")</f>
        <v>ENG 04</v>
      </c>
      <c r="B908" s="5" t="str">
        <f>IFERROR(__xludf.DUMMYFUNCTION("""COMPUTED_VALUE"""),"ENGLAND")</f>
        <v>ENGLAND</v>
      </c>
      <c r="C908" s="5" t="str">
        <f>IFERROR(__xludf.DUMMYFUNCTION("""COMPUTED_VALUE"""),"NORMAL")</f>
        <v>NORMAL</v>
      </c>
      <c r="D908" s="5" t="str">
        <f>IFERROR(__xludf.DUMMYFUNCTION("""COMPUTED_VALUE"""),"MARC GUEHI")</f>
        <v>MARC GUEHI</v>
      </c>
      <c r="E908" s="5">
        <f>IFERROR(__xludf.DUMMYFUNCTION("""COMPUTED_VALUE"""),0.0)</f>
        <v>0</v>
      </c>
    </row>
    <row r="909">
      <c r="A909" s="5" t="str">
        <f>IFERROR(__xludf.DUMMYFUNCTION("""COMPUTED_VALUE"""),"ENG 05")</f>
        <v>ENG 05</v>
      </c>
      <c r="B909" s="5" t="str">
        <f>IFERROR(__xludf.DUMMYFUNCTION("""COMPUTED_VALUE"""),"ENGLAND")</f>
        <v>ENGLAND</v>
      </c>
      <c r="C909" s="5" t="str">
        <f>IFERROR(__xludf.DUMMYFUNCTION("""COMPUTED_VALUE"""),"NORMAL")</f>
        <v>NORMAL</v>
      </c>
      <c r="D909" s="5" t="str">
        <f>IFERROR(__xludf.DUMMYFUNCTION("""COMPUTED_VALUE"""),"EZRI KONSA")</f>
        <v>EZRI KONSA</v>
      </c>
      <c r="E909" s="5">
        <f>IFERROR(__xludf.DUMMYFUNCTION("""COMPUTED_VALUE"""),0.0)</f>
        <v>0</v>
      </c>
    </row>
    <row r="910">
      <c r="A910" s="5" t="str">
        <f>IFERROR(__xludf.DUMMYFUNCTION("""COMPUTED_VALUE"""),"ENG 06")</f>
        <v>ENG 06</v>
      </c>
      <c r="B910" s="5" t="str">
        <f>IFERROR(__xludf.DUMMYFUNCTION("""COMPUTED_VALUE"""),"ENGLAND")</f>
        <v>ENGLAND</v>
      </c>
      <c r="C910" s="5" t="str">
        <f>IFERROR(__xludf.DUMMYFUNCTION("""COMPUTED_VALUE"""),"NORMAL")</f>
        <v>NORMAL</v>
      </c>
      <c r="D910" s="5" t="str">
        <f>IFERROR(__xludf.DUMMYFUNCTION("""COMPUTED_VALUE"""),"TRENT ALEXANDER-ARNOLD")</f>
        <v>TRENT ALEXANDER-ARNOLD</v>
      </c>
      <c r="E910" s="5">
        <f>IFERROR(__xludf.DUMMYFUNCTION("""COMPUTED_VALUE"""),0.0)</f>
        <v>0</v>
      </c>
    </row>
    <row r="911">
      <c r="A911" s="5" t="str">
        <f>IFERROR(__xludf.DUMMYFUNCTION("""COMPUTED_VALUE"""),"ENG 07")</f>
        <v>ENG 07</v>
      </c>
      <c r="B911" s="5" t="str">
        <f>IFERROR(__xludf.DUMMYFUNCTION("""COMPUTED_VALUE"""),"ENGLAND")</f>
        <v>ENGLAND</v>
      </c>
      <c r="C911" s="5" t="str">
        <f>IFERROR(__xludf.DUMMYFUNCTION("""COMPUTED_VALUE"""),"NORMAL")</f>
        <v>NORMAL</v>
      </c>
      <c r="D911" s="5" t="str">
        <f>IFERROR(__xludf.DUMMYFUNCTION("""COMPUTED_VALUE"""),"REECE JAMES")</f>
        <v>REECE JAMES</v>
      </c>
      <c r="E911" s="5">
        <f>IFERROR(__xludf.DUMMYFUNCTION("""COMPUTED_VALUE"""),0.0)</f>
        <v>0</v>
      </c>
    </row>
    <row r="912">
      <c r="A912" s="5" t="str">
        <f>IFERROR(__xludf.DUMMYFUNCTION("""COMPUTED_VALUE"""),"ENG 08")</f>
        <v>ENG 08</v>
      </c>
      <c r="B912" s="5" t="str">
        <f>IFERROR(__xludf.DUMMYFUNCTION("""COMPUTED_VALUE"""),"ENGLAND")</f>
        <v>ENGLAND</v>
      </c>
      <c r="C912" s="5" t="str">
        <f>IFERROR(__xludf.DUMMYFUNCTION("""COMPUTED_VALUE"""),"NORMAL")</f>
        <v>NORMAL</v>
      </c>
      <c r="D912" s="5" t="str">
        <f>IFERROR(__xludf.DUMMYFUNCTION("""COMPUTED_VALUE"""),"DAN BURN")</f>
        <v>DAN BURN</v>
      </c>
      <c r="E912" s="5">
        <f>IFERROR(__xludf.DUMMYFUNCTION("""COMPUTED_VALUE"""),0.0)</f>
        <v>0</v>
      </c>
    </row>
    <row r="913">
      <c r="A913" s="5" t="str">
        <f>IFERROR(__xludf.DUMMYFUNCTION("""COMPUTED_VALUE"""),"ENG 09")</f>
        <v>ENG 09</v>
      </c>
      <c r="B913" s="5" t="str">
        <f>IFERROR(__xludf.DUMMYFUNCTION("""COMPUTED_VALUE"""),"ENGLAND")</f>
        <v>ENGLAND</v>
      </c>
      <c r="C913" s="5" t="str">
        <f>IFERROR(__xludf.DUMMYFUNCTION("""COMPUTED_VALUE"""),"NORMAL")</f>
        <v>NORMAL</v>
      </c>
      <c r="D913" s="5" t="str">
        <f>IFERROR(__xludf.DUMMYFUNCTION("""COMPUTED_VALUE"""),"JORDAN HENDERSON")</f>
        <v>JORDAN HENDERSON</v>
      </c>
      <c r="E913" s="5">
        <f>IFERROR(__xludf.DUMMYFUNCTION("""COMPUTED_VALUE"""),0.0)</f>
        <v>0</v>
      </c>
    </row>
    <row r="914">
      <c r="A914" s="5" t="str">
        <f>IFERROR(__xludf.DUMMYFUNCTION("""COMPUTED_VALUE"""),"ENG 10")</f>
        <v>ENG 10</v>
      </c>
      <c r="B914" s="5" t="str">
        <f>IFERROR(__xludf.DUMMYFUNCTION("""COMPUTED_VALUE"""),"ENGLAND")</f>
        <v>ENGLAND</v>
      </c>
      <c r="C914" s="5" t="str">
        <f>IFERROR(__xludf.DUMMYFUNCTION("""COMPUTED_VALUE"""),"NORMAL")</f>
        <v>NORMAL</v>
      </c>
      <c r="D914" s="5" t="str">
        <f>IFERROR(__xludf.DUMMYFUNCTION("""COMPUTED_VALUE"""),"DECLAN RICE")</f>
        <v>DECLAN RICE</v>
      </c>
      <c r="E914" s="5">
        <f>IFERROR(__xludf.DUMMYFUNCTION("""COMPUTED_VALUE"""),0.0)</f>
        <v>0</v>
      </c>
    </row>
    <row r="915">
      <c r="A915" s="5" t="str">
        <f>IFERROR(__xludf.DUMMYFUNCTION("""COMPUTED_VALUE"""),"ENG 11")</f>
        <v>ENG 11</v>
      </c>
      <c r="B915" s="5" t="str">
        <f>IFERROR(__xludf.DUMMYFUNCTION("""COMPUTED_VALUE"""),"ENGLAND")</f>
        <v>ENGLAND</v>
      </c>
      <c r="C915" s="5" t="str">
        <f>IFERROR(__xludf.DUMMYFUNCTION("""COMPUTED_VALUE"""),"NORMAL")</f>
        <v>NORMAL</v>
      </c>
      <c r="D915" s="5" t="str">
        <f>IFERROR(__xludf.DUMMYFUNCTION("""COMPUTED_VALUE"""),"JUDE BELLINGHAM")</f>
        <v>JUDE BELLINGHAM</v>
      </c>
      <c r="E915" s="5">
        <f>IFERROR(__xludf.DUMMYFUNCTION("""COMPUTED_VALUE"""),0.0)</f>
        <v>0</v>
      </c>
    </row>
    <row r="916">
      <c r="A916" s="5" t="str">
        <f>IFERROR(__xludf.DUMMYFUNCTION("""COMPUTED_VALUE"""),"ENG 12")</f>
        <v>ENG 12</v>
      </c>
      <c r="B916" s="5" t="str">
        <f>IFERROR(__xludf.DUMMYFUNCTION("""COMPUTED_VALUE"""),"ENGLAND")</f>
        <v>ENGLAND</v>
      </c>
      <c r="C916" s="5" t="str">
        <f>IFERROR(__xludf.DUMMYFUNCTION("""COMPUTED_VALUE"""),"NORMAL")</f>
        <v>NORMAL</v>
      </c>
      <c r="D916" s="5" t="str">
        <f>IFERROR(__xludf.DUMMYFUNCTION("""COMPUTED_VALUE"""),"COLE PALMER")</f>
        <v>COLE PALMER</v>
      </c>
      <c r="E916" s="5">
        <f>IFERROR(__xludf.DUMMYFUNCTION("""COMPUTED_VALUE"""),0.0)</f>
        <v>0</v>
      </c>
    </row>
    <row r="917">
      <c r="A917" s="5" t="str">
        <f>IFERROR(__xludf.DUMMYFUNCTION("""COMPUTED_VALUE"""),"ENG 13")</f>
        <v>ENG 13</v>
      </c>
      <c r="B917" s="5" t="str">
        <f>IFERROR(__xludf.DUMMYFUNCTION("""COMPUTED_VALUE"""),"ENGLAND")</f>
        <v>ENGLAND</v>
      </c>
      <c r="C917" s="5" t="str">
        <f>IFERROR(__xludf.DUMMYFUNCTION("""COMPUTED_VALUE"""),"TEAM")</f>
        <v>TEAM</v>
      </c>
      <c r="D917" s="5" t="str">
        <f>IFERROR(__xludf.DUMMYFUNCTION("""COMPUTED_VALUE"""),"ENGLAND NATIONAL TEAM")</f>
        <v>ENGLAND NATIONAL TEAM</v>
      </c>
      <c r="E917" s="5">
        <f>IFERROR(__xludf.DUMMYFUNCTION("""COMPUTED_VALUE"""),0.0)</f>
        <v>0</v>
      </c>
    </row>
    <row r="918">
      <c r="A918" s="5" t="str">
        <f>IFERROR(__xludf.DUMMYFUNCTION("""COMPUTED_VALUE"""),"ENG 14")</f>
        <v>ENG 14</v>
      </c>
      <c r="B918" s="5" t="str">
        <f>IFERROR(__xludf.DUMMYFUNCTION("""COMPUTED_VALUE"""),"ENGLAND")</f>
        <v>ENGLAND</v>
      </c>
      <c r="C918" s="5" t="str">
        <f>IFERROR(__xludf.DUMMYFUNCTION("""COMPUTED_VALUE"""),"NORMAL")</f>
        <v>NORMAL</v>
      </c>
      <c r="D918" s="5" t="str">
        <f>IFERROR(__xludf.DUMMYFUNCTION("""COMPUTED_VALUE"""),"MORGAN ROGERS")</f>
        <v>MORGAN ROGERS</v>
      </c>
      <c r="E918" s="5">
        <f>IFERROR(__xludf.DUMMYFUNCTION("""COMPUTED_VALUE"""),0.0)</f>
        <v>0</v>
      </c>
    </row>
    <row r="919">
      <c r="A919" s="5" t="str">
        <f>IFERROR(__xludf.DUMMYFUNCTION("""COMPUTED_VALUE"""),"ENG 15")</f>
        <v>ENG 15</v>
      </c>
      <c r="B919" s="5" t="str">
        <f>IFERROR(__xludf.DUMMYFUNCTION("""COMPUTED_VALUE"""),"ENGLAND")</f>
        <v>ENGLAND</v>
      </c>
      <c r="C919" s="5" t="str">
        <f>IFERROR(__xludf.DUMMYFUNCTION("""COMPUTED_VALUE"""),"NORMAL")</f>
        <v>NORMAL</v>
      </c>
      <c r="D919" s="5" t="str">
        <f>IFERROR(__xludf.DUMMYFUNCTION("""COMPUTED_VALUE"""),"ANTHONY GORDON")</f>
        <v>ANTHONY GORDON</v>
      </c>
      <c r="E919" s="5">
        <f>IFERROR(__xludf.DUMMYFUNCTION("""COMPUTED_VALUE"""),0.0)</f>
        <v>0</v>
      </c>
    </row>
    <row r="920">
      <c r="A920" s="5" t="str">
        <f>IFERROR(__xludf.DUMMYFUNCTION("""COMPUTED_VALUE"""),"ENG 16")</f>
        <v>ENG 16</v>
      </c>
      <c r="B920" s="5" t="str">
        <f>IFERROR(__xludf.DUMMYFUNCTION("""COMPUTED_VALUE"""),"ENGLAND")</f>
        <v>ENGLAND</v>
      </c>
      <c r="C920" s="5" t="str">
        <f>IFERROR(__xludf.DUMMYFUNCTION("""COMPUTED_VALUE"""),"NORMAL")</f>
        <v>NORMAL</v>
      </c>
      <c r="D920" s="5" t="str">
        <f>IFERROR(__xludf.DUMMYFUNCTION("""COMPUTED_VALUE"""),"PHIL FODEN")</f>
        <v>PHIL FODEN</v>
      </c>
      <c r="E920" s="5">
        <f>IFERROR(__xludf.DUMMYFUNCTION("""COMPUTED_VALUE"""),0.0)</f>
        <v>0</v>
      </c>
    </row>
    <row r="921">
      <c r="A921" s="5" t="str">
        <f>IFERROR(__xludf.DUMMYFUNCTION("""COMPUTED_VALUE"""),"ENG 17")</f>
        <v>ENG 17</v>
      </c>
      <c r="B921" s="5" t="str">
        <f>IFERROR(__xludf.DUMMYFUNCTION("""COMPUTED_VALUE"""),"ENGLAND")</f>
        <v>ENGLAND</v>
      </c>
      <c r="C921" s="5" t="str">
        <f>IFERROR(__xludf.DUMMYFUNCTION("""COMPUTED_VALUE"""),"NORMAL")</f>
        <v>NORMAL</v>
      </c>
      <c r="D921" s="5" t="str">
        <f>IFERROR(__xludf.DUMMYFUNCTION("""COMPUTED_VALUE"""),"BUKAYO SAKA")</f>
        <v>BUKAYO SAKA</v>
      </c>
      <c r="E921" s="5">
        <f>IFERROR(__xludf.DUMMYFUNCTION("""COMPUTED_VALUE"""),0.0)</f>
        <v>0</v>
      </c>
    </row>
    <row r="922">
      <c r="A922" s="5" t="str">
        <f>IFERROR(__xludf.DUMMYFUNCTION("""COMPUTED_VALUE"""),"ENG 18")</f>
        <v>ENG 18</v>
      </c>
      <c r="B922" s="5" t="str">
        <f>IFERROR(__xludf.DUMMYFUNCTION("""COMPUTED_VALUE"""),"ENGLAND")</f>
        <v>ENGLAND</v>
      </c>
      <c r="C922" s="5" t="str">
        <f>IFERROR(__xludf.DUMMYFUNCTION("""COMPUTED_VALUE"""),"NORMAL")</f>
        <v>NORMAL</v>
      </c>
      <c r="D922" s="5" t="str">
        <f>IFERROR(__xludf.DUMMYFUNCTION("""COMPUTED_VALUE"""),"HARRY KANE")</f>
        <v>HARRY KANE</v>
      </c>
      <c r="E922" s="5">
        <f>IFERROR(__xludf.DUMMYFUNCTION("""COMPUTED_VALUE"""),0.0)</f>
        <v>0</v>
      </c>
    </row>
    <row r="923">
      <c r="A923" s="5" t="str">
        <f>IFERROR(__xludf.DUMMYFUNCTION("""COMPUTED_VALUE"""),"ENG 19")</f>
        <v>ENG 19</v>
      </c>
      <c r="B923" s="5" t="str">
        <f>IFERROR(__xludf.DUMMYFUNCTION("""COMPUTED_VALUE"""),"ENGLAND")</f>
        <v>ENGLAND</v>
      </c>
      <c r="C923" s="5" t="str">
        <f>IFERROR(__xludf.DUMMYFUNCTION("""COMPUTED_VALUE"""),"NORMAL")</f>
        <v>NORMAL</v>
      </c>
      <c r="D923" s="5" t="str">
        <f>IFERROR(__xludf.DUMMYFUNCTION("""COMPUTED_VALUE"""),"MARCUS RASHFORD")</f>
        <v>MARCUS RASHFORD</v>
      </c>
      <c r="E923" s="5">
        <f>IFERROR(__xludf.DUMMYFUNCTION("""COMPUTED_VALUE"""),0.0)</f>
        <v>0</v>
      </c>
    </row>
    <row r="924">
      <c r="A924" s="5" t="str">
        <f>IFERROR(__xludf.DUMMYFUNCTION("""COMPUTED_VALUE"""),"ENG 20")</f>
        <v>ENG 20</v>
      </c>
      <c r="B924" s="5" t="str">
        <f>IFERROR(__xludf.DUMMYFUNCTION("""COMPUTED_VALUE"""),"ENGLAND")</f>
        <v>ENGLAND</v>
      </c>
      <c r="C924" s="5" t="str">
        <f>IFERROR(__xludf.DUMMYFUNCTION("""COMPUTED_VALUE"""),"NORMAL")</f>
        <v>NORMAL</v>
      </c>
      <c r="D924" s="5" t="str">
        <f>IFERROR(__xludf.DUMMYFUNCTION("""COMPUTED_VALUE"""),"OLLIE WATKINS")</f>
        <v>OLLIE WATKINS</v>
      </c>
      <c r="E924" s="5">
        <f>IFERROR(__xludf.DUMMYFUNCTION("""COMPUTED_VALUE"""),0.0)</f>
        <v>0</v>
      </c>
    </row>
    <row r="925">
      <c r="A925" s="7" t="str">
        <f>IFERROR(__xludf.DUMMYFUNCTION("""COMPUTED_VALUE"""),"CRO01")</f>
        <v>CRO01</v>
      </c>
      <c r="B925" s="5" t="str">
        <f>IFERROR(__xludf.DUMMYFUNCTION("""COMPUTED_VALUE"""),"CROATIA")</f>
        <v>CROATIA</v>
      </c>
      <c r="C925" s="5" t="str">
        <f>IFERROR(__xludf.DUMMYFUNCTION("""COMPUTED_VALUE"""),"BADGE")</f>
        <v>BADGE</v>
      </c>
      <c r="D925" s="5" t="str">
        <f>IFERROR(__xludf.DUMMYFUNCTION("""COMPUTED_VALUE"""),"CROATIA NATIONAL TEAM")</f>
        <v>CROATIA NATIONAL TEAM</v>
      </c>
      <c r="E925" s="5">
        <f>IFERROR(__xludf.DUMMYFUNCTION("""COMPUTED_VALUE"""),0.0)</f>
        <v>0</v>
      </c>
    </row>
    <row r="926">
      <c r="A926" s="7" t="str">
        <f>IFERROR(__xludf.DUMMYFUNCTION("""COMPUTED_VALUE"""),"CRO02")</f>
        <v>CRO02</v>
      </c>
      <c r="B926" s="5" t="str">
        <f>IFERROR(__xludf.DUMMYFUNCTION("""COMPUTED_VALUE"""),"CROATIA")</f>
        <v>CROATIA</v>
      </c>
      <c r="C926" s="5" t="str">
        <f>IFERROR(__xludf.DUMMYFUNCTION("""COMPUTED_VALUE"""),"NORMAL")</f>
        <v>NORMAL</v>
      </c>
      <c r="D926" s="5" t="str">
        <f>IFERROR(__xludf.DUMMYFUNCTION("""COMPUTED_VALUE"""),"DOMINIC LIVAKOVIC")</f>
        <v>DOMINIC LIVAKOVIC</v>
      </c>
      <c r="E926" s="5">
        <f>IFERROR(__xludf.DUMMYFUNCTION("""COMPUTED_VALUE"""),0.0)</f>
        <v>0</v>
      </c>
    </row>
    <row r="927">
      <c r="A927" s="7" t="str">
        <f>IFERROR(__xludf.DUMMYFUNCTION("""COMPUTED_VALUE"""),"CRO03")</f>
        <v>CRO03</v>
      </c>
      <c r="B927" s="5" t="str">
        <f>IFERROR(__xludf.DUMMYFUNCTION("""COMPUTED_VALUE"""),"CROATIA")</f>
        <v>CROATIA</v>
      </c>
      <c r="C927" s="5" t="str">
        <f>IFERROR(__xludf.DUMMYFUNCTION("""COMPUTED_VALUE"""),"NORMAL")</f>
        <v>NORMAL</v>
      </c>
      <c r="D927" s="5" t="str">
        <f>IFERROR(__xludf.DUMMYFUNCTION("""COMPUTED_VALUE"""),"DUJE CALETA-CAR")</f>
        <v>DUJE CALETA-CAR</v>
      </c>
      <c r="E927" s="5">
        <f>IFERROR(__xludf.DUMMYFUNCTION("""COMPUTED_VALUE"""),0.0)</f>
        <v>0</v>
      </c>
    </row>
    <row r="928">
      <c r="A928" s="7" t="str">
        <f>IFERROR(__xludf.DUMMYFUNCTION("""COMPUTED_VALUE"""),"CRO04")</f>
        <v>CRO04</v>
      </c>
      <c r="B928" s="5" t="str">
        <f>IFERROR(__xludf.DUMMYFUNCTION("""COMPUTED_VALUE"""),"CROATIA")</f>
        <v>CROATIA</v>
      </c>
      <c r="C928" s="5" t="str">
        <f>IFERROR(__xludf.DUMMYFUNCTION("""COMPUTED_VALUE"""),"NORMAL")</f>
        <v>NORMAL</v>
      </c>
      <c r="D928" s="5" t="str">
        <f>IFERROR(__xludf.DUMMYFUNCTION("""COMPUTED_VALUE"""),"JOSKO GVARDIOL")</f>
        <v>JOSKO GVARDIOL</v>
      </c>
      <c r="E928" s="5">
        <f>IFERROR(__xludf.DUMMYFUNCTION("""COMPUTED_VALUE"""),0.0)</f>
        <v>0</v>
      </c>
    </row>
    <row r="929">
      <c r="A929" s="7" t="str">
        <f>IFERROR(__xludf.DUMMYFUNCTION("""COMPUTED_VALUE"""),"CRO05")</f>
        <v>CRO05</v>
      </c>
      <c r="B929" s="5" t="str">
        <f>IFERROR(__xludf.DUMMYFUNCTION("""COMPUTED_VALUE"""),"CROATIA")</f>
        <v>CROATIA</v>
      </c>
      <c r="C929" s="5" t="str">
        <f>IFERROR(__xludf.DUMMYFUNCTION("""COMPUTED_VALUE"""),"NORMAL")</f>
        <v>NORMAL</v>
      </c>
      <c r="D929" s="5" t="str">
        <f>IFERROR(__xludf.DUMMYFUNCTION("""COMPUTED_VALUE"""),"JOSIP STANISIC")</f>
        <v>JOSIP STANISIC</v>
      </c>
      <c r="E929" s="5">
        <f>IFERROR(__xludf.DUMMYFUNCTION("""COMPUTED_VALUE"""),0.0)</f>
        <v>0</v>
      </c>
    </row>
    <row r="930">
      <c r="A930" s="7" t="str">
        <f>IFERROR(__xludf.DUMMYFUNCTION("""COMPUTED_VALUE"""),"CRO06")</f>
        <v>CRO06</v>
      </c>
      <c r="B930" s="5" t="str">
        <f>IFERROR(__xludf.DUMMYFUNCTION("""COMPUTED_VALUE"""),"CROATIA")</f>
        <v>CROATIA</v>
      </c>
      <c r="C930" s="5" t="str">
        <f>IFERROR(__xludf.DUMMYFUNCTION("""COMPUTED_VALUE"""),"NORMAL")</f>
        <v>NORMAL</v>
      </c>
      <c r="D930" s="5" t="str">
        <f>IFERROR(__xludf.DUMMYFUNCTION("""COMPUTED_VALUE"""),"LUKA VUSKOVIC")</f>
        <v>LUKA VUSKOVIC</v>
      </c>
      <c r="E930" s="5">
        <f>IFERROR(__xludf.DUMMYFUNCTION("""COMPUTED_VALUE"""),0.0)</f>
        <v>0</v>
      </c>
    </row>
    <row r="931">
      <c r="A931" s="7" t="str">
        <f>IFERROR(__xludf.DUMMYFUNCTION("""COMPUTED_VALUE"""),"CRO07")</f>
        <v>CRO07</v>
      </c>
      <c r="B931" s="5" t="str">
        <f>IFERROR(__xludf.DUMMYFUNCTION("""COMPUTED_VALUE"""),"CROATIA")</f>
        <v>CROATIA</v>
      </c>
      <c r="C931" s="5" t="str">
        <f>IFERROR(__xludf.DUMMYFUNCTION("""COMPUTED_VALUE"""),"NORMAL")</f>
        <v>NORMAL</v>
      </c>
      <c r="D931" s="5" t="str">
        <f>IFERROR(__xludf.DUMMYFUNCTION("""COMPUTED_VALUE"""),"JOSIP SUTALO")</f>
        <v>JOSIP SUTALO</v>
      </c>
      <c r="E931" s="5">
        <f>IFERROR(__xludf.DUMMYFUNCTION("""COMPUTED_VALUE"""),0.0)</f>
        <v>0</v>
      </c>
    </row>
    <row r="932">
      <c r="A932" s="7" t="str">
        <f>IFERROR(__xludf.DUMMYFUNCTION("""COMPUTED_VALUE"""),"CRO08")</f>
        <v>CRO08</v>
      </c>
      <c r="B932" s="5" t="str">
        <f>IFERROR(__xludf.DUMMYFUNCTION("""COMPUTED_VALUE"""),"CROATIA")</f>
        <v>CROATIA</v>
      </c>
      <c r="C932" s="5" t="str">
        <f>IFERROR(__xludf.DUMMYFUNCTION("""COMPUTED_VALUE"""),"NORMAL")</f>
        <v>NORMAL</v>
      </c>
      <c r="D932" s="5" t="str">
        <f>IFERROR(__xludf.DUMMYFUNCTION("""COMPUTED_VALUE"""),"KRISTIAN JAKIC")</f>
        <v>KRISTIAN JAKIC</v>
      </c>
      <c r="E932" s="5">
        <f>IFERROR(__xludf.DUMMYFUNCTION("""COMPUTED_VALUE"""),0.0)</f>
        <v>0</v>
      </c>
    </row>
    <row r="933">
      <c r="A933" s="7" t="str">
        <f>IFERROR(__xludf.DUMMYFUNCTION("""COMPUTED_VALUE"""),"CRO09")</f>
        <v>CRO09</v>
      </c>
      <c r="B933" s="5" t="str">
        <f>IFERROR(__xludf.DUMMYFUNCTION("""COMPUTED_VALUE"""),"CROATIA")</f>
        <v>CROATIA</v>
      </c>
      <c r="C933" s="5" t="str">
        <f>IFERROR(__xludf.DUMMYFUNCTION("""COMPUTED_VALUE"""),"NORMAL")</f>
        <v>NORMAL</v>
      </c>
      <c r="D933" s="5" t="str">
        <f>IFERROR(__xludf.DUMMYFUNCTION("""COMPUTED_VALUE"""),"LUKA MODRIC")</f>
        <v>LUKA MODRIC</v>
      </c>
      <c r="E933" s="5">
        <f>IFERROR(__xludf.DUMMYFUNCTION("""COMPUTED_VALUE"""),0.0)</f>
        <v>0</v>
      </c>
    </row>
    <row r="934">
      <c r="A934" s="7" t="str">
        <f>IFERROR(__xludf.DUMMYFUNCTION("""COMPUTED_VALUE"""),"CRO10")</f>
        <v>CRO10</v>
      </c>
      <c r="B934" s="5" t="str">
        <f>IFERROR(__xludf.DUMMYFUNCTION("""COMPUTED_VALUE"""),"CROATIA")</f>
        <v>CROATIA</v>
      </c>
      <c r="C934" s="5" t="str">
        <f>IFERROR(__xludf.DUMMYFUNCTION("""COMPUTED_VALUE"""),"NORMAL")</f>
        <v>NORMAL</v>
      </c>
      <c r="D934" s="5" t="str">
        <f>IFERROR(__xludf.DUMMYFUNCTION("""COMPUTED_VALUE"""),"MATO KOVACIC")</f>
        <v>MATO KOVACIC</v>
      </c>
      <c r="E934" s="5">
        <f>IFERROR(__xludf.DUMMYFUNCTION("""COMPUTED_VALUE"""),0.0)</f>
        <v>0</v>
      </c>
    </row>
    <row r="935">
      <c r="A935" s="7" t="str">
        <f>IFERROR(__xludf.DUMMYFUNCTION("""COMPUTED_VALUE"""),"CRO11")</f>
        <v>CRO11</v>
      </c>
      <c r="B935" s="5" t="str">
        <f>IFERROR(__xludf.DUMMYFUNCTION("""COMPUTED_VALUE"""),"CROATIA")</f>
        <v>CROATIA</v>
      </c>
      <c r="C935" s="5" t="str">
        <f>IFERROR(__xludf.DUMMYFUNCTION("""COMPUTED_VALUE"""),"NORMAL")</f>
        <v>NORMAL</v>
      </c>
      <c r="D935" s="5" t="str">
        <f>IFERROR(__xludf.DUMMYFUNCTION("""COMPUTED_VALUE"""),"MARTIN BATURINA")</f>
        <v>MARTIN BATURINA</v>
      </c>
      <c r="E935" s="5">
        <f>IFERROR(__xludf.DUMMYFUNCTION("""COMPUTED_VALUE"""),0.0)</f>
        <v>0</v>
      </c>
    </row>
    <row r="936">
      <c r="A936" s="7" t="str">
        <f>IFERROR(__xludf.DUMMYFUNCTION("""COMPUTED_VALUE"""),"CRO12")</f>
        <v>CRO12</v>
      </c>
      <c r="B936" s="5" t="str">
        <f>IFERROR(__xludf.DUMMYFUNCTION("""COMPUTED_VALUE"""),"CROATIA")</f>
        <v>CROATIA</v>
      </c>
      <c r="C936" s="5" t="str">
        <f>IFERROR(__xludf.DUMMYFUNCTION("""COMPUTED_VALUE"""),"NORMAL")</f>
        <v>NORMAL</v>
      </c>
      <c r="D936" s="5" t="str">
        <f>IFERROR(__xludf.DUMMYFUNCTION("""COMPUTED_VALUE"""),"LOVRO MAJER")</f>
        <v>LOVRO MAJER</v>
      </c>
      <c r="E936" s="5">
        <f>IFERROR(__xludf.DUMMYFUNCTION("""COMPUTED_VALUE"""),0.0)</f>
        <v>0</v>
      </c>
    </row>
    <row r="937">
      <c r="A937" s="7" t="str">
        <f>IFERROR(__xludf.DUMMYFUNCTION("""COMPUTED_VALUE"""),"CRO13")</f>
        <v>CRO13</v>
      </c>
      <c r="B937" s="5" t="str">
        <f>IFERROR(__xludf.DUMMYFUNCTION("""COMPUTED_VALUE"""),"CROATIA")</f>
        <v>CROATIA</v>
      </c>
      <c r="C937" s="5" t="str">
        <f>IFERROR(__xludf.DUMMYFUNCTION("""COMPUTED_VALUE"""),"TEAM")</f>
        <v>TEAM</v>
      </c>
      <c r="D937" s="5" t="str">
        <f>IFERROR(__xludf.DUMMYFUNCTION("""COMPUTED_VALUE"""),"CROATIA NATIONAL TEAM")</f>
        <v>CROATIA NATIONAL TEAM</v>
      </c>
      <c r="E937" s="5">
        <f>IFERROR(__xludf.DUMMYFUNCTION("""COMPUTED_VALUE"""),0.0)</f>
        <v>0</v>
      </c>
    </row>
    <row r="938">
      <c r="A938" s="7" t="str">
        <f>IFERROR(__xludf.DUMMYFUNCTION("""COMPUTED_VALUE"""),"CRO14")</f>
        <v>CRO14</v>
      </c>
      <c r="B938" s="5" t="str">
        <f>IFERROR(__xludf.DUMMYFUNCTION("""COMPUTED_VALUE"""),"CROATIA")</f>
        <v>CROATIA</v>
      </c>
      <c r="C938" s="5" t="str">
        <f>IFERROR(__xludf.DUMMYFUNCTION("""COMPUTED_VALUE"""),"NORMAL")</f>
        <v>NORMAL</v>
      </c>
      <c r="D938" s="5" t="str">
        <f>IFERROR(__xludf.DUMMYFUNCTION("""COMPUTED_VALUE"""),"MARIO PASALIC")</f>
        <v>MARIO PASALIC</v>
      </c>
      <c r="E938" s="5">
        <f>IFERROR(__xludf.DUMMYFUNCTION("""COMPUTED_VALUE"""),0.0)</f>
        <v>0</v>
      </c>
    </row>
    <row r="939">
      <c r="A939" s="7" t="str">
        <f>IFERROR(__xludf.DUMMYFUNCTION("""COMPUTED_VALUE"""),"CRO15")</f>
        <v>CRO15</v>
      </c>
      <c r="B939" s="5" t="str">
        <f>IFERROR(__xludf.DUMMYFUNCTION("""COMPUTED_VALUE"""),"CROATIA")</f>
        <v>CROATIA</v>
      </c>
      <c r="C939" s="5" t="str">
        <f>IFERROR(__xludf.DUMMYFUNCTION("""COMPUTED_VALUE"""),"NORMAL")</f>
        <v>NORMAL</v>
      </c>
      <c r="D939" s="5" t="str">
        <f>IFERROR(__xludf.DUMMYFUNCTION("""COMPUTED_VALUE"""),"PETAR SUCIC")</f>
        <v>PETAR SUCIC</v>
      </c>
      <c r="E939" s="5">
        <f>IFERROR(__xludf.DUMMYFUNCTION("""COMPUTED_VALUE"""),0.0)</f>
        <v>0</v>
      </c>
    </row>
    <row r="940">
      <c r="A940" s="7" t="str">
        <f>IFERROR(__xludf.DUMMYFUNCTION("""COMPUTED_VALUE"""),"CRO16")</f>
        <v>CRO16</v>
      </c>
      <c r="B940" s="5" t="str">
        <f>IFERROR(__xludf.DUMMYFUNCTION("""COMPUTED_VALUE"""),"CROATIA")</f>
        <v>CROATIA</v>
      </c>
      <c r="C940" s="5" t="str">
        <f>IFERROR(__xludf.DUMMYFUNCTION("""COMPUTED_VALUE"""),"NORMAL")</f>
        <v>NORMAL</v>
      </c>
      <c r="D940" s="5" t="str">
        <f>IFERROR(__xludf.DUMMYFUNCTION("""COMPUTED_VALUE"""),"IVAN PERISIC")</f>
        <v>IVAN PERISIC</v>
      </c>
      <c r="E940" s="5">
        <f>IFERROR(__xludf.DUMMYFUNCTION("""COMPUTED_VALUE"""),0.0)</f>
        <v>0</v>
      </c>
    </row>
    <row r="941">
      <c r="A941" s="7" t="str">
        <f>IFERROR(__xludf.DUMMYFUNCTION("""COMPUTED_VALUE"""),"CRO17")</f>
        <v>CRO17</v>
      </c>
      <c r="B941" s="5" t="str">
        <f>IFERROR(__xludf.DUMMYFUNCTION("""COMPUTED_VALUE"""),"CROATIA")</f>
        <v>CROATIA</v>
      </c>
      <c r="C941" s="5" t="str">
        <f>IFERROR(__xludf.DUMMYFUNCTION("""COMPUTED_VALUE"""),"NORMAL")</f>
        <v>NORMAL</v>
      </c>
      <c r="D941" s="5" t="str">
        <f>IFERROR(__xludf.DUMMYFUNCTION("""COMPUTED_VALUE"""),"MARCO PASALIC")</f>
        <v>MARCO PASALIC</v>
      </c>
      <c r="E941" s="5">
        <f>IFERROR(__xludf.DUMMYFUNCTION("""COMPUTED_VALUE"""),0.0)</f>
        <v>0</v>
      </c>
    </row>
    <row r="942">
      <c r="A942" s="7" t="str">
        <f>IFERROR(__xludf.DUMMYFUNCTION("""COMPUTED_VALUE"""),"CRO18")</f>
        <v>CRO18</v>
      </c>
      <c r="B942" s="5" t="str">
        <f>IFERROR(__xludf.DUMMYFUNCTION("""COMPUTED_VALUE"""),"CROATIA")</f>
        <v>CROATIA</v>
      </c>
      <c r="C942" s="5" t="str">
        <f>IFERROR(__xludf.DUMMYFUNCTION("""COMPUTED_VALUE"""),"NORMAL")</f>
        <v>NORMAL</v>
      </c>
      <c r="D942" s="5" t="str">
        <f>IFERROR(__xludf.DUMMYFUNCTION("""COMPUTED_VALUE"""),"ANTE BUDIMIR")</f>
        <v>ANTE BUDIMIR</v>
      </c>
      <c r="E942" s="5">
        <f>IFERROR(__xludf.DUMMYFUNCTION("""COMPUTED_VALUE"""),0.0)</f>
        <v>0</v>
      </c>
    </row>
    <row r="943">
      <c r="A943" s="7" t="str">
        <f>IFERROR(__xludf.DUMMYFUNCTION("""COMPUTED_VALUE"""),"CRO19")</f>
        <v>CRO19</v>
      </c>
      <c r="B943" s="5" t="str">
        <f>IFERROR(__xludf.DUMMYFUNCTION("""COMPUTED_VALUE"""),"CROATIA")</f>
        <v>CROATIA</v>
      </c>
      <c r="C943" s="5" t="str">
        <f>IFERROR(__xludf.DUMMYFUNCTION("""COMPUTED_VALUE"""),"NORMAL")</f>
        <v>NORMAL</v>
      </c>
      <c r="D943" s="5" t="str">
        <f>IFERROR(__xludf.DUMMYFUNCTION("""COMPUTED_VALUE"""),"ANDREJ KRAMARIC")</f>
        <v>ANDREJ KRAMARIC</v>
      </c>
      <c r="E943" s="5">
        <f>IFERROR(__xludf.DUMMYFUNCTION("""COMPUTED_VALUE"""),0.0)</f>
        <v>0</v>
      </c>
    </row>
    <row r="944">
      <c r="A944" s="7" t="str">
        <f>IFERROR(__xludf.DUMMYFUNCTION("""COMPUTED_VALUE"""),"CRO20")</f>
        <v>CRO20</v>
      </c>
      <c r="B944" s="5" t="str">
        <f>IFERROR(__xludf.DUMMYFUNCTION("""COMPUTED_VALUE"""),"CROATIA")</f>
        <v>CROATIA</v>
      </c>
      <c r="C944" s="5" t="str">
        <f>IFERROR(__xludf.DUMMYFUNCTION("""COMPUTED_VALUE"""),"NORMAL")</f>
        <v>NORMAL</v>
      </c>
      <c r="D944" s="5" t="str">
        <f>IFERROR(__xludf.DUMMYFUNCTION("""COMPUTED_VALUE"""),"FRANJO IVANOVIC")</f>
        <v>FRANJO IVANOVIC</v>
      </c>
      <c r="E944" s="5">
        <f>IFERROR(__xludf.DUMMYFUNCTION("""COMPUTED_VALUE"""),0.0)</f>
        <v>0</v>
      </c>
    </row>
    <row r="945">
      <c r="A945" s="5" t="str">
        <f>IFERROR(__xludf.DUMMYFUNCTION("""COMPUTED_VALUE"""),"GHA01")</f>
        <v>GHA01</v>
      </c>
      <c r="B945" s="5" t="str">
        <f>IFERROR(__xludf.DUMMYFUNCTION("""COMPUTED_VALUE"""),"GHANA")</f>
        <v>GHANA</v>
      </c>
      <c r="C945" s="5" t="str">
        <f>IFERROR(__xludf.DUMMYFUNCTION("""COMPUTED_VALUE"""),"BADGE")</f>
        <v>BADGE</v>
      </c>
      <c r="D945" s="5" t="str">
        <f>IFERROR(__xludf.DUMMYFUNCTION("""COMPUTED_VALUE"""),"GHANA NATIONAL TEAM")</f>
        <v>GHANA NATIONAL TEAM</v>
      </c>
      <c r="E945" s="5">
        <f>IFERROR(__xludf.DUMMYFUNCTION("""COMPUTED_VALUE"""),0.0)</f>
        <v>0</v>
      </c>
    </row>
    <row r="946">
      <c r="A946" s="5" t="str">
        <f>IFERROR(__xludf.DUMMYFUNCTION("""COMPUTED_VALUE"""),"GHA02")</f>
        <v>GHA02</v>
      </c>
      <c r="B946" s="5" t="str">
        <f>IFERROR(__xludf.DUMMYFUNCTION("""COMPUTED_VALUE"""),"GHANA")</f>
        <v>GHANA</v>
      </c>
      <c r="C946" s="5" t="str">
        <f>IFERROR(__xludf.DUMMYFUNCTION("""COMPUTED_VALUE"""),"NORMAL")</f>
        <v>NORMAL</v>
      </c>
      <c r="D946" s="5" t="str">
        <f>IFERROR(__xludf.DUMMYFUNCTION("""COMPUTED_VALUE"""),"LAWRENCE ATI ZIGI")</f>
        <v>LAWRENCE ATI ZIGI</v>
      </c>
      <c r="E946" s="5">
        <f>IFERROR(__xludf.DUMMYFUNCTION("""COMPUTED_VALUE"""),0.0)</f>
        <v>0</v>
      </c>
    </row>
    <row r="947">
      <c r="A947" s="5" t="str">
        <f>IFERROR(__xludf.DUMMYFUNCTION("""COMPUTED_VALUE"""),"GHA03")</f>
        <v>GHA03</v>
      </c>
      <c r="B947" s="5" t="str">
        <f>IFERROR(__xludf.DUMMYFUNCTION("""COMPUTED_VALUE"""),"GHANA")</f>
        <v>GHANA</v>
      </c>
      <c r="C947" s="5" t="str">
        <f>IFERROR(__xludf.DUMMYFUNCTION("""COMPUTED_VALUE"""),"NORMAL")</f>
        <v>NORMAL</v>
      </c>
      <c r="D947" s="5" t="str">
        <f>IFERROR(__xludf.DUMMYFUNCTION("""COMPUTED_VALUE"""),"TARIQ LAMPTEY")</f>
        <v>TARIQ LAMPTEY</v>
      </c>
      <c r="E947" s="5">
        <f>IFERROR(__xludf.DUMMYFUNCTION("""COMPUTED_VALUE"""),0.0)</f>
        <v>0</v>
      </c>
    </row>
    <row r="948">
      <c r="A948" s="5" t="str">
        <f>IFERROR(__xludf.DUMMYFUNCTION("""COMPUTED_VALUE"""),"GHA04")</f>
        <v>GHA04</v>
      </c>
      <c r="B948" s="5" t="str">
        <f>IFERROR(__xludf.DUMMYFUNCTION("""COMPUTED_VALUE"""),"GHANA")</f>
        <v>GHANA</v>
      </c>
      <c r="C948" s="5" t="str">
        <f>IFERROR(__xludf.DUMMYFUNCTION("""COMPUTED_VALUE"""),"NORMAL")</f>
        <v>NORMAL</v>
      </c>
      <c r="D948" s="5" t="str">
        <f>IFERROR(__xludf.DUMMYFUNCTION("""COMPUTED_VALUE"""),"MOHAMMED SALISU")</f>
        <v>MOHAMMED SALISU</v>
      </c>
      <c r="E948" s="5">
        <f>IFERROR(__xludf.DUMMYFUNCTION("""COMPUTED_VALUE"""),0.0)</f>
        <v>0</v>
      </c>
    </row>
    <row r="949">
      <c r="A949" s="5" t="str">
        <f>IFERROR(__xludf.DUMMYFUNCTION("""COMPUTED_VALUE"""),"GHA05")</f>
        <v>GHA05</v>
      </c>
      <c r="B949" s="5" t="str">
        <f>IFERROR(__xludf.DUMMYFUNCTION("""COMPUTED_VALUE"""),"GHANA")</f>
        <v>GHANA</v>
      </c>
      <c r="C949" s="5" t="str">
        <f>IFERROR(__xludf.DUMMYFUNCTION("""COMPUTED_VALUE"""),"NORMAL")</f>
        <v>NORMAL</v>
      </c>
      <c r="D949" s="5" t="str">
        <f>IFERROR(__xludf.DUMMYFUNCTION("""COMPUTED_VALUE"""),"ALIDU SEIDU")</f>
        <v>ALIDU SEIDU</v>
      </c>
      <c r="E949" s="5">
        <f>IFERROR(__xludf.DUMMYFUNCTION("""COMPUTED_VALUE"""),0.0)</f>
        <v>0</v>
      </c>
    </row>
    <row r="950">
      <c r="A950" s="5" t="str">
        <f>IFERROR(__xludf.DUMMYFUNCTION("""COMPUTED_VALUE"""),"GHA06")</f>
        <v>GHA06</v>
      </c>
      <c r="B950" s="5" t="str">
        <f>IFERROR(__xludf.DUMMYFUNCTION("""COMPUTED_VALUE"""),"GHANA")</f>
        <v>GHANA</v>
      </c>
      <c r="C950" s="5" t="str">
        <f>IFERROR(__xludf.DUMMYFUNCTION("""COMPUTED_VALUE"""),"NORMAL")</f>
        <v>NORMAL</v>
      </c>
      <c r="D950" s="5" t="str">
        <f>IFERROR(__xludf.DUMMYFUNCTION("""COMPUTED_VALUE"""),"ALEXANDER DJIKU")</f>
        <v>ALEXANDER DJIKU</v>
      </c>
      <c r="E950" s="5">
        <f>IFERROR(__xludf.DUMMYFUNCTION("""COMPUTED_VALUE"""),0.0)</f>
        <v>0</v>
      </c>
    </row>
    <row r="951">
      <c r="A951" s="5" t="str">
        <f>IFERROR(__xludf.DUMMYFUNCTION("""COMPUTED_VALUE"""),"GHA07")</f>
        <v>GHA07</v>
      </c>
      <c r="B951" s="5" t="str">
        <f>IFERROR(__xludf.DUMMYFUNCTION("""COMPUTED_VALUE"""),"GHANA")</f>
        <v>GHANA</v>
      </c>
      <c r="C951" s="5" t="str">
        <f>IFERROR(__xludf.DUMMYFUNCTION("""COMPUTED_VALUE"""),"NORMAL")</f>
        <v>NORMAL</v>
      </c>
      <c r="D951" s="5" t="str">
        <f>IFERROR(__xludf.DUMMYFUNCTION("""COMPUTED_VALUE"""),"GIDEON MENSAH")</f>
        <v>GIDEON MENSAH</v>
      </c>
      <c r="E951" s="5">
        <f>IFERROR(__xludf.DUMMYFUNCTION("""COMPUTED_VALUE"""),0.0)</f>
        <v>0</v>
      </c>
    </row>
    <row r="952">
      <c r="A952" s="5" t="str">
        <f>IFERROR(__xludf.DUMMYFUNCTION("""COMPUTED_VALUE"""),"GHA08")</f>
        <v>GHA08</v>
      </c>
      <c r="B952" s="5" t="str">
        <f>IFERROR(__xludf.DUMMYFUNCTION("""COMPUTED_VALUE"""),"GHANA")</f>
        <v>GHANA</v>
      </c>
      <c r="C952" s="5" t="str">
        <f>IFERROR(__xludf.DUMMYFUNCTION("""COMPUTED_VALUE"""),"NORMAL")</f>
        <v>NORMAL</v>
      </c>
      <c r="D952" s="5" t="str">
        <f>IFERROR(__xludf.DUMMYFUNCTION("""COMPUTED_VALUE"""),"CALEB YIRENKYI")</f>
        <v>CALEB YIRENKYI</v>
      </c>
      <c r="E952" s="5">
        <f>IFERROR(__xludf.DUMMYFUNCTION("""COMPUTED_VALUE"""),0.0)</f>
        <v>0</v>
      </c>
    </row>
    <row r="953">
      <c r="A953" s="5" t="str">
        <f>IFERROR(__xludf.DUMMYFUNCTION("""COMPUTED_VALUE"""),"GHA09")</f>
        <v>GHA09</v>
      </c>
      <c r="B953" s="5" t="str">
        <f>IFERROR(__xludf.DUMMYFUNCTION("""COMPUTED_VALUE"""),"GHANA")</f>
        <v>GHANA</v>
      </c>
      <c r="C953" s="5" t="str">
        <f>IFERROR(__xludf.DUMMYFUNCTION("""COMPUTED_VALUE"""),"NORMAL")</f>
        <v>NORMAL</v>
      </c>
      <c r="D953" s="5" t="str">
        <f>IFERROR(__xludf.DUMMYFUNCTION("""COMPUTED_VALUE"""),"ABDUL ISSAHAKU FATAWU")</f>
        <v>ABDUL ISSAHAKU FATAWU</v>
      </c>
      <c r="E953" s="5">
        <f>IFERROR(__xludf.DUMMYFUNCTION("""COMPUTED_VALUE"""),0.0)</f>
        <v>0</v>
      </c>
    </row>
    <row r="954">
      <c r="A954" s="5" t="str">
        <f>IFERROR(__xludf.DUMMYFUNCTION("""COMPUTED_VALUE"""),"GHA10")</f>
        <v>GHA10</v>
      </c>
      <c r="B954" s="5" t="str">
        <f>IFERROR(__xludf.DUMMYFUNCTION("""COMPUTED_VALUE"""),"GHANA")</f>
        <v>GHANA</v>
      </c>
      <c r="C954" s="5" t="str">
        <f>IFERROR(__xludf.DUMMYFUNCTION("""COMPUTED_VALUE"""),"NORMAL")</f>
        <v>NORMAL</v>
      </c>
      <c r="D954" s="5" t="str">
        <f>IFERROR(__xludf.DUMMYFUNCTION("""COMPUTED_VALUE"""),"THOMAS PARTEY")</f>
        <v>THOMAS PARTEY</v>
      </c>
      <c r="E954" s="5">
        <f>IFERROR(__xludf.DUMMYFUNCTION("""COMPUTED_VALUE"""),0.0)</f>
        <v>0</v>
      </c>
    </row>
    <row r="955">
      <c r="A955" s="5" t="str">
        <f>IFERROR(__xludf.DUMMYFUNCTION("""COMPUTED_VALUE"""),"GHA11")</f>
        <v>GHA11</v>
      </c>
      <c r="B955" s="5" t="str">
        <f>IFERROR(__xludf.DUMMYFUNCTION("""COMPUTED_VALUE"""),"GHANA")</f>
        <v>GHANA</v>
      </c>
      <c r="C955" s="5" t="str">
        <f>IFERROR(__xludf.DUMMYFUNCTION("""COMPUTED_VALUE"""),"NORMAL")</f>
        <v>NORMAL</v>
      </c>
      <c r="D955" s="5" t="str">
        <f>IFERROR(__xludf.DUMMYFUNCTION("""COMPUTED_VALUE"""),"SALIS ABDUL SAMED")</f>
        <v>SALIS ABDUL SAMED</v>
      </c>
      <c r="E955" s="5">
        <f>IFERROR(__xludf.DUMMYFUNCTION("""COMPUTED_VALUE"""),0.0)</f>
        <v>0</v>
      </c>
    </row>
    <row r="956">
      <c r="A956" s="5" t="str">
        <f>IFERROR(__xludf.DUMMYFUNCTION("""COMPUTED_VALUE"""),"GHA12")</f>
        <v>GHA12</v>
      </c>
      <c r="B956" s="5" t="str">
        <f>IFERROR(__xludf.DUMMYFUNCTION("""COMPUTED_VALUE"""),"GHANA")</f>
        <v>GHANA</v>
      </c>
      <c r="C956" s="5" t="str">
        <f>IFERROR(__xludf.DUMMYFUNCTION("""COMPUTED_VALUE"""),"NORMAL")</f>
        <v>NORMAL</v>
      </c>
      <c r="D956" s="5" t="str">
        <f>IFERROR(__xludf.DUMMYFUNCTION("""COMPUTED_VALUE"""),"KAMALDEEN SULEMANA")</f>
        <v>KAMALDEEN SULEMANA</v>
      </c>
      <c r="E956" s="5">
        <f>IFERROR(__xludf.DUMMYFUNCTION("""COMPUTED_VALUE"""),0.0)</f>
        <v>0</v>
      </c>
    </row>
    <row r="957">
      <c r="A957" s="5" t="str">
        <f>IFERROR(__xludf.DUMMYFUNCTION("""COMPUTED_VALUE"""),"GHA13")</f>
        <v>GHA13</v>
      </c>
      <c r="B957" s="5" t="str">
        <f>IFERROR(__xludf.DUMMYFUNCTION("""COMPUTED_VALUE"""),"GHANA")</f>
        <v>GHANA</v>
      </c>
      <c r="C957" s="5" t="str">
        <f>IFERROR(__xludf.DUMMYFUNCTION("""COMPUTED_VALUE"""),"TEAM")</f>
        <v>TEAM</v>
      </c>
      <c r="D957" s="5" t="str">
        <f>IFERROR(__xludf.DUMMYFUNCTION("""COMPUTED_VALUE"""),"GHANA NATIONAL TEAM")</f>
        <v>GHANA NATIONAL TEAM</v>
      </c>
      <c r="E957" s="5">
        <f>IFERROR(__xludf.DUMMYFUNCTION("""COMPUTED_VALUE"""),0.0)</f>
        <v>0</v>
      </c>
    </row>
    <row r="958">
      <c r="A958" s="5" t="str">
        <f>IFERROR(__xludf.DUMMYFUNCTION("""COMPUTED_VALUE"""),"GHA14")</f>
        <v>GHA14</v>
      </c>
      <c r="B958" s="5" t="str">
        <f>IFERROR(__xludf.DUMMYFUNCTION("""COMPUTED_VALUE"""),"GHANA")</f>
        <v>GHANA</v>
      </c>
      <c r="C958" s="5" t="str">
        <f>IFERROR(__xludf.DUMMYFUNCTION("""COMPUTED_VALUE"""),"NORMAL")</f>
        <v>NORMAL</v>
      </c>
      <c r="D958" s="5" t="str">
        <f>IFERROR(__xludf.DUMMYFUNCTION("""COMPUTED_VALUE"""),"MOHAMMED KUDUS")</f>
        <v>MOHAMMED KUDUS</v>
      </c>
      <c r="E958" s="5">
        <f>IFERROR(__xludf.DUMMYFUNCTION("""COMPUTED_VALUE"""),0.0)</f>
        <v>0</v>
      </c>
    </row>
    <row r="959">
      <c r="A959" s="5" t="str">
        <f>IFERROR(__xludf.DUMMYFUNCTION("""COMPUTED_VALUE"""),"GHA15")</f>
        <v>GHA15</v>
      </c>
      <c r="B959" s="5" t="str">
        <f>IFERROR(__xludf.DUMMYFUNCTION("""COMPUTED_VALUE"""),"GHANA")</f>
        <v>GHANA</v>
      </c>
      <c r="C959" s="5" t="str">
        <f>IFERROR(__xludf.DUMMYFUNCTION("""COMPUTED_VALUE"""),"NORMAL")</f>
        <v>NORMAL</v>
      </c>
      <c r="D959" s="5" t="str">
        <f>IFERROR(__xludf.DUMMYFUNCTION("""COMPUTED_VALUE"""),"IÑAKI WILLIAMS")</f>
        <v>IÑAKI WILLIAMS</v>
      </c>
      <c r="E959" s="5">
        <f>IFERROR(__xludf.DUMMYFUNCTION("""COMPUTED_VALUE"""),0.0)</f>
        <v>0</v>
      </c>
    </row>
    <row r="960">
      <c r="A960" s="5" t="str">
        <f>IFERROR(__xludf.DUMMYFUNCTION("""COMPUTED_VALUE"""),"GHA16")</f>
        <v>GHA16</v>
      </c>
      <c r="B960" s="5" t="str">
        <f>IFERROR(__xludf.DUMMYFUNCTION("""COMPUTED_VALUE"""),"GHANA")</f>
        <v>GHANA</v>
      </c>
      <c r="C960" s="5" t="str">
        <f>IFERROR(__xludf.DUMMYFUNCTION("""COMPUTED_VALUE"""),"NORMAL")</f>
        <v>NORMAL</v>
      </c>
      <c r="D960" s="5" t="str">
        <f>IFERROR(__xludf.DUMMYFUNCTION("""COMPUTED_VALUE"""),"JORDAN AYEW")</f>
        <v>JORDAN AYEW</v>
      </c>
      <c r="E960" s="5">
        <f>IFERROR(__xludf.DUMMYFUNCTION("""COMPUTED_VALUE"""),0.0)</f>
        <v>0</v>
      </c>
    </row>
    <row r="961">
      <c r="A961" s="5" t="str">
        <f>IFERROR(__xludf.DUMMYFUNCTION("""COMPUTED_VALUE"""),"GHA17")</f>
        <v>GHA17</v>
      </c>
      <c r="B961" s="5" t="str">
        <f>IFERROR(__xludf.DUMMYFUNCTION("""COMPUTED_VALUE"""),"GHANA")</f>
        <v>GHANA</v>
      </c>
      <c r="C961" s="5" t="str">
        <f>IFERROR(__xludf.DUMMYFUNCTION("""COMPUTED_VALUE"""),"NORMAL")</f>
        <v>NORMAL</v>
      </c>
      <c r="D961" s="5" t="str">
        <f>IFERROR(__xludf.DUMMYFUNCTION("""COMPUTED_VALUE"""),"ANDRE AYEW")</f>
        <v>ANDRE AYEW</v>
      </c>
      <c r="E961" s="5">
        <f>IFERROR(__xludf.DUMMYFUNCTION("""COMPUTED_VALUE"""),0.0)</f>
        <v>0</v>
      </c>
    </row>
    <row r="962">
      <c r="A962" s="5" t="str">
        <f>IFERROR(__xludf.DUMMYFUNCTION("""COMPUTED_VALUE"""),"GHA18")</f>
        <v>GHA18</v>
      </c>
      <c r="B962" s="5" t="str">
        <f>IFERROR(__xludf.DUMMYFUNCTION("""COMPUTED_VALUE"""),"GHANA")</f>
        <v>GHANA</v>
      </c>
      <c r="C962" s="5" t="str">
        <f>IFERROR(__xludf.DUMMYFUNCTION("""COMPUTED_VALUE"""),"NORMAL")</f>
        <v>NORMAL</v>
      </c>
      <c r="D962" s="5" t="str">
        <f>IFERROR(__xludf.DUMMYFUNCTION("""COMPUTED_VALUE"""),"JOSEPH PAINTSIL")</f>
        <v>JOSEPH PAINTSIL</v>
      </c>
      <c r="E962" s="5">
        <f>IFERROR(__xludf.DUMMYFUNCTION("""COMPUTED_VALUE"""),0.0)</f>
        <v>0</v>
      </c>
    </row>
    <row r="963">
      <c r="A963" s="5" t="str">
        <f>IFERROR(__xludf.DUMMYFUNCTION("""COMPUTED_VALUE"""),"GHA19")</f>
        <v>GHA19</v>
      </c>
      <c r="B963" s="5" t="str">
        <f>IFERROR(__xludf.DUMMYFUNCTION("""COMPUTED_VALUE"""),"GHANA")</f>
        <v>GHANA</v>
      </c>
      <c r="C963" s="5" t="str">
        <f>IFERROR(__xludf.DUMMYFUNCTION("""COMPUTED_VALUE"""),"NORMAL")</f>
        <v>NORMAL</v>
      </c>
      <c r="D963" s="5" t="str">
        <f>IFERROR(__xludf.DUMMYFUNCTION("""COMPUTED_VALUE"""),"OSMAN BUKARI")</f>
        <v>OSMAN BUKARI</v>
      </c>
      <c r="E963" s="5">
        <f>IFERROR(__xludf.DUMMYFUNCTION("""COMPUTED_VALUE"""),0.0)</f>
        <v>0</v>
      </c>
    </row>
    <row r="964">
      <c r="A964" s="5" t="str">
        <f>IFERROR(__xludf.DUMMYFUNCTION("""COMPUTED_VALUE"""),"GHA20")</f>
        <v>GHA20</v>
      </c>
      <c r="B964" s="5" t="str">
        <f>IFERROR(__xludf.DUMMYFUNCTION("""COMPUTED_VALUE"""),"GHANA")</f>
        <v>GHANA</v>
      </c>
      <c r="C964" s="5" t="str">
        <f>IFERROR(__xludf.DUMMYFUNCTION("""COMPUTED_VALUE"""),"NORMAL")</f>
        <v>NORMAL</v>
      </c>
      <c r="D964" s="5" t="str">
        <f>IFERROR(__xludf.DUMMYFUNCTION("""COMPUTED_VALUE"""),"ANTOINE SEMENYO")</f>
        <v>ANTOINE SEMENYO</v>
      </c>
      <c r="E964" s="5">
        <f>IFERROR(__xludf.DUMMYFUNCTION("""COMPUTED_VALUE"""),0.0)</f>
        <v>0</v>
      </c>
    </row>
    <row r="965">
      <c r="A965" s="5" t="str">
        <f>IFERROR(__xludf.DUMMYFUNCTION("""COMPUTED_VALUE"""),"PAN01")</f>
        <v>PAN01</v>
      </c>
      <c r="B965" s="5" t="str">
        <f>IFERROR(__xludf.DUMMYFUNCTION("""COMPUTED_VALUE"""),"PANAMA")</f>
        <v>PANAMA</v>
      </c>
      <c r="C965" s="5" t="str">
        <f>IFERROR(__xludf.DUMMYFUNCTION("""COMPUTED_VALUE"""),"BADGE")</f>
        <v>BADGE</v>
      </c>
      <c r="D965" s="5" t="str">
        <f>IFERROR(__xludf.DUMMYFUNCTION("""COMPUTED_VALUE"""),"TEAM NACIONAL DE PANAMA")</f>
        <v>TEAM NACIONAL DE PANAMA</v>
      </c>
      <c r="E965" s="5">
        <f>IFERROR(__xludf.DUMMYFUNCTION("""COMPUTED_VALUE"""),0.0)</f>
        <v>0</v>
      </c>
    </row>
    <row r="966">
      <c r="A966" s="5" t="str">
        <f>IFERROR(__xludf.DUMMYFUNCTION("""COMPUTED_VALUE"""),"PAN02")</f>
        <v>PAN02</v>
      </c>
      <c r="B966" s="5" t="str">
        <f>IFERROR(__xludf.DUMMYFUNCTION("""COMPUTED_VALUE"""),"PANAMA")</f>
        <v>PANAMA</v>
      </c>
      <c r="C966" s="5" t="str">
        <f>IFERROR(__xludf.DUMMYFUNCTION("""COMPUTED_VALUE"""),"NORMAL")</f>
        <v>NORMAL</v>
      </c>
      <c r="D966" s="5" t="str">
        <f>IFERROR(__xludf.DUMMYFUNCTION("""COMPUTED_VALUE"""),"ORLANDO MOSQUERA")</f>
        <v>ORLANDO MOSQUERA</v>
      </c>
      <c r="E966" s="5">
        <f>IFERROR(__xludf.DUMMYFUNCTION("""COMPUTED_VALUE"""),0.0)</f>
        <v>0</v>
      </c>
    </row>
    <row r="967">
      <c r="A967" s="5" t="str">
        <f>IFERROR(__xludf.DUMMYFUNCTION("""COMPUTED_VALUE"""),"PAN03")</f>
        <v>PAN03</v>
      </c>
      <c r="B967" s="5" t="str">
        <f>IFERROR(__xludf.DUMMYFUNCTION("""COMPUTED_VALUE"""),"PANAMA")</f>
        <v>PANAMA</v>
      </c>
      <c r="C967" s="5" t="str">
        <f>IFERROR(__xludf.DUMMYFUNCTION("""COMPUTED_VALUE"""),"NORMAL")</f>
        <v>NORMAL</v>
      </c>
      <c r="D967" s="5" t="str">
        <f>IFERROR(__xludf.DUMMYFUNCTION("""COMPUTED_VALUE"""),"LUIS MEJIA")</f>
        <v>LUIS MEJIA</v>
      </c>
      <c r="E967" s="5">
        <f>IFERROR(__xludf.DUMMYFUNCTION("""COMPUTED_VALUE"""),0.0)</f>
        <v>0</v>
      </c>
    </row>
    <row r="968">
      <c r="A968" s="5" t="str">
        <f>IFERROR(__xludf.DUMMYFUNCTION("""COMPUTED_VALUE"""),"PAN04")</f>
        <v>PAN04</v>
      </c>
      <c r="B968" s="5" t="str">
        <f>IFERROR(__xludf.DUMMYFUNCTION("""COMPUTED_VALUE"""),"PANAMA")</f>
        <v>PANAMA</v>
      </c>
      <c r="C968" s="5" t="str">
        <f>IFERROR(__xludf.DUMMYFUNCTION("""COMPUTED_VALUE"""),"NORMAL")</f>
        <v>NORMAL</v>
      </c>
      <c r="D968" s="5" t="str">
        <f>IFERROR(__xludf.DUMMYFUNCTION("""COMPUTED_VALUE"""),"FIDEL ESCOBAR")</f>
        <v>FIDEL ESCOBAR</v>
      </c>
      <c r="E968" s="5">
        <f>IFERROR(__xludf.DUMMYFUNCTION("""COMPUTED_VALUE"""),0.0)</f>
        <v>0</v>
      </c>
    </row>
    <row r="969">
      <c r="A969" s="5" t="str">
        <f>IFERROR(__xludf.DUMMYFUNCTION("""COMPUTED_VALUE"""),"PAN05")</f>
        <v>PAN05</v>
      </c>
      <c r="B969" s="5" t="str">
        <f>IFERROR(__xludf.DUMMYFUNCTION("""COMPUTED_VALUE"""),"PANAMA")</f>
        <v>PANAMA</v>
      </c>
      <c r="C969" s="5" t="str">
        <f>IFERROR(__xludf.DUMMYFUNCTION("""COMPUTED_VALUE"""),"NORMAL")</f>
        <v>NORMAL</v>
      </c>
      <c r="D969" s="5" t="str">
        <f>IFERROR(__xludf.DUMMYFUNCTION("""COMPUTED_VALUE"""),"ANDRES ANDRADE")</f>
        <v>ANDRES ANDRADE</v>
      </c>
      <c r="E969" s="5">
        <f>IFERROR(__xludf.DUMMYFUNCTION("""COMPUTED_VALUE"""),0.0)</f>
        <v>0</v>
      </c>
    </row>
    <row r="970">
      <c r="A970" s="5" t="str">
        <f>IFERROR(__xludf.DUMMYFUNCTION("""COMPUTED_VALUE"""),"PAN06")</f>
        <v>PAN06</v>
      </c>
      <c r="B970" s="5" t="str">
        <f>IFERROR(__xludf.DUMMYFUNCTION("""COMPUTED_VALUE"""),"PANAMA")</f>
        <v>PANAMA</v>
      </c>
      <c r="C970" s="5" t="str">
        <f>IFERROR(__xludf.DUMMYFUNCTION("""COMPUTED_VALUE"""),"NORMAL")</f>
        <v>NORMAL</v>
      </c>
      <c r="D970" s="5" t="str">
        <f>IFERROR(__xludf.DUMMYFUNCTION("""COMPUTED_VALUE"""),"MICHAEL AMIR MURILLO")</f>
        <v>MICHAEL AMIR MURILLO</v>
      </c>
      <c r="E970" s="5">
        <f>IFERROR(__xludf.DUMMYFUNCTION("""COMPUTED_VALUE"""),0.0)</f>
        <v>0</v>
      </c>
    </row>
    <row r="971">
      <c r="A971" s="5" t="str">
        <f>IFERROR(__xludf.DUMMYFUNCTION("""COMPUTED_VALUE"""),"PAN07")</f>
        <v>PAN07</v>
      </c>
      <c r="B971" s="5" t="str">
        <f>IFERROR(__xludf.DUMMYFUNCTION("""COMPUTED_VALUE"""),"PANAMA")</f>
        <v>PANAMA</v>
      </c>
      <c r="C971" s="5" t="str">
        <f>IFERROR(__xludf.DUMMYFUNCTION("""COMPUTED_VALUE"""),"NORMAL")</f>
        <v>NORMAL</v>
      </c>
      <c r="D971" s="5" t="str">
        <f>IFERROR(__xludf.DUMMYFUNCTION("""COMPUTED_VALUE"""),"ERIC DAVIS")</f>
        <v>ERIC DAVIS</v>
      </c>
      <c r="E971" s="5">
        <f>IFERROR(__xludf.DUMMYFUNCTION("""COMPUTED_VALUE"""),0.0)</f>
        <v>0</v>
      </c>
    </row>
    <row r="972">
      <c r="A972" s="5" t="str">
        <f>IFERROR(__xludf.DUMMYFUNCTION("""COMPUTED_VALUE"""),"PAN08")</f>
        <v>PAN08</v>
      </c>
      <c r="B972" s="5" t="str">
        <f>IFERROR(__xludf.DUMMYFUNCTION("""COMPUTED_VALUE"""),"PANAMA")</f>
        <v>PANAMA</v>
      </c>
      <c r="C972" s="5" t="str">
        <f>IFERROR(__xludf.DUMMYFUNCTION("""COMPUTED_VALUE"""),"NORMAL")</f>
        <v>NORMAL</v>
      </c>
      <c r="D972" s="5" t="str">
        <f>IFERROR(__xludf.DUMMYFUNCTION("""COMPUTED_VALUE"""),"JOSE CORDOBA")</f>
        <v>JOSE CORDOBA</v>
      </c>
      <c r="E972" s="5">
        <f>IFERROR(__xludf.DUMMYFUNCTION("""COMPUTED_VALUE"""),0.0)</f>
        <v>0</v>
      </c>
    </row>
    <row r="973">
      <c r="A973" s="5" t="str">
        <f>IFERROR(__xludf.DUMMYFUNCTION("""COMPUTED_VALUE"""),"PAN09")</f>
        <v>PAN09</v>
      </c>
      <c r="B973" s="5" t="str">
        <f>IFERROR(__xludf.DUMMYFUNCTION("""COMPUTED_VALUE"""),"PANAMA")</f>
        <v>PANAMA</v>
      </c>
      <c r="C973" s="5" t="str">
        <f>IFERROR(__xludf.DUMMYFUNCTION("""COMPUTED_VALUE"""),"NORMAL")</f>
        <v>NORMAL</v>
      </c>
      <c r="D973" s="5" t="str">
        <f>IFERROR(__xludf.DUMMYFUNCTION("""COMPUTED_VALUE"""),"CESAR BLACKMAN")</f>
        <v>CESAR BLACKMAN</v>
      </c>
      <c r="E973" s="5">
        <f>IFERROR(__xludf.DUMMYFUNCTION("""COMPUTED_VALUE"""),0.0)</f>
        <v>0</v>
      </c>
    </row>
    <row r="974">
      <c r="A974" s="5" t="str">
        <f>IFERROR(__xludf.DUMMYFUNCTION("""COMPUTED_VALUE"""),"PAN10")</f>
        <v>PAN10</v>
      </c>
      <c r="B974" s="5" t="str">
        <f>IFERROR(__xludf.DUMMYFUNCTION("""COMPUTED_VALUE"""),"PANAMA")</f>
        <v>PANAMA</v>
      </c>
      <c r="C974" s="5" t="str">
        <f>IFERROR(__xludf.DUMMYFUNCTION("""COMPUTED_VALUE"""),"NORMAL")</f>
        <v>NORMAL</v>
      </c>
      <c r="D974" s="5" t="str">
        <f>IFERROR(__xludf.DUMMYFUNCTION("""COMPUTED_VALUE"""),"CRISTIAN MARTINEZ")</f>
        <v>CRISTIAN MARTINEZ</v>
      </c>
      <c r="E974" s="5">
        <f>IFERROR(__xludf.DUMMYFUNCTION("""COMPUTED_VALUE"""),0.0)</f>
        <v>0</v>
      </c>
    </row>
    <row r="975">
      <c r="A975" s="5" t="str">
        <f>IFERROR(__xludf.DUMMYFUNCTION("""COMPUTED_VALUE"""),"PAN11")</f>
        <v>PAN11</v>
      </c>
      <c r="B975" s="5" t="str">
        <f>IFERROR(__xludf.DUMMYFUNCTION("""COMPUTED_VALUE"""),"PANAMA")</f>
        <v>PANAMA</v>
      </c>
      <c r="C975" s="5" t="str">
        <f>IFERROR(__xludf.DUMMYFUNCTION("""COMPUTED_VALUE"""),"NORMAL")</f>
        <v>NORMAL</v>
      </c>
      <c r="D975" s="5" t="str">
        <f>IFERROR(__xludf.DUMMYFUNCTION("""COMPUTED_VALUE"""),"ANIBAL GODOY")</f>
        <v>ANIBAL GODOY</v>
      </c>
      <c r="E975" s="5">
        <f>IFERROR(__xludf.DUMMYFUNCTION("""COMPUTED_VALUE"""),0.0)</f>
        <v>0</v>
      </c>
    </row>
    <row r="976">
      <c r="A976" s="5" t="str">
        <f>IFERROR(__xludf.DUMMYFUNCTION("""COMPUTED_VALUE"""),"PAN12")</f>
        <v>PAN12</v>
      </c>
      <c r="B976" s="5" t="str">
        <f>IFERROR(__xludf.DUMMYFUNCTION("""COMPUTED_VALUE"""),"PANAMA")</f>
        <v>PANAMA</v>
      </c>
      <c r="C976" s="5" t="str">
        <f>IFERROR(__xludf.DUMMYFUNCTION("""COMPUTED_VALUE"""),"NORMAL")</f>
        <v>NORMAL</v>
      </c>
      <c r="D976" s="5" t="str">
        <f>IFERROR(__xludf.DUMMYFUNCTION("""COMPUTED_VALUE"""),"ADALBERTO CARRASQUILLA")</f>
        <v>ADALBERTO CARRASQUILLA</v>
      </c>
      <c r="E976" s="5">
        <f>IFERROR(__xludf.DUMMYFUNCTION("""COMPUTED_VALUE"""),0.0)</f>
        <v>0</v>
      </c>
    </row>
    <row r="977">
      <c r="A977" s="5" t="str">
        <f>IFERROR(__xludf.DUMMYFUNCTION("""COMPUTED_VALUE"""),"PAN13")</f>
        <v>PAN13</v>
      </c>
      <c r="B977" s="5" t="str">
        <f>IFERROR(__xludf.DUMMYFUNCTION("""COMPUTED_VALUE"""),"PANAMA")</f>
        <v>PANAMA</v>
      </c>
      <c r="C977" s="5" t="str">
        <f>IFERROR(__xludf.DUMMYFUNCTION("""COMPUTED_VALUE"""),"TEAM")</f>
        <v>TEAM</v>
      </c>
      <c r="D977" s="5" t="str">
        <f>IFERROR(__xludf.DUMMYFUNCTION("""COMPUTED_VALUE"""),"TEAM NACIONAL DE PANAMA")</f>
        <v>TEAM NACIONAL DE PANAMA</v>
      </c>
      <c r="E977" s="5">
        <f>IFERROR(__xludf.DUMMYFUNCTION("""COMPUTED_VALUE"""),0.0)</f>
        <v>0</v>
      </c>
    </row>
    <row r="978">
      <c r="A978" s="5" t="str">
        <f>IFERROR(__xludf.DUMMYFUNCTION("""COMPUTED_VALUE"""),"PAN14")</f>
        <v>PAN14</v>
      </c>
      <c r="B978" s="5" t="str">
        <f>IFERROR(__xludf.DUMMYFUNCTION("""COMPUTED_VALUE"""),"PANAMA")</f>
        <v>PANAMA</v>
      </c>
      <c r="C978" s="5" t="str">
        <f>IFERROR(__xludf.DUMMYFUNCTION("""COMPUTED_VALUE"""),"NORMAL")</f>
        <v>NORMAL</v>
      </c>
      <c r="D978" s="5" t="str">
        <f>IFERROR(__xludf.DUMMYFUNCTION("""COMPUTED_VALUE"""),"EDGAR BARCENAS")</f>
        <v>EDGAR BARCENAS</v>
      </c>
      <c r="E978" s="5">
        <f>IFERROR(__xludf.DUMMYFUNCTION("""COMPUTED_VALUE"""),0.0)</f>
        <v>0</v>
      </c>
    </row>
    <row r="979">
      <c r="A979" s="5" t="str">
        <f>IFERROR(__xludf.DUMMYFUNCTION("""COMPUTED_VALUE"""),"PAN15")</f>
        <v>PAN15</v>
      </c>
      <c r="B979" s="5" t="str">
        <f>IFERROR(__xludf.DUMMYFUNCTION("""COMPUTED_VALUE"""),"PANAMA")</f>
        <v>PANAMA</v>
      </c>
      <c r="C979" s="5" t="str">
        <f>IFERROR(__xludf.DUMMYFUNCTION("""COMPUTED_VALUE"""),"NORMAL")</f>
        <v>NORMAL</v>
      </c>
      <c r="D979" s="5" t="str">
        <f>IFERROR(__xludf.DUMMYFUNCTION("""COMPUTED_VALUE"""),"CARLOS HARVEY")</f>
        <v>CARLOS HARVEY</v>
      </c>
      <c r="E979" s="5">
        <f>IFERROR(__xludf.DUMMYFUNCTION("""COMPUTED_VALUE"""),0.0)</f>
        <v>0</v>
      </c>
    </row>
    <row r="980">
      <c r="A980" s="5" t="str">
        <f>IFERROR(__xludf.DUMMYFUNCTION("""COMPUTED_VALUE"""),"PAN16")</f>
        <v>PAN16</v>
      </c>
      <c r="B980" s="5" t="str">
        <f>IFERROR(__xludf.DUMMYFUNCTION("""COMPUTED_VALUE"""),"PANAMA")</f>
        <v>PANAMA</v>
      </c>
      <c r="C980" s="5" t="str">
        <f>IFERROR(__xludf.DUMMYFUNCTION("""COMPUTED_VALUE"""),"NORMAL")</f>
        <v>NORMAL</v>
      </c>
      <c r="D980" s="5" t="str">
        <f>IFERROR(__xludf.DUMMYFUNCTION("""COMPUTED_VALUE"""),"ISMAEL DIAZ")</f>
        <v>ISMAEL DIAZ</v>
      </c>
      <c r="E980" s="5">
        <f>IFERROR(__xludf.DUMMYFUNCTION("""COMPUTED_VALUE"""),0.0)</f>
        <v>0</v>
      </c>
    </row>
    <row r="981">
      <c r="A981" s="5" t="str">
        <f>IFERROR(__xludf.DUMMYFUNCTION("""COMPUTED_VALUE"""),"PAN17")</f>
        <v>PAN17</v>
      </c>
      <c r="B981" s="5" t="str">
        <f>IFERROR(__xludf.DUMMYFUNCTION("""COMPUTED_VALUE"""),"PANAMA")</f>
        <v>PANAMA</v>
      </c>
      <c r="C981" s="5" t="str">
        <f>IFERROR(__xludf.DUMMYFUNCTION("""COMPUTED_VALUE"""),"NORMAL")</f>
        <v>NORMAL</v>
      </c>
      <c r="D981" s="5" t="str">
        <f>IFERROR(__xludf.DUMMYFUNCTION("""COMPUTED_VALUE"""),"JOSE FAJARDO")</f>
        <v>JOSE FAJARDO</v>
      </c>
      <c r="E981" s="5">
        <f>IFERROR(__xludf.DUMMYFUNCTION("""COMPUTED_VALUE"""),0.0)</f>
        <v>0</v>
      </c>
    </row>
    <row r="982">
      <c r="A982" s="5" t="str">
        <f>IFERROR(__xludf.DUMMYFUNCTION("""COMPUTED_VALUE"""),"PAN18")</f>
        <v>PAN18</v>
      </c>
      <c r="B982" s="5" t="str">
        <f>IFERROR(__xludf.DUMMYFUNCTION("""COMPUTED_VALUE"""),"PANAMA")</f>
        <v>PANAMA</v>
      </c>
      <c r="C982" s="5" t="str">
        <f>IFERROR(__xludf.DUMMYFUNCTION("""COMPUTED_VALUE"""),"NORMAL")</f>
        <v>NORMAL</v>
      </c>
      <c r="D982" s="5" t="str">
        <f>IFERROR(__xludf.DUMMYFUNCTION("""COMPUTED_VALUE"""),"CECILIO WATERMAN")</f>
        <v>CECILIO WATERMAN</v>
      </c>
      <c r="E982" s="5">
        <f>IFERROR(__xludf.DUMMYFUNCTION("""COMPUTED_VALUE"""),0.0)</f>
        <v>0</v>
      </c>
    </row>
    <row r="983">
      <c r="A983" s="5" t="str">
        <f>IFERROR(__xludf.DUMMYFUNCTION("""COMPUTED_VALUE"""),"PAN19")</f>
        <v>PAN19</v>
      </c>
      <c r="B983" s="5" t="str">
        <f>IFERROR(__xludf.DUMMYFUNCTION("""COMPUTED_VALUE"""),"PANAMA")</f>
        <v>PANAMA</v>
      </c>
      <c r="C983" s="5" t="str">
        <f>IFERROR(__xludf.DUMMYFUNCTION("""COMPUTED_VALUE"""),"NORMAL")</f>
        <v>NORMAL</v>
      </c>
      <c r="D983" s="5" t="str">
        <f>IFERROR(__xludf.DUMMYFUNCTION("""COMPUTED_VALUE"""),"JOSE LUIS RODRIGUEZ")</f>
        <v>JOSE LUIS RODRIGUEZ</v>
      </c>
      <c r="E983" s="5">
        <f>IFERROR(__xludf.DUMMYFUNCTION("""COMPUTED_VALUE"""),0.0)</f>
        <v>0</v>
      </c>
    </row>
    <row r="984">
      <c r="A984" s="5" t="str">
        <f>IFERROR(__xludf.DUMMYFUNCTION("""COMPUTED_VALUE"""),"PAN20")</f>
        <v>PAN20</v>
      </c>
      <c r="B984" s="5" t="str">
        <f>IFERROR(__xludf.DUMMYFUNCTION("""COMPUTED_VALUE"""),"PANAMA")</f>
        <v>PANAMA</v>
      </c>
      <c r="C984" s="5" t="str">
        <f>IFERROR(__xludf.DUMMYFUNCTION("""COMPUTED_VALUE"""),"NORMAL")</f>
        <v>NORMAL</v>
      </c>
      <c r="D984" s="5" t="str">
        <f>IFERROR(__xludf.DUMMYFUNCTION("""COMPUTED_VALUE"""),"ALBERTO QUINTERO")</f>
        <v>ALBERTO QUINTERO</v>
      </c>
      <c r="E984" s="5">
        <f>IFERROR(__xludf.DUMMYFUNCTION("""COMPUTED_VALUE"""),0.0)</f>
        <v>0</v>
      </c>
    </row>
    <row r="985">
      <c r="A985" s="5" t="str">
        <f>IFERROR(__xludf.DUMMYFUNCTION("""COMPUTED_VALUE"""),"ITALIA 1934 FWC9")</f>
        <v>ITALIA 1934 FWC9</v>
      </c>
      <c r="B985" s="5" t="str">
        <f>IFERROR(__xludf.DUMMYFUNCTION("""COMPUTED_VALUE"""),"SECTION 4")</f>
        <v>SECTION 4</v>
      </c>
      <c r="C985" s="5" t="str">
        <f>IFERROR(__xludf.DUMMYFUNCTION("""COMPUTED_VALUE"""),"SPECIAL")</f>
        <v>SPECIAL</v>
      </c>
      <c r="D985" s="5" t="str">
        <f>IFERROR(__xludf.DUMMYFUNCTION("""COMPUTED_VALUE"""),"FWC9")</f>
        <v>FWC9</v>
      </c>
      <c r="E985" s="8">
        <f>IFERROR(__xludf.DUMMYFUNCTION("""COMPUTED_VALUE"""),0.0)</f>
        <v>0</v>
      </c>
    </row>
    <row r="986">
      <c r="A986" s="5" t="str">
        <f>IFERROR(__xludf.DUMMYFUNCTION("""COMPUTED_VALUE"""),"BRAZIL 1950 FWC10")</f>
        <v>BRAZIL 1950 FWC10</v>
      </c>
      <c r="B986" s="5" t="str">
        <f>IFERROR(__xludf.DUMMYFUNCTION("""COMPUTED_VALUE"""),"SECTION 4")</f>
        <v>SECTION 4</v>
      </c>
      <c r="C986" s="5" t="str">
        <f>IFERROR(__xludf.DUMMYFUNCTION("""COMPUTED_VALUE"""),"SPECIAL")</f>
        <v>SPECIAL</v>
      </c>
      <c r="D986" s="5" t="str">
        <f>IFERROR(__xludf.DUMMYFUNCTION("""COMPUTED_VALUE"""),"FWC10")</f>
        <v>FWC10</v>
      </c>
      <c r="E986" s="8">
        <f>IFERROR(__xludf.DUMMYFUNCTION("""COMPUTED_VALUE"""),0.0)</f>
        <v>0</v>
      </c>
    </row>
    <row r="987">
      <c r="A987" s="5" t="str">
        <f>IFERROR(__xludf.DUMMYFUNCTION("""COMPUTED_VALUE"""),"SWITZERLAND 1954 FWC11")</f>
        <v>SWITZERLAND 1954 FWC11</v>
      </c>
      <c r="B987" s="5" t="str">
        <f>IFERROR(__xludf.DUMMYFUNCTION("""COMPUTED_VALUE"""),"SECTION 4")</f>
        <v>SECTION 4</v>
      </c>
      <c r="C987" s="5" t="str">
        <f>IFERROR(__xludf.DUMMYFUNCTION("""COMPUTED_VALUE"""),"SPECIAL")</f>
        <v>SPECIAL</v>
      </c>
      <c r="D987" s="5" t="str">
        <f>IFERROR(__xludf.DUMMYFUNCTION("""COMPUTED_VALUE"""),"FWC11")</f>
        <v>FWC11</v>
      </c>
      <c r="E987" s="8">
        <f>IFERROR(__xludf.DUMMYFUNCTION("""COMPUTED_VALUE"""),0.0)</f>
        <v>0</v>
      </c>
    </row>
    <row r="988">
      <c r="A988" s="5" t="str">
        <f>IFERROR(__xludf.DUMMYFUNCTION("""COMPUTED_VALUE"""),"CHILE 1962 FWC12")</f>
        <v>CHILE 1962 FWC12</v>
      </c>
      <c r="B988" s="5" t="str">
        <f>IFERROR(__xludf.DUMMYFUNCTION("""COMPUTED_VALUE"""),"SECTION 4")</f>
        <v>SECTION 4</v>
      </c>
      <c r="C988" s="5" t="str">
        <f>IFERROR(__xludf.DUMMYFUNCTION("""COMPUTED_VALUE"""),"SPECIAL")</f>
        <v>SPECIAL</v>
      </c>
      <c r="D988" s="5" t="str">
        <f>IFERROR(__xludf.DUMMYFUNCTION("""COMPUTED_VALUE"""),"FWC12")</f>
        <v>FWC12</v>
      </c>
      <c r="E988" s="8">
        <f>IFERROR(__xludf.DUMMYFUNCTION("""COMPUTED_VALUE"""),0.0)</f>
        <v>0</v>
      </c>
    </row>
    <row r="989">
      <c r="A989" s="5" t="str">
        <f>IFERROR(__xludf.DUMMYFUNCTION("""COMPUTED_VALUE"""),"GERMANY 1974 FWC13")</f>
        <v>GERMANY 1974 FWC13</v>
      </c>
      <c r="B989" s="5" t="str">
        <f>IFERROR(__xludf.DUMMYFUNCTION("""COMPUTED_VALUE"""),"SECTION 4")</f>
        <v>SECTION 4</v>
      </c>
      <c r="C989" s="5" t="str">
        <f>IFERROR(__xludf.DUMMYFUNCTION("""COMPUTED_VALUE"""),"SPECIAL")</f>
        <v>SPECIAL</v>
      </c>
      <c r="D989" s="5" t="str">
        <f>IFERROR(__xludf.DUMMYFUNCTION("""COMPUTED_VALUE"""),"FWC13")</f>
        <v>FWC13</v>
      </c>
      <c r="E989" s="8">
        <f>IFERROR(__xludf.DUMMYFUNCTION("""COMPUTED_VALUE"""),0.0)</f>
        <v>0</v>
      </c>
    </row>
    <row r="990">
      <c r="A990" s="7" t="str">
        <f>IFERROR(__xludf.DUMMYFUNCTION("""COMPUTED_VALUE"""),"MEXICO 1986 FWC14")</f>
        <v>MEXICO 1986 FWC14</v>
      </c>
      <c r="B990" s="5" t="str">
        <f>IFERROR(__xludf.DUMMYFUNCTION("""COMPUTED_VALUE"""),"SECTION 4")</f>
        <v>SECTION 4</v>
      </c>
      <c r="C990" s="5" t="str">
        <f>IFERROR(__xludf.DUMMYFUNCTION("""COMPUTED_VALUE"""),"SPECIAL")</f>
        <v>SPECIAL</v>
      </c>
      <c r="D990" s="5" t="str">
        <f>IFERROR(__xludf.DUMMYFUNCTION("""COMPUTED_VALUE"""),"FWC14")</f>
        <v>FWC14</v>
      </c>
      <c r="E990" s="8">
        <f>IFERROR(__xludf.DUMMYFUNCTION("""COMPUTED_VALUE"""),0.0)</f>
        <v>0</v>
      </c>
    </row>
    <row r="991">
      <c r="A991" s="7" t="str">
        <f>IFERROR(__xludf.DUMMYFUNCTION("""COMPUTED_VALUE"""),"UNITED STATES 1994 FWC15")</f>
        <v>UNITED STATES 1994 FWC15</v>
      </c>
      <c r="B991" s="5" t="str">
        <f>IFERROR(__xludf.DUMMYFUNCTION("""COMPUTED_VALUE"""),"SECTION 4")</f>
        <v>SECTION 4</v>
      </c>
      <c r="C991" s="5" t="str">
        <f>IFERROR(__xludf.DUMMYFUNCTION("""COMPUTED_VALUE"""),"SPECIAL")</f>
        <v>SPECIAL</v>
      </c>
      <c r="D991" s="5" t="str">
        <f>IFERROR(__xludf.DUMMYFUNCTION("""COMPUTED_VALUE"""),"FWC15")</f>
        <v>FWC15</v>
      </c>
      <c r="E991" s="8">
        <f>IFERROR(__xludf.DUMMYFUNCTION("""COMPUTED_VALUE"""),0.0)</f>
        <v>0</v>
      </c>
    </row>
    <row r="992">
      <c r="A992" s="7" t="str">
        <f>IFERROR(__xludf.DUMMYFUNCTION("""COMPUTED_VALUE"""),"SOUTH KOREA/JAPAN 2002 FWC16")</f>
        <v>SOUTH KOREA/JAPAN 2002 FWC16</v>
      </c>
      <c r="B992" s="5" t="str">
        <f>IFERROR(__xludf.DUMMYFUNCTION("""COMPUTED_VALUE"""),"SECTION 4")</f>
        <v>SECTION 4</v>
      </c>
      <c r="C992" s="5" t="str">
        <f>IFERROR(__xludf.DUMMYFUNCTION("""COMPUTED_VALUE"""),"SPECIAL")</f>
        <v>SPECIAL</v>
      </c>
      <c r="D992" s="5" t="str">
        <f>IFERROR(__xludf.DUMMYFUNCTION("""COMPUTED_VALUE"""),"FWC16")</f>
        <v>FWC16</v>
      </c>
      <c r="E992" s="8">
        <f>IFERROR(__xludf.DUMMYFUNCTION("""COMPUTED_VALUE"""),0.0)</f>
        <v>0</v>
      </c>
    </row>
    <row r="993">
      <c r="A993" s="7" t="str">
        <f>IFERROR(__xludf.DUMMYFUNCTION("""COMPUTED_VALUE"""),"GERMANY 2006 FWC17")</f>
        <v>GERMANY 2006 FWC17</v>
      </c>
      <c r="B993" s="5" t="str">
        <f>IFERROR(__xludf.DUMMYFUNCTION("""COMPUTED_VALUE"""),"SECTION 4")</f>
        <v>SECTION 4</v>
      </c>
      <c r="C993" s="5" t="str">
        <f>IFERROR(__xludf.DUMMYFUNCTION("""COMPUTED_VALUE"""),"SPECIAL")</f>
        <v>SPECIAL</v>
      </c>
      <c r="D993" s="5" t="str">
        <f>IFERROR(__xludf.DUMMYFUNCTION("""COMPUTED_VALUE"""),"FWC17")</f>
        <v>FWC17</v>
      </c>
      <c r="E993" s="8">
        <f>IFERROR(__xludf.DUMMYFUNCTION("""COMPUTED_VALUE"""),0.0)</f>
        <v>0</v>
      </c>
    </row>
    <row r="994">
      <c r="A994" s="7" t="str">
        <f>IFERROR(__xludf.DUMMYFUNCTION("""COMPUTED_VALUE"""),"BRAZIL 2014 FWC18")</f>
        <v>BRAZIL 2014 FWC18</v>
      </c>
      <c r="B994" s="5" t="str">
        <f>IFERROR(__xludf.DUMMYFUNCTION("""COMPUTED_VALUE"""),"SECTION 4")</f>
        <v>SECTION 4</v>
      </c>
      <c r="C994" s="5" t="str">
        <f>IFERROR(__xludf.DUMMYFUNCTION("""COMPUTED_VALUE"""),"SPECIAL")</f>
        <v>SPECIAL</v>
      </c>
      <c r="D994" s="5" t="str">
        <f>IFERROR(__xludf.DUMMYFUNCTION("""COMPUTED_VALUE"""),"FWC18")</f>
        <v>FWC18</v>
      </c>
      <c r="E994" s="8">
        <f>IFERROR(__xludf.DUMMYFUNCTION("""COMPUTED_VALUE"""),0.0)</f>
        <v>0</v>
      </c>
    </row>
    <row r="995">
      <c r="A995" s="7" t="str">
        <f>IFERROR(__xludf.DUMMYFUNCTION("""COMPUTED_VALUE"""),"QATAR 2022 FWC19")</f>
        <v>QATAR 2022 FWC19</v>
      </c>
      <c r="B995" s="5" t="str">
        <f>IFERROR(__xludf.DUMMYFUNCTION("""COMPUTED_VALUE"""),"SECTION 4")</f>
        <v>SECTION 4</v>
      </c>
      <c r="C995" s="5" t="str">
        <f>IFERROR(__xludf.DUMMYFUNCTION("""COMPUTED_VALUE"""),"SPECIAL")</f>
        <v>SPECIAL</v>
      </c>
      <c r="D995" s="5" t="str">
        <f>IFERROR(__xludf.DUMMYFUNCTION("""COMPUTED_VALUE"""),"FWC19")</f>
        <v>FWC19</v>
      </c>
      <c r="E995" s="8">
        <f>IFERROR(__xludf.DUMMYFUNCTION("""COMPUTED_VALUE"""),0.0)</f>
        <v>0</v>
      </c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</cols>
  <sheetData>
    <row r="1">
      <c r="A1" s="4" t="s">
        <v>7</v>
      </c>
      <c r="B1" s="4" t="s">
        <v>13</v>
      </c>
      <c r="C1" s="4" t="s">
        <v>9</v>
      </c>
      <c r="D1" s="4" t="s">
        <v>35</v>
      </c>
      <c r="E1" s="4" t="s">
        <v>11</v>
      </c>
    </row>
    <row r="2">
      <c r="A2" s="5" t="str">
        <f>IFERROR(__xludf.DUMMYFUNCTION("FILTER(MASTER!A2:F1000, MASTER!E2:E1000 &gt; 1)"),"#N/A")</f>
        <v>#N/A</v>
      </c>
    </row>
  </sheetData>
  <drawing r:id="rId1"/>
</worksheet>
</file>